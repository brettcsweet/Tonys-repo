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xr:revisionPtr revIDLastSave="0" documentId="13_ncr:801_{4D8F8BF7-3983-4FCA-9455-C4FC14A63ECD}" xr6:coauthVersionLast="47" xr6:coauthVersionMax="47" xr10:uidLastSave="{00000000-0000-0000-0000-000000000000}"/>
  <bookViews>
    <workbookView xWindow="2950" yWindow="90" windowWidth="16250" windowHeight="10110" xr2:uid="{00000000-000D-0000-FFFF-FFFF00000000}"/>
  </bookViews>
  <sheets>
    <sheet name="Sheet1" sheetId="1" r:id="rId1"/>
  </sheets>
  <externalReferences>
    <externalReference r:id="rId2"/>
  </externalReferences>
  <calcPr calcId="191029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Kara Shey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Parker, Kara Shey:</t>
        </r>
        <r>
          <rPr>
            <sz val="9"/>
            <color indexed="81"/>
            <rFont val="Tahoma"/>
            <family val="2"/>
          </rPr>
          <t xml:space="preserve">
per Autumn quarter facts-at-a-glance by the Registrar</t>
        </r>
      </text>
    </comment>
    <comment ref="P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Parker, Kara Shey:</t>
        </r>
        <r>
          <rPr>
            <sz val="9"/>
            <color indexed="81"/>
            <rFont val="Tahoma"/>
            <family val="2"/>
          </rPr>
          <t xml:space="preserve">
from Harvard at a glance website</t>
        </r>
      </text>
    </comment>
  </commentList>
</comments>
</file>

<file path=xl/sharedStrings.xml><?xml version="1.0" encoding="utf-8"?>
<sst xmlns="http://schemas.openxmlformats.org/spreadsheetml/2006/main" count="152" uniqueCount="32">
  <si>
    <t>X-Values</t>
  </si>
  <si>
    <t>Y-Values</t>
  </si>
  <si>
    <t>Duke</t>
  </si>
  <si>
    <t>Emory</t>
  </si>
  <si>
    <t>Penn</t>
  </si>
  <si>
    <t>Chicago</t>
  </si>
  <si>
    <t>Stanford</t>
  </si>
  <si>
    <t>Harvard</t>
  </si>
  <si>
    <t>Yale</t>
  </si>
  <si>
    <t>Princeton</t>
  </si>
  <si>
    <t>University</t>
  </si>
  <si>
    <t>Vanderbilt</t>
  </si>
  <si>
    <t>Core Operating Expenses</t>
  </si>
  <si>
    <t>Salaries &amp; Wages</t>
  </si>
  <si>
    <t>SW per Student</t>
  </si>
  <si>
    <t># of Students</t>
  </si>
  <si>
    <t>Opex/student</t>
  </si>
  <si>
    <t>SW as % of Core Opex</t>
  </si>
  <si>
    <t xml:space="preserve"> Opex/student </t>
  </si>
  <si>
    <t>Northwestern</t>
  </si>
  <si>
    <t>Rice</t>
  </si>
  <si>
    <t>$40k iso-line</t>
  </si>
  <si>
    <t>$80k iso-line</t>
  </si>
  <si>
    <t>$120K iso-line</t>
  </si>
  <si>
    <t>$160k iso-line</t>
  </si>
  <si>
    <t>$200k iso-line</t>
  </si>
  <si>
    <t>Institution</t>
  </si>
  <si>
    <t>$240k iso-line</t>
  </si>
  <si>
    <t>$280k iso-line</t>
  </si>
  <si>
    <t>$320k iso-line</t>
  </si>
  <si>
    <t>U Chicago</t>
  </si>
  <si>
    <t>U Penn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</si>
</sst>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7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11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166" fontId="12" fillId="0" borderId="0" xfId="0" applyNumberFormat="1" applyFont="1" applyAlignment="1">
      <alignment horizontal="left" vertical="top"/>
    </xf>
    <xf numFmtId="9" fontId="12" fillId="0" borderId="0" xfId="2" applyFont="1" applyAlignment="1">
      <alignment horizontal="left" vertical="top"/>
    </xf>
    <xf numFmtId="164" fontId="12" fillId="0" borderId="0" xfId="1" applyNumberFormat="1" applyFont="1" applyAlignment="1">
      <alignment horizontal="left" vertical="top"/>
    </xf>
    <xf numFmtId="165" fontId="12" fillId="0" borderId="0" xfId="3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164" fontId="13" fillId="0" borderId="0" xfId="1" applyNumberFormat="1" applyFont="1" applyAlignment="1">
      <alignment horizontal="left" vertical="top"/>
    </xf>
    <xf numFmtId="9" fontId="13" fillId="0" borderId="0" xfId="2" applyFont="1" applyAlignment="1">
      <alignment horizontal="left" vertical="top"/>
    </xf>
    <xf numFmtId="9" fontId="12" fillId="0" borderId="0" xfId="1" applyNumberFormat="1" applyFont="1" applyAlignment="1">
      <alignment horizontal="left" vertical="top"/>
    </xf>
    <xf numFmtId="0" fontId="11" fillId="0" borderId="1" xfId="1" applyNumberFormat="1" applyFont="1" applyBorder="1" applyAlignment="1">
      <alignment horizontal="left" vertical="top"/>
    </xf>
    <xf numFmtId="0" fontId="11" fillId="0" borderId="1" xfId="2" applyNumberFormat="1" applyFont="1" applyBorder="1" applyAlignment="1">
      <alignment horizontal="left" vertical="top"/>
    </xf>
    <xf numFmtId="0" fontId="11" fillId="0" borderId="1" xfId="3" applyNumberFormat="1" applyFont="1" applyBorder="1" applyAlignment="1">
      <alignment horizontal="left" vertical="top"/>
    </xf>
    <xf numFmtId="0" fontId="12" fillId="0" borderId="0" xfId="1" applyNumberFormat="1" applyFont="1" applyAlignment="1">
      <alignment horizontal="left" vertical="top"/>
    </xf>
    <xf numFmtId="165" fontId="13" fillId="0" borderId="0" xfId="3" applyNumberFormat="1" applyFont="1" applyAlignment="1">
      <alignment horizontal="left" vertical="top"/>
    </xf>
    <xf numFmtId="0" fontId="10" fillId="0" borderId="1" xfId="0" applyFont="1" applyBorder="1" applyAlignment="1">
      <alignment horizontal="left" vertical="top" readingOrder="1"/>
    </xf>
    <xf numFmtId="164" fontId="12" fillId="0" borderId="0" xfId="1" applyNumberFormat="1" applyFont="1" applyBorder="1" applyAlignment="1">
      <alignment horizontal="left" vertical="top"/>
    </xf>
    <xf numFmtId="9" fontId="12" fillId="0" borderId="0" xfId="2" applyFont="1" applyBorder="1" applyAlignment="1">
      <alignment horizontal="left" vertical="top"/>
    </xf>
    <xf numFmtId="164" fontId="12" fillId="0" borderId="0" xfId="1" applyNumberFormat="1" applyFont="1" applyFill="1" applyBorder="1" applyAlignment="1">
      <alignment horizontal="left" vertical="top"/>
    </xf>
    <xf numFmtId="165" fontId="12" fillId="0" borderId="0" xfId="3" applyNumberFormat="1" applyFont="1" applyFill="1" applyBorder="1" applyAlignment="1">
      <alignment horizontal="left" vertical="top"/>
    </xf>
    <xf numFmtId="164" fontId="12" fillId="0" borderId="0" xfId="1" applyNumberFormat="1" applyFont="1" applyFill="1" applyAlignment="1">
      <alignment horizontal="left" vertical="top"/>
    </xf>
    <xf numFmtId="164" fontId="13" fillId="0" borderId="0" xfId="1" applyNumberFormat="1" applyFont="1" applyFill="1" applyAlignment="1">
      <alignment horizontal="left" vertical="top"/>
    </xf>
    <xf numFmtId="164" fontId="12" fillId="0" borderId="0" xfId="0" applyNumberFormat="1" applyFont="1" applyAlignment="1">
      <alignment horizontal="left" vertical="top"/>
    </xf>
    <xf numFmtId="164" fontId="12" fillId="0" borderId="0" xfId="1" applyNumberFormat="1" applyFont="1" applyFill="1" applyBorder="1" applyAlignment="1">
      <alignment vertical="top" wrapText="1"/>
    </xf>
    <xf numFmtId="164" fontId="12" fillId="0" borderId="0" xfId="0" applyNumberFormat="1" applyFont="1" applyAlignment="1">
      <alignment vertical="top" wrapText="1"/>
    </xf>
    <xf numFmtId="164" fontId="12" fillId="0" borderId="0" xfId="2" applyNumberFormat="1" applyFont="1" applyAlignment="1">
      <alignment horizontal="left" vertical="top"/>
    </xf>
  </cellXfs>
  <cellStyles count="48">
    <cellStyle name="Comma" xfId="3" builtinId="3"/>
    <cellStyle name="Comma 2" xfId="5" xr:uid="{00000000-0005-0000-0000-000001000000}"/>
    <cellStyle name="Comma 2 2" xfId="9" xr:uid="{00000000-0005-0000-0000-000002000000}"/>
    <cellStyle name="Comma 2 2 2" xfId="33" xr:uid="{00000000-0005-0000-0000-000003000000}"/>
    <cellStyle name="Comma 2 2 3" xfId="20" xr:uid="{00000000-0005-0000-0000-000004000000}"/>
    <cellStyle name="Comma 2 2 3 2" xfId="41" xr:uid="{E83E9903-C127-4B4E-AEC2-6ABFC2B79041}"/>
    <cellStyle name="Comma 2 3" xfId="14" xr:uid="{00000000-0005-0000-0000-000005000000}"/>
    <cellStyle name="Comma 2 4" xfId="36" xr:uid="{4D2C703B-F736-4505-8279-8E345A2B7344}"/>
    <cellStyle name="Comma 3" xfId="18" xr:uid="{00000000-0005-0000-0000-000006000000}"/>
    <cellStyle name="Comma 4" xfId="26" xr:uid="{00000000-0005-0000-0000-000007000000}"/>
    <cellStyle name="Comma 5" xfId="30" xr:uid="{00000000-0005-0000-0000-000008000000}"/>
    <cellStyle name="Currency" xfId="1" builtinId="4"/>
    <cellStyle name="Currency 2" xfId="6" xr:uid="{00000000-0005-0000-0000-00000A000000}"/>
    <cellStyle name="Currency 2 2" xfId="10" xr:uid="{00000000-0005-0000-0000-00000B000000}"/>
    <cellStyle name="Currency 2 2 2" xfId="34" xr:uid="{00000000-0005-0000-0000-00000C000000}"/>
    <cellStyle name="Currency 2 2 3" xfId="21" xr:uid="{00000000-0005-0000-0000-00000D000000}"/>
    <cellStyle name="Currency 2 2 3 2" xfId="42" xr:uid="{C21B8682-E638-4C4D-B050-4C8E84F22529}"/>
    <cellStyle name="Currency 2 3" xfId="12" xr:uid="{00000000-0005-0000-0000-00000E000000}"/>
    <cellStyle name="Currency 2 4" xfId="37" xr:uid="{39FC7B3D-37CE-4489-AFB8-93854F00FB98}"/>
    <cellStyle name="Currency 3" xfId="16" xr:uid="{00000000-0005-0000-0000-00000F000000}"/>
    <cellStyle name="Currency 4" xfId="24" xr:uid="{00000000-0005-0000-0000-000010000000}"/>
    <cellStyle name="Currency 5" xfId="28" xr:uid="{00000000-0005-0000-0000-000011000000}"/>
    <cellStyle name="Normal" xfId="0" builtinId="0"/>
    <cellStyle name="Normal 2" xfId="4" xr:uid="{00000000-0005-0000-0000-000013000000}"/>
    <cellStyle name="Normal 2 2" xfId="8" xr:uid="{00000000-0005-0000-0000-000014000000}"/>
    <cellStyle name="Normal 2 2 2" xfId="32" xr:uid="{00000000-0005-0000-0000-000015000000}"/>
    <cellStyle name="Normal 2 2 2 2" xfId="45" xr:uid="{F406A646-0D77-40D0-8998-7DA8171B6BBF}"/>
    <cellStyle name="Normal 2 2 3" xfId="19" xr:uid="{00000000-0005-0000-0000-000016000000}"/>
    <cellStyle name="Normal 2 2 3 2" xfId="40" xr:uid="{6E9C657B-FAEE-4068-9568-2ABC80C1FA32}"/>
    <cellStyle name="Normal 2 2 4" xfId="47" xr:uid="{B02F8090-F45D-45BD-9466-BF620481C375}"/>
    <cellStyle name="Normal 2 2 5" xfId="39" xr:uid="{7857B880-7D39-4A26-BA13-86836B7BE8EF}"/>
    <cellStyle name="Normal 2 3" xfId="31" xr:uid="{00000000-0005-0000-0000-000017000000}"/>
    <cellStyle name="Normal 2 3 2" xfId="44" xr:uid="{9E258228-5295-4412-A0FD-4DD7E3334235}"/>
    <cellStyle name="Normal 2 4" xfId="11" xr:uid="{00000000-0005-0000-0000-000018000000}"/>
    <cellStyle name="Normal 2 5" xfId="46" xr:uid="{2FA73048-1F0E-49B0-90A7-F5E1D6C29783}"/>
    <cellStyle name="Normal 2 6" xfId="35" xr:uid="{7B709B26-FCA9-4C62-916D-47FD27A3A5F5}"/>
    <cellStyle name="Normal 3" xfId="15" xr:uid="{00000000-0005-0000-0000-000019000000}"/>
    <cellStyle name="Normal 4" xfId="23" xr:uid="{00000000-0005-0000-0000-00001A000000}"/>
    <cellStyle name="Normal 5" xfId="27" xr:uid="{00000000-0005-0000-0000-00001B000000}"/>
    <cellStyle name="Percent" xfId="2" builtinId="5"/>
    <cellStyle name="Percent 2" xfId="7" xr:uid="{00000000-0005-0000-0000-00001D000000}"/>
    <cellStyle name="Percent 2 2" xfId="22" xr:uid="{00000000-0005-0000-0000-00001E000000}"/>
    <cellStyle name="Percent 2 2 2" xfId="43" xr:uid="{34A29509-C002-43BD-8841-CC4405AE8EE4}"/>
    <cellStyle name="Percent 2 3" xfId="13" xr:uid="{00000000-0005-0000-0000-00001F000000}"/>
    <cellStyle name="Percent 2 4" xfId="38" xr:uid="{BA5B328A-2852-47DF-82B0-449C7EF97613}"/>
    <cellStyle name="Percent 3" xfId="17" xr:uid="{00000000-0005-0000-0000-000020000000}"/>
    <cellStyle name="Percent 4" xfId="25" xr:uid="{00000000-0005-0000-0000-000021000000}"/>
    <cellStyle name="Percent 5" xfId="29" xr:uid="{00000000-0005-0000-0000-000022000000}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3" formatCode="0%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3" formatCode="0%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3" formatCode="0%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top" textRotation="0" wrapText="0" indent="0" justifyLastLine="0" shrinkToFit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&quot;$&quot;* #,##0_);_(&quot;$&quot;* \(#,##0\);_(&quot;$&quot;* &quot;-&quot;??_);_(@_)"/>
      <alignment horizontal="left" vertical="top" textRotation="0" wrapText="0" indent="0" justifyLastLine="0" shrinkToFit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U_Finance\Financial%20Planning%20&amp;%20Analysis\Factbook\VU%20Fact%20Book%202023\Sources\FP&amp;A%20Compiled%20Annual%20Reports%20for%20Top%2025.xlsx" TargetMode="External"/><Relationship Id="rId1" Type="http://schemas.openxmlformats.org/officeDocument/2006/relationships/externalLinkPath" Target="file:///M:\U_Finance\Financial%20Planning%20&amp;%20Analysis\Factbook\VU%20Fact%20Book%202023\Sources\FP&amp;A%20Compiled%20Annual%20Reports%20for%20Top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er Financials"/>
      <sheetName val="Sheet1"/>
      <sheetName val="Endowments"/>
      <sheetName val="Peer Endowment Debt"/>
      <sheetName val="Endowment Distribution"/>
      <sheetName val="S&amp;W per Student"/>
      <sheetName val="Staff Faculty Ratio Data"/>
      <sheetName val="Tuition Discounting"/>
      <sheetName val="More Expensive Schools"/>
      <sheetName val="Medicine"/>
      <sheetName val="Pivot"/>
      <sheetName val="Raw"/>
    </sheetNames>
    <sheetDataSet>
      <sheetData sheetId="0">
        <row r="3">
          <cell r="AF3" t="str">
            <v xml:space="preserve">Salaries, Wages, Benefits &amp; Fringe </v>
          </cell>
        </row>
        <row r="4">
          <cell r="R4" t="str">
            <v>Total Operating Expenses</v>
          </cell>
          <cell r="AF4" t="str">
            <v>Total Salaries &amp; Wages</v>
          </cell>
          <cell r="AL4" t="str">
            <v>Total</v>
          </cell>
          <cell r="AW4" t="str">
            <v>common name for XLOOKUPs in slide charts</v>
          </cell>
        </row>
        <row r="5">
          <cell r="R5">
            <v>1020414000</v>
          </cell>
          <cell r="AF5">
            <v>453184368</v>
          </cell>
          <cell r="AL5">
            <v>9532</v>
          </cell>
          <cell r="AW5" t="str">
            <v>Boston College</v>
          </cell>
        </row>
        <row r="6">
          <cell r="R6">
            <v>1283395000</v>
          </cell>
          <cell r="AF6">
            <v>515655000</v>
          </cell>
          <cell r="AL6">
            <v>10700</v>
          </cell>
          <cell r="AW6" t="str">
            <v>Brown</v>
          </cell>
        </row>
        <row r="7">
          <cell r="R7">
            <v>3304693000</v>
          </cell>
          <cell r="AF7">
            <v>329435288</v>
          </cell>
          <cell r="AL7">
            <v>2397</v>
          </cell>
          <cell r="AW7" t="str">
            <v>Cal tech</v>
          </cell>
        </row>
        <row r="8">
          <cell r="R8">
            <v>1476392000</v>
          </cell>
          <cell r="AF8">
            <v>807236000</v>
          </cell>
          <cell r="AL8">
            <v>16653</v>
          </cell>
          <cell r="AW8" t="str">
            <v>Carnegie Mellon</v>
          </cell>
        </row>
        <row r="9">
          <cell r="R9">
            <v>5916699000</v>
          </cell>
          <cell r="AF9">
            <v>2855798400</v>
          </cell>
          <cell r="AL9">
            <v>35434</v>
          </cell>
          <cell r="AW9" t="str">
            <v>Columbia</v>
          </cell>
        </row>
        <row r="10">
          <cell r="R10">
            <v>5411033000</v>
          </cell>
          <cell r="AF10">
            <v>2613284128</v>
          </cell>
          <cell r="AL10">
            <v>26039</v>
          </cell>
          <cell r="AW10" t="str">
            <v>Cornell</v>
          </cell>
        </row>
        <row r="11">
          <cell r="R11">
            <v>1126404000</v>
          </cell>
          <cell r="AF11">
            <v>453283000</v>
          </cell>
          <cell r="AL11">
            <v>6744</v>
          </cell>
          <cell r="AW11" t="str">
            <v>Dartmouth</v>
          </cell>
        </row>
        <row r="12">
          <cell r="R12">
            <v>8431382000</v>
          </cell>
          <cell r="AF12">
            <v>3676675000</v>
          </cell>
          <cell r="AL12">
            <v>18009</v>
          </cell>
          <cell r="AW12" t="str">
            <v>Duke</v>
          </cell>
        </row>
        <row r="13">
          <cell r="R13">
            <v>8570621000</v>
          </cell>
          <cell r="AF13">
            <v>4313737000</v>
          </cell>
          <cell r="AL13">
            <v>16000</v>
          </cell>
          <cell r="AW13" t="str">
            <v>Emory</v>
          </cell>
        </row>
        <row r="14">
          <cell r="R14">
            <v>1652406000</v>
          </cell>
          <cell r="AF14">
            <v>650610688</v>
          </cell>
          <cell r="AL14">
            <v>20984</v>
          </cell>
          <cell r="AW14" t="str">
            <v>Georgetown</v>
          </cell>
        </row>
        <row r="15">
          <cell r="R15">
            <v>5911797000</v>
          </cell>
          <cell r="AF15">
            <v>2421076000</v>
          </cell>
          <cell r="AL15">
            <v>21400</v>
          </cell>
          <cell r="AW15" t="str">
            <v>Harvard</v>
          </cell>
        </row>
        <row r="16">
          <cell r="R16">
            <v>7802903000</v>
          </cell>
          <cell r="AF16">
            <v>3703250000</v>
          </cell>
          <cell r="AL16">
            <v>29168</v>
          </cell>
          <cell r="AW16" t="str">
            <v>Johns Hopkins</v>
          </cell>
        </row>
        <row r="17">
          <cell r="R17">
            <v>4511098000</v>
          </cell>
          <cell r="AF17">
            <v>1839997000</v>
          </cell>
          <cell r="AL17">
            <v>11858</v>
          </cell>
          <cell r="AW17" t="str">
            <v>MIT</v>
          </cell>
        </row>
        <row r="18">
          <cell r="R18">
            <v>14107199000</v>
          </cell>
          <cell r="AL18">
            <v>58226</v>
          </cell>
          <cell r="AW18" t="str">
            <v>NYU</v>
          </cell>
        </row>
        <row r="19">
          <cell r="R19">
            <v>3038060000</v>
          </cell>
          <cell r="AF19">
            <v>1219645336</v>
          </cell>
          <cell r="AL19">
            <v>23000</v>
          </cell>
          <cell r="AW19" t="str">
            <v>Northwestern</v>
          </cell>
        </row>
        <row r="20">
          <cell r="R20">
            <v>1582615000</v>
          </cell>
          <cell r="AF20">
            <v>706113000</v>
          </cell>
          <cell r="AL20">
            <v>12755</v>
          </cell>
          <cell r="AW20" t="str">
            <v>Notre Dame</v>
          </cell>
        </row>
        <row r="21">
          <cell r="R21">
            <v>2263259000</v>
          </cell>
          <cell r="AF21">
            <v>969089000</v>
          </cell>
          <cell r="AL21">
            <v>8778</v>
          </cell>
          <cell r="AW21" t="str">
            <v>Princeton</v>
          </cell>
        </row>
        <row r="22">
          <cell r="R22">
            <v>959377000</v>
          </cell>
          <cell r="AF22">
            <v>421781000</v>
          </cell>
          <cell r="AL22">
            <v>8285</v>
          </cell>
          <cell r="AW22" t="str">
            <v>Rice</v>
          </cell>
        </row>
        <row r="23">
          <cell r="R23">
            <v>16053362000</v>
          </cell>
          <cell r="AF23">
            <v>7106067696</v>
          </cell>
          <cell r="AL23">
            <v>17529</v>
          </cell>
          <cell r="AW23" t="str">
            <v>Stanford</v>
          </cell>
        </row>
        <row r="24">
          <cell r="R24">
            <v>6779655000</v>
          </cell>
          <cell r="AF24">
            <v>3033100000</v>
          </cell>
          <cell r="AL24">
            <v>18058</v>
          </cell>
          <cell r="AW24" t="str">
            <v>U Chicago</v>
          </cell>
        </row>
        <row r="25">
          <cell r="R25">
            <v>13857148000</v>
          </cell>
          <cell r="AF25">
            <v>5636695792</v>
          </cell>
          <cell r="AL25">
            <v>23374</v>
          </cell>
          <cell r="AW25" t="str">
            <v>U Penn</v>
          </cell>
        </row>
        <row r="26">
          <cell r="R26">
            <v>6978033000</v>
          </cell>
          <cell r="AF26">
            <v>2900836848</v>
          </cell>
          <cell r="AL26">
            <v>49500</v>
          </cell>
          <cell r="AW26" t="str">
            <v>USC</v>
          </cell>
        </row>
        <row r="27">
          <cell r="R27">
            <v>1615854000</v>
          </cell>
          <cell r="AF27">
            <v>699234000</v>
          </cell>
          <cell r="AL27">
            <v>13710</v>
          </cell>
          <cell r="AW27" t="str">
            <v>Vanderbilt</v>
          </cell>
        </row>
        <row r="28">
          <cell r="R28">
            <v>4570527000</v>
          </cell>
          <cell r="AF28">
            <v>2016786408</v>
          </cell>
          <cell r="AL28">
            <v>16647</v>
          </cell>
          <cell r="AW28" t="str">
            <v>Wash U</v>
          </cell>
        </row>
        <row r="29">
          <cell r="R29">
            <v>4936268000</v>
          </cell>
          <cell r="AF29">
            <v>2328136000</v>
          </cell>
          <cell r="AL29">
            <v>14751</v>
          </cell>
          <cell r="AW29" t="str">
            <v>Yale</v>
          </cell>
        </row>
        <row r="38">
          <cell r="R38">
            <v>2848091000</v>
          </cell>
        </row>
        <row r="39">
          <cell r="R39">
            <v>3239162000</v>
          </cell>
        </row>
        <row r="40">
          <cell r="R40">
            <v>2370693000</v>
          </cell>
        </row>
        <row r="41">
          <cell r="R41">
            <v>3711706000</v>
          </cell>
        </row>
        <row r="42">
          <cell r="R42">
            <v>6839072000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1" totalsRowShown="0" headerRowDxfId="15" dataDxfId="13" headerRowBorderDxfId="14" tableBorderDxfId="12" dataCellStyle="Currency">
  <tableColumns count="10">
    <tableColumn id="1" xr3:uid="{00000000-0010-0000-0000-000001000000}" name="X-Values" dataDxfId="11" dataCellStyle="Currency">
      <calculatedColumnFormula>O2/P2</calculatedColumnFormula>
    </tableColumn>
    <tableColumn id="2" xr3:uid="{00000000-0010-0000-0000-000002000000}" name="Y-Values" dataDxfId="10" dataCellStyle="Percent"/>
    <tableColumn id="3" xr3:uid="{00000000-0010-0000-0000-000003000000}" name="$40k iso-line" dataDxfId="9" dataCellStyle="Currency">
      <calculatedColumnFormula>N2/O2</calculatedColumnFormula>
    </tableColumn>
    <tableColumn id="4" xr3:uid="{00000000-0010-0000-0000-000004000000}" name="$80k iso-line" dataDxfId="8" dataCellStyle="Percent">
      <calculatedColumnFormula>N2/O2</calculatedColumnFormula>
    </tableColumn>
    <tableColumn id="5" xr3:uid="{00000000-0010-0000-0000-000005000000}" name="$120K iso-line" dataDxfId="7" dataCellStyle="Percent">
      <calculatedColumnFormula>N2/O2</calculatedColumnFormula>
    </tableColumn>
    <tableColumn id="6" xr3:uid="{00000000-0010-0000-0000-000006000000}" name="$160k iso-line" dataDxfId="6" dataCellStyle="Percent">
      <calculatedColumnFormula>N2/O2</calculatedColumnFormula>
    </tableColumn>
    <tableColumn id="7" xr3:uid="{00000000-0010-0000-0000-000007000000}" name="$200k iso-line" dataDxfId="5" dataCellStyle="Currency">
      <calculatedColumnFormula>200000/Table1[[#This Row],[X-Values]]</calculatedColumnFormula>
    </tableColumn>
    <tableColumn id="8" xr3:uid="{C0D5196A-47CE-4CE9-B9C5-6FECF4CBA544}" name="$240k iso-line" dataDxfId="4" dataCellStyle="Currency"/>
    <tableColumn id="9" xr3:uid="{F64139D4-D00B-4002-ABA1-1DB8E0A91AC6}" name="$280k iso-line" dataDxfId="3" dataCellStyle="Currency"/>
    <tableColumn id="10" xr3:uid="{053B6BD8-29D6-488F-AC0B-3D1629669C33}" name="$320k iso-line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4"/>
  <sheetViews>
    <sheetView tabSelected="1" topLeftCell="G89" zoomScale="63" zoomScaleNormal="80" workbookViewId="0">
      <selection activeCell="E20" sqref="E20"/>
    </sheetView>
  </sheetViews>
  <sheetFormatPr defaultColWidth="9.08984375" defaultRowHeight="15.5" x14ac:dyDescent="0.35"/>
  <cols>
    <col min="1" max="1" width="13.6328125" style="2" bestFit="1" customWidth="1"/>
    <col min="2" max="2" width="10.08984375" style="2" bestFit="1" customWidth="1"/>
    <col min="3" max="4" width="14.453125" style="2" bestFit="1" customWidth="1"/>
    <col min="5" max="5" width="15.90625" style="2" bestFit="1" customWidth="1"/>
    <col min="6" max="7" width="15.6328125" style="2" bestFit="1" customWidth="1"/>
    <col min="8" max="10" width="15.6328125" style="2" customWidth="1"/>
    <col min="11" max="11" width="10.90625" style="2" bestFit="1" customWidth="1"/>
    <col min="12" max="12" width="6.36328125" style="2" bestFit="1" customWidth="1"/>
    <col min="13" max="13" width="15.6328125" style="2" bestFit="1" customWidth="1"/>
    <col min="14" max="14" width="19.54296875" style="2" bestFit="1" customWidth="1"/>
    <col min="15" max="15" width="26.54296875" style="2" bestFit="1" customWidth="1"/>
    <col min="16" max="16" width="13.90625" style="2" customWidth="1"/>
    <col min="17" max="17" width="17" style="2" bestFit="1" customWidth="1"/>
    <col min="18" max="18" width="15.36328125" style="2" customWidth="1"/>
    <col min="19" max="19" width="24.54296875" style="4" customWidth="1"/>
    <col min="20" max="20" width="15.90625" style="2" bestFit="1" customWidth="1"/>
    <col min="21" max="16384" width="9.08984375" style="2"/>
  </cols>
  <sheetData>
    <row r="1" spans="1:19" ht="16" thickBot="1" x14ac:dyDescent="0.4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27</v>
      </c>
      <c r="I1" s="1" t="s">
        <v>28</v>
      </c>
      <c r="J1" s="1" t="s">
        <v>29</v>
      </c>
      <c r="L1" s="1">
        <v>2017</v>
      </c>
      <c r="M1" s="1" t="s">
        <v>10</v>
      </c>
      <c r="N1" s="1" t="s">
        <v>13</v>
      </c>
      <c r="O1" s="1" t="s">
        <v>12</v>
      </c>
      <c r="P1" s="1" t="s">
        <v>15</v>
      </c>
      <c r="Q1" s="1" t="s">
        <v>14</v>
      </c>
      <c r="R1" s="11" t="s">
        <v>16</v>
      </c>
      <c r="S1" s="12" t="s">
        <v>17</v>
      </c>
    </row>
    <row r="2" spans="1:19" x14ac:dyDescent="0.35">
      <c r="A2" s="3">
        <f>R94</f>
        <v>375437.75611917156</v>
      </c>
      <c r="B2" s="4">
        <f>S94</f>
        <v>0.44738264705209924</v>
      </c>
      <c r="C2" s="5"/>
      <c r="D2" s="4"/>
      <c r="E2" s="4"/>
      <c r="F2" s="4"/>
      <c r="G2" s="4"/>
      <c r="H2" s="5"/>
      <c r="I2" s="5"/>
      <c r="J2" s="5"/>
      <c r="M2" s="2" t="s">
        <v>11</v>
      </c>
      <c r="N2" s="5">
        <v>529905000</v>
      </c>
      <c r="O2" s="5">
        <v>1108223000</v>
      </c>
      <c r="P2" s="6">
        <v>12587</v>
      </c>
      <c r="Q2" s="21">
        <f>N2/P2</f>
        <v>42099.388257726227</v>
      </c>
      <c r="R2" s="5">
        <f>O2/P2</f>
        <v>88045.046476523392</v>
      </c>
      <c r="S2" s="4">
        <f>N2/O2</f>
        <v>0.47815737446344281</v>
      </c>
    </row>
    <row r="3" spans="1:19" x14ac:dyDescent="0.35">
      <c r="A3" s="3">
        <f t="shared" ref="A3:B3" si="0">R95</f>
        <v>468176.02309956134</v>
      </c>
      <c r="B3" s="4">
        <f t="shared" si="0"/>
        <v>0.43607026700960766</v>
      </c>
      <c r="C3" s="5"/>
      <c r="D3" s="4"/>
      <c r="E3" s="4"/>
      <c r="F3" s="4"/>
      <c r="G3" s="4"/>
      <c r="H3" s="5"/>
      <c r="I3" s="5"/>
      <c r="J3" s="5"/>
      <c r="M3" s="2" t="s">
        <v>2</v>
      </c>
      <c r="N3" s="5">
        <v>2493627000</v>
      </c>
      <c r="O3" s="5">
        <v>5308239000</v>
      </c>
      <c r="P3" s="6">
        <v>14520</v>
      </c>
      <c r="Q3" s="21">
        <f t="shared" ref="Q3:Q12" si="1">N3/P3</f>
        <v>171737.39669421487</v>
      </c>
      <c r="R3" s="5">
        <f t="shared" ref="R3:R11" si="2">O3/P3</f>
        <v>365581.19834710745</v>
      </c>
      <c r="S3" s="4">
        <f t="shared" ref="S3:S11" si="3">N3/O3</f>
        <v>0.46976539677282803</v>
      </c>
    </row>
    <row r="4" spans="1:19" x14ac:dyDescent="0.35">
      <c r="A4" s="3">
        <f t="shared" ref="A4:B4" si="4">R96</f>
        <v>535663.8125</v>
      </c>
      <c r="B4" s="4">
        <f t="shared" si="4"/>
        <v>0.50331673749195072</v>
      </c>
      <c r="C4" s="5"/>
      <c r="D4" s="4"/>
      <c r="E4" s="4"/>
      <c r="F4" s="4"/>
      <c r="G4" s="4"/>
      <c r="H4" s="5"/>
      <c r="I4" s="5"/>
      <c r="J4" s="5"/>
      <c r="L4" s="7"/>
      <c r="M4" s="7" t="s">
        <v>3</v>
      </c>
      <c r="N4" s="5">
        <v>2214967075</v>
      </c>
      <c r="O4" s="8">
        <v>4670751000</v>
      </c>
      <c r="P4" s="6">
        <v>15055</v>
      </c>
      <c r="Q4" s="22">
        <f t="shared" si="1"/>
        <v>147125.01328462304</v>
      </c>
      <c r="R4" s="8">
        <f t="shared" si="2"/>
        <v>310245.83194951841</v>
      </c>
      <c r="S4" s="9">
        <f t="shared" si="3"/>
        <v>0.47422075700460159</v>
      </c>
    </row>
    <row r="5" spans="1:19" x14ac:dyDescent="0.35">
      <c r="A5" s="3">
        <f t="shared" ref="A5:B5" si="5">R97</f>
        <v>276252.19626168226</v>
      </c>
      <c r="B5" s="4">
        <f t="shared" si="5"/>
        <v>0.40953300663064041</v>
      </c>
      <c r="C5" s="5"/>
      <c r="D5" s="4"/>
      <c r="E5" s="4"/>
      <c r="F5" s="4"/>
      <c r="G5" s="4"/>
      <c r="H5" s="5"/>
      <c r="I5" s="5"/>
      <c r="J5" s="5"/>
      <c r="M5" s="2" t="s">
        <v>4</v>
      </c>
      <c r="N5" s="5">
        <v>3499337248</v>
      </c>
      <c r="O5" s="5">
        <v>8345215000</v>
      </c>
      <c r="P5" s="6">
        <v>24960</v>
      </c>
      <c r="Q5" s="21">
        <f t="shared" si="1"/>
        <v>140197.80641025642</v>
      </c>
      <c r="R5" s="5">
        <f t="shared" si="2"/>
        <v>334343.54967948719</v>
      </c>
      <c r="S5" s="4">
        <f t="shared" si="3"/>
        <v>0.41932259959749391</v>
      </c>
    </row>
    <row r="6" spans="1:19" x14ac:dyDescent="0.35">
      <c r="A6" s="3">
        <f t="shared" ref="A6:B6" si="6">R98</f>
        <v>132089.5652173913</v>
      </c>
      <c r="B6" s="4">
        <f t="shared" si="6"/>
        <v>0.40145531556322128</v>
      </c>
      <c r="C6" s="5"/>
      <c r="D6" s="4"/>
      <c r="E6" s="4"/>
      <c r="F6" s="4"/>
      <c r="G6" s="4"/>
      <c r="H6" s="5"/>
      <c r="I6" s="5"/>
      <c r="J6" s="5"/>
      <c r="M6" s="2" t="s">
        <v>5</v>
      </c>
      <c r="N6" s="5">
        <v>1869658000</v>
      </c>
      <c r="O6" s="5">
        <v>3839754000</v>
      </c>
      <c r="P6" s="6">
        <v>16016</v>
      </c>
      <c r="Q6" s="21">
        <f t="shared" si="1"/>
        <v>116736.88811188811</v>
      </c>
      <c r="R6" s="5">
        <f t="shared" si="2"/>
        <v>239744.88011988011</v>
      </c>
      <c r="S6" s="4">
        <f t="shared" si="3"/>
        <v>0.48692129756229174</v>
      </c>
    </row>
    <row r="7" spans="1:19" x14ac:dyDescent="0.35">
      <c r="A7" s="3">
        <f t="shared" ref="A7:B7" si="7">R99</f>
        <v>592844.52810815431</v>
      </c>
      <c r="B7" s="4">
        <f t="shared" si="7"/>
        <v>0.4067717103115302</v>
      </c>
      <c r="C7" s="5"/>
      <c r="D7" s="4"/>
      <c r="E7" s="4"/>
      <c r="F7" s="4"/>
      <c r="G7" s="4"/>
      <c r="H7" s="5"/>
      <c r="I7" s="5"/>
      <c r="J7" s="5"/>
      <c r="M7" s="2" t="s">
        <v>6</v>
      </c>
      <c r="N7" s="5">
        <v>4120951527</v>
      </c>
      <c r="O7" s="5">
        <v>9286699000</v>
      </c>
      <c r="P7" s="6">
        <v>16424</v>
      </c>
      <c r="Q7" s="21">
        <f t="shared" si="1"/>
        <v>250910.34626156843</v>
      </c>
      <c r="R7" s="5">
        <f t="shared" si="2"/>
        <v>565434.66877739888</v>
      </c>
      <c r="S7" s="4">
        <f t="shared" si="3"/>
        <v>0.44374772209156343</v>
      </c>
    </row>
    <row r="8" spans="1:19" x14ac:dyDescent="0.35">
      <c r="A8" s="3">
        <f t="shared" ref="A8:B8" si="8">R100</f>
        <v>257833.10549100023</v>
      </c>
      <c r="B8" s="4">
        <f t="shared" si="8"/>
        <v>0.42818298745304889</v>
      </c>
      <c r="C8" s="5"/>
      <c r="D8" s="4"/>
      <c r="E8" s="4"/>
      <c r="F8" s="4"/>
      <c r="G8" s="4"/>
      <c r="H8" s="5"/>
      <c r="I8" s="5"/>
      <c r="J8" s="5"/>
      <c r="M8" s="2" t="s">
        <v>7</v>
      </c>
      <c r="N8" s="5">
        <v>1885692000</v>
      </c>
      <c r="O8" s="5">
        <v>4333153000</v>
      </c>
      <c r="P8" s="6">
        <v>19915</v>
      </c>
      <c r="Q8" s="21">
        <f>N8/P8</f>
        <v>94687.019834295759</v>
      </c>
      <c r="R8" s="5">
        <f t="shared" si="2"/>
        <v>217582.37509415013</v>
      </c>
      <c r="S8" s="4">
        <f t="shared" si="3"/>
        <v>0.43517780239931525</v>
      </c>
    </row>
    <row r="9" spans="1:19" x14ac:dyDescent="0.35">
      <c r="A9" s="3">
        <f t="shared" ref="A9:B9" si="9">R101</f>
        <v>115796.86179843089</v>
      </c>
      <c r="B9" s="4">
        <f t="shared" si="9"/>
        <v>0.43964051671032345</v>
      </c>
      <c r="C9" s="5"/>
      <c r="D9" s="4"/>
      <c r="E9" s="4"/>
      <c r="F9" s="4"/>
      <c r="G9" s="4"/>
      <c r="H9" s="5"/>
      <c r="I9" s="5"/>
      <c r="J9" s="5"/>
      <c r="M9" s="2" t="s">
        <v>8</v>
      </c>
      <c r="N9" s="5">
        <v>1673976000</v>
      </c>
      <c r="O9" s="5">
        <v>3161198000</v>
      </c>
      <c r="P9" s="6">
        <v>12458</v>
      </c>
      <c r="Q9" s="21">
        <f t="shared" si="1"/>
        <v>134369.56172740407</v>
      </c>
      <c r="R9" s="5">
        <f t="shared" si="2"/>
        <v>253748.43474072884</v>
      </c>
      <c r="S9" s="4">
        <f t="shared" si="3"/>
        <v>0.52953848509330959</v>
      </c>
    </row>
    <row r="10" spans="1:19" x14ac:dyDescent="0.35">
      <c r="A10" s="3">
        <f t="shared" ref="A10:B10" si="10">R102</f>
        <v>915817.33127959387</v>
      </c>
      <c r="B10" s="4">
        <f t="shared" si="10"/>
        <v>0.44265292815299373</v>
      </c>
      <c r="C10" s="5"/>
      <c r="D10" s="4"/>
      <c r="E10" s="4"/>
      <c r="F10" s="4"/>
      <c r="G10" s="4"/>
      <c r="H10" s="5"/>
      <c r="I10" s="5"/>
      <c r="J10" s="5"/>
      <c r="M10" s="2" t="s">
        <v>9</v>
      </c>
      <c r="N10" s="5">
        <v>680790000</v>
      </c>
      <c r="O10" s="5">
        <v>1308668000</v>
      </c>
      <c r="P10" s="6">
        <v>7979</v>
      </c>
      <c r="Q10" s="21">
        <f t="shared" si="1"/>
        <v>85322.722145632288</v>
      </c>
      <c r="R10" s="5">
        <f t="shared" si="2"/>
        <v>164014.03684672265</v>
      </c>
      <c r="S10" s="4">
        <f t="shared" si="3"/>
        <v>0.52021597532758501</v>
      </c>
    </row>
    <row r="11" spans="1:19" x14ac:dyDescent="0.35">
      <c r="A11" s="3">
        <f t="shared" ref="A11:B11" si="11">R103</f>
        <v>117859.51859956236</v>
      </c>
      <c r="B11" s="4">
        <f t="shared" si="11"/>
        <v>0.43273340289407336</v>
      </c>
      <c r="C11" s="5"/>
      <c r="D11" s="4"/>
      <c r="E11" s="4"/>
      <c r="F11" s="4"/>
      <c r="G11" s="4"/>
      <c r="H11" s="5"/>
      <c r="I11" s="5"/>
      <c r="J11" s="5"/>
      <c r="M11" s="2" t="s">
        <v>19</v>
      </c>
      <c r="N11" s="5">
        <v>978230344</v>
      </c>
      <c r="O11" s="5">
        <v>2109447000</v>
      </c>
      <c r="P11" s="6">
        <v>21840</v>
      </c>
      <c r="Q11" s="21">
        <f t="shared" si="1"/>
        <v>44790.76666666667</v>
      </c>
      <c r="R11" s="5">
        <f t="shared" si="2"/>
        <v>96586.4010989011</v>
      </c>
      <c r="S11" s="4">
        <f t="shared" si="3"/>
        <v>0.46373781564552224</v>
      </c>
    </row>
    <row r="12" spans="1:19" x14ac:dyDescent="0.35">
      <c r="A12" s="3">
        <f t="shared" ref="A12:B12" si="12">R104</f>
        <v>334639.54986102635</v>
      </c>
      <c r="B12" s="4">
        <f t="shared" si="12"/>
        <v>0.47163889805010589</v>
      </c>
      <c r="C12" s="5"/>
      <c r="D12" s="4"/>
      <c r="E12" s="4"/>
      <c r="F12" s="4"/>
      <c r="G12" s="4"/>
      <c r="H12" s="5"/>
      <c r="I12" s="5"/>
      <c r="J12" s="5"/>
      <c r="M12" s="2" t="s">
        <v>20</v>
      </c>
      <c r="N12" s="5">
        <v>333541000</v>
      </c>
      <c r="O12" s="5">
        <v>582557000</v>
      </c>
      <c r="P12" s="6">
        <v>6904</v>
      </c>
      <c r="Q12" s="21">
        <f t="shared" si="1"/>
        <v>48311.268829663961</v>
      </c>
      <c r="R12" s="5">
        <f t="shared" ref="R12" si="13">O12/P12</f>
        <v>84379.634994206252</v>
      </c>
      <c r="S12" s="4">
        <f t="shared" ref="S12" si="14">N12/O12</f>
        <v>0.57254654909305014</v>
      </c>
    </row>
    <row r="13" spans="1:19" x14ac:dyDescent="0.35">
      <c r="A13" s="5">
        <v>50000</v>
      </c>
      <c r="B13" s="4"/>
      <c r="C13" s="4">
        <f>40000/Table1[[#This Row],[X-Values]]</f>
        <v>0.8</v>
      </c>
      <c r="D13" s="4">
        <f>80000/Table1[[#This Row],[X-Values]]</f>
        <v>1.6</v>
      </c>
      <c r="E13" s="4">
        <f>120000/Table1[[#This Row],[X-Values]]</f>
        <v>2.4</v>
      </c>
      <c r="F13" s="4">
        <f>160000/Table1[[#This Row],[X-Values]]</f>
        <v>3.2</v>
      </c>
      <c r="G13" s="10">
        <f>200000/Table1[[#This Row],[X-Values]]</f>
        <v>4</v>
      </c>
      <c r="H13" s="4">
        <f>240000/Table1[[#This Row],[X-Values]]</f>
        <v>4.8</v>
      </c>
      <c r="I13" s="26">
        <f>280000/Table1[[#This Row],[X-Values]]</f>
        <v>5.6</v>
      </c>
      <c r="J13" s="4">
        <f>320000/Table1[[#This Row],[X-Values]]</f>
        <v>6.4</v>
      </c>
    </row>
    <row r="14" spans="1:19" ht="16" thickBot="1" x14ac:dyDescent="0.4">
      <c r="A14" s="5">
        <v>75000</v>
      </c>
      <c r="B14" s="4"/>
      <c r="C14" s="4">
        <f>40000/Table1[[#This Row],[X-Values]]</f>
        <v>0.53333333333333333</v>
      </c>
      <c r="D14" s="4">
        <f>80000/Table1[[#This Row],[X-Values]]</f>
        <v>1.0666666666666667</v>
      </c>
      <c r="E14" s="4">
        <f>120000/Table1[[#This Row],[X-Values]]</f>
        <v>1.6</v>
      </c>
      <c r="F14" s="4">
        <f>160000/Table1[[#This Row],[X-Values]]</f>
        <v>2.1333333333333333</v>
      </c>
      <c r="G14" s="10">
        <f>200000/Table1[[#This Row],[X-Values]]</f>
        <v>2.6666666666666665</v>
      </c>
      <c r="H14" s="4">
        <f>240000/Table1[[#This Row],[X-Values]]</f>
        <v>3.2</v>
      </c>
      <c r="I14" s="4">
        <f>280000/Table1[[#This Row],[X-Values]]</f>
        <v>3.7333333333333334</v>
      </c>
      <c r="J14" s="4">
        <f>320000/Table1[[#This Row],[X-Values]]</f>
        <v>4.2666666666666666</v>
      </c>
      <c r="L14" s="1">
        <v>2016</v>
      </c>
      <c r="M14" s="1" t="s">
        <v>10</v>
      </c>
      <c r="N14" s="11" t="s">
        <v>13</v>
      </c>
      <c r="O14" s="11" t="s">
        <v>12</v>
      </c>
      <c r="P14" s="13" t="s">
        <v>15</v>
      </c>
      <c r="Q14" s="11" t="s">
        <v>14</v>
      </c>
      <c r="R14" s="1" t="s">
        <v>18</v>
      </c>
      <c r="S14" s="12" t="s">
        <v>17</v>
      </c>
    </row>
    <row r="15" spans="1:19" x14ac:dyDescent="0.35">
      <c r="A15" s="5">
        <v>100000</v>
      </c>
      <c r="B15" s="4"/>
      <c r="C15" s="4">
        <f>40000/Table1[[#This Row],[X-Values]]</f>
        <v>0.4</v>
      </c>
      <c r="D15" s="4">
        <f>80000/Table1[[#This Row],[X-Values]]</f>
        <v>0.8</v>
      </c>
      <c r="E15" s="4">
        <f>120000/Table1[[#This Row],[X-Values]]</f>
        <v>1.2</v>
      </c>
      <c r="F15" s="4">
        <f>160000/Table1[[#This Row],[X-Values]]</f>
        <v>1.6</v>
      </c>
      <c r="G15" s="10">
        <f>200000/Table1[[#This Row],[X-Values]]</f>
        <v>2</v>
      </c>
      <c r="H15" s="4">
        <f>240000/Table1[[#This Row],[X-Values]]</f>
        <v>2.4</v>
      </c>
      <c r="I15" s="4">
        <f>280000/Table1[[#This Row],[X-Values]]</f>
        <v>2.8</v>
      </c>
      <c r="J15" s="4">
        <f>320000/Table1[[#This Row],[X-Values]]</f>
        <v>3.2</v>
      </c>
      <c r="M15" s="14" t="s">
        <v>11</v>
      </c>
      <c r="N15" s="5">
        <v>449900000</v>
      </c>
      <c r="O15" s="5">
        <v>1129553000</v>
      </c>
      <c r="P15" s="6">
        <v>12587</v>
      </c>
      <c r="Q15" s="5">
        <v>35743</v>
      </c>
      <c r="R15" s="5">
        <v>89739.65</v>
      </c>
      <c r="S15" s="4">
        <v>0.4</v>
      </c>
    </row>
    <row r="16" spans="1:19" x14ac:dyDescent="0.35">
      <c r="A16" s="5">
        <v>150000</v>
      </c>
      <c r="B16" s="4"/>
      <c r="C16" s="4">
        <f>40000/Table1[[#This Row],[X-Values]]</f>
        <v>0.26666666666666666</v>
      </c>
      <c r="D16" s="4">
        <f>80000/Table1[[#This Row],[X-Values]]</f>
        <v>0.53333333333333333</v>
      </c>
      <c r="E16" s="4">
        <f>120000/Table1[[#This Row],[X-Values]]</f>
        <v>0.8</v>
      </c>
      <c r="F16" s="4">
        <f>160000/Table1[[#This Row],[X-Values]]</f>
        <v>1.0666666666666667</v>
      </c>
      <c r="G16" s="10">
        <f>200000/Table1[[#This Row],[X-Values]]</f>
        <v>1.3333333333333333</v>
      </c>
      <c r="H16" s="4">
        <f>240000/Table1[[#This Row],[X-Values]]</f>
        <v>1.6</v>
      </c>
      <c r="I16" s="4">
        <f>280000/Table1[[#This Row],[X-Values]]</f>
        <v>1.8666666666666667</v>
      </c>
      <c r="J16" s="4">
        <f>320000/Table1[[#This Row],[X-Values]]</f>
        <v>2.1333333333333333</v>
      </c>
      <c r="M16" s="2" t="s">
        <v>2</v>
      </c>
      <c r="N16" s="5">
        <v>2303549000</v>
      </c>
      <c r="O16" s="5">
        <v>5451195000</v>
      </c>
      <c r="P16" s="6">
        <v>14514</v>
      </c>
      <c r="Q16" s="5">
        <v>158712</v>
      </c>
      <c r="R16" s="5">
        <v>375581.85</v>
      </c>
      <c r="S16" s="4">
        <v>0.42</v>
      </c>
    </row>
    <row r="17" spans="1:20" x14ac:dyDescent="0.35">
      <c r="A17" s="5">
        <v>200000</v>
      </c>
      <c r="B17" s="4"/>
      <c r="C17" s="4">
        <f>40000/Table1[[#This Row],[X-Values]]</f>
        <v>0.2</v>
      </c>
      <c r="D17" s="4">
        <f>80000/Table1[[#This Row],[X-Values]]</f>
        <v>0.4</v>
      </c>
      <c r="E17" s="4">
        <f>120000/Table1[[#This Row],[X-Values]]</f>
        <v>0.6</v>
      </c>
      <c r="F17" s="4">
        <f>160000/Table1[[#This Row],[X-Values]]</f>
        <v>0.8</v>
      </c>
      <c r="G17" s="10">
        <f>200000/Table1[[#This Row],[X-Values]]</f>
        <v>1</v>
      </c>
      <c r="H17" s="4">
        <f>240000/Table1[[#This Row],[X-Values]]</f>
        <v>1.2</v>
      </c>
      <c r="I17" s="4">
        <f>280000/Table1[[#This Row],[X-Values]]</f>
        <v>1.4</v>
      </c>
      <c r="J17" s="4">
        <f>320000/Table1[[#This Row],[X-Values]]</f>
        <v>1.6</v>
      </c>
      <c r="M17" s="2" t="s">
        <v>3</v>
      </c>
      <c r="N17" s="5">
        <v>2875003000</v>
      </c>
      <c r="O17" s="5">
        <v>4667370000</v>
      </c>
      <c r="P17" s="6">
        <v>14724</v>
      </c>
      <c r="Q17" s="5">
        <v>195260</v>
      </c>
      <c r="R17" s="5">
        <v>316990.63</v>
      </c>
      <c r="S17" s="4">
        <v>0.62</v>
      </c>
    </row>
    <row r="18" spans="1:20" x14ac:dyDescent="0.35">
      <c r="A18" s="5">
        <v>250000</v>
      </c>
      <c r="B18" s="4"/>
      <c r="C18" s="4">
        <f>40000/Table1[[#This Row],[X-Values]]</f>
        <v>0.16</v>
      </c>
      <c r="D18" s="4">
        <f>80000/Table1[[#This Row],[X-Values]]</f>
        <v>0.32</v>
      </c>
      <c r="E18" s="4">
        <f>120000/Table1[[#This Row],[X-Values]]</f>
        <v>0.48</v>
      </c>
      <c r="F18" s="4">
        <f>160000/Table1[[#This Row],[X-Values]]</f>
        <v>0.64</v>
      </c>
      <c r="G18" s="10">
        <f>200000/Table1[[#This Row],[X-Values]]</f>
        <v>0.8</v>
      </c>
      <c r="H18" s="4">
        <f>240000/Table1[[#This Row],[X-Values]]</f>
        <v>0.96</v>
      </c>
      <c r="I18" s="4">
        <f>280000/Table1[[#This Row],[X-Values]]</f>
        <v>1.1200000000000001</v>
      </c>
      <c r="J18" s="4">
        <f>320000/Table1[[#This Row],[X-Values]]</f>
        <v>1.28</v>
      </c>
      <c r="M18" s="2" t="s">
        <v>4</v>
      </c>
      <c r="N18" s="5">
        <v>4728829000</v>
      </c>
      <c r="O18" s="5">
        <v>8139987000</v>
      </c>
      <c r="P18" s="6">
        <v>21563</v>
      </c>
      <c r="Q18" s="5">
        <v>219303</v>
      </c>
      <c r="R18" s="5">
        <v>377497.89</v>
      </c>
      <c r="S18" s="4">
        <v>0.57999999999999996</v>
      </c>
    </row>
    <row r="19" spans="1:20" x14ac:dyDescent="0.35">
      <c r="A19" s="5">
        <v>300000</v>
      </c>
      <c r="B19" s="4"/>
      <c r="C19" s="4">
        <f>40000/Table1[[#This Row],[X-Values]]</f>
        <v>0.13333333333333333</v>
      </c>
      <c r="D19" s="4">
        <f>80000/Table1[[#This Row],[X-Values]]</f>
        <v>0.26666666666666666</v>
      </c>
      <c r="E19" s="4">
        <f>120000/Table1[[#This Row],[X-Values]]</f>
        <v>0.4</v>
      </c>
      <c r="F19" s="4">
        <f>160000/Table1[[#This Row],[X-Values]]</f>
        <v>0.53333333333333333</v>
      </c>
      <c r="G19" s="10">
        <f>200000/Table1[[#This Row],[X-Values]]</f>
        <v>0.66666666666666663</v>
      </c>
      <c r="H19" s="4">
        <f>240000/Table1[[#This Row],[X-Values]]</f>
        <v>0.8</v>
      </c>
      <c r="I19" s="4">
        <f>280000/Table1[[#This Row],[X-Values]]</f>
        <v>0.93333333333333335</v>
      </c>
      <c r="J19" s="4">
        <f>320000/Table1[[#This Row],[X-Values]]</f>
        <v>1.0666666666666667</v>
      </c>
      <c r="M19" s="2" t="s">
        <v>5</v>
      </c>
      <c r="N19" s="5">
        <v>1682583000</v>
      </c>
      <c r="O19" s="5">
        <v>3813929000</v>
      </c>
      <c r="P19" s="6">
        <v>15726</v>
      </c>
      <c r="Q19" s="5">
        <v>106994</v>
      </c>
      <c r="R19" s="5">
        <v>242523.78</v>
      </c>
      <c r="S19" s="4">
        <v>0.44</v>
      </c>
    </row>
    <row r="20" spans="1:20" x14ac:dyDescent="0.35">
      <c r="A20" s="5">
        <v>350000</v>
      </c>
      <c r="B20" s="4"/>
      <c r="C20" s="4">
        <f>40000/Table1[[#This Row],[X-Values]]</f>
        <v>0.11428571428571428</v>
      </c>
      <c r="D20" s="4">
        <f>80000/Table1[[#This Row],[X-Values]]</f>
        <v>0.22857142857142856</v>
      </c>
      <c r="E20" s="4">
        <f>120000/Table1[[#This Row],[X-Values]]</f>
        <v>0.34285714285714286</v>
      </c>
      <c r="F20" s="4">
        <f>160000/Table1[[#This Row],[X-Values]]</f>
        <v>0.45714285714285713</v>
      </c>
      <c r="G20" s="10">
        <f>200000/Table1[[#This Row],[X-Values]]</f>
        <v>0.5714285714285714</v>
      </c>
      <c r="H20" s="4">
        <f>240000/Table1[[#This Row],[X-Values]]</f>
        <v>0.68571428571428572</v>
      </c>
      <c r="I20" s="4">
        <f>280000/Table1[[#This Row],[X-Values]]</f>
        <v>0.8</v>
      </c>
      <c r="J20" s="4">
        <f>320000/Table1[[#This Row],[X-Values]]</f>
        <v>0.91428571428571426</v>
      </c>
      <c r="M20" s="2" t="s">
        <v>6</v>
      </c>
      <c r="N20" s="5">
        <v>3091657000</v>
      </c>
      <c r="O20" s="8">
        <v>4914610000</v>
      </c>
      <c r="P20" s="6">
        <v>16122</v>
      </c>
      <c r="Q20" s="5">
        <v>191766</v>
      </c>
      <c r="R20" s="5">
        <v>304838.73</v>
      </c>
      <c r="S20" s="4">
        <v>0.63</v>
      </c>
    </row>
    <row r="21" spans="1:20" x14ac:dyDescent="0.35">
      <c r="A21" s="5">
        <v>400000</v>
      </c>
      <c r="B21" s="4"/>
      <c r="C21" s="4">
        <f>40000/Table1[[#This Row],[X-Values]]</f>
        <v>0.1</v>
      </c>
      <c r="D21" s="4">
        <f>80000/Table1[[#This Row],[X-Values]]</f>
        <v>0.2</v>
      </c>
      <c r="E21" s="4">
        <f>120000/Table1[[#This Row],[X-Values]]</f>
        <v>0.3</v>
      </c>
      <c r="F21" s="4">
        <f>160000/Table1[[#This Row],[X-Values]]</f>
        <v>0.4</v>
      </c>
      <c r="G21" s="10">
        <f>200000/Table1[[#This Row],[X-Values]]</f>
        <v>0.5</v>
      </c>
      <c r="H21" s="4">
        <f>240000/Table1[[#This Row],[X-Values]]</f>
        <v>0.6</v>
      </c>
      <c r="I21" s="4">
        <f>280000/Table1[[#This Row],[X-Values]]</f>
        <v>0.7</v>
      </c>
      <c r="J21" s="4">
        <f>320000/Table1[[#This Row],[X-Values]]</f>
        <v>0.8</v>
      </c>
      <c r="M21" s="2" t="s">
        <v>7</v>
      </c>
      <c r="N21" s="5">
        <v>1806280000</v>
      </c>
      <c r="O21" s="5">
        <v>4700225000</v>
      </c>
      <c r="P21" s="6">
        <v>21950</v>
      </c>
      <c r="Q21" s="5">
        <v>82291</v>
      </c>
      <c r="R21" s="5">
        <v>214133.26</v>
      </c>
      <c r="S21" s="4">
        <v>0.38</v>
      </c>
    </row>
    <row r="22" spans="1:20" x14ac:dyDescent="0.35">
      <c r="A22" s="5">
        <v>450000</v>
      </c>
      <c r="B22" s="4"/>
      <c r="C22" s="4">
        <f>40000/Table1[[#This Row],[X-Values]]</f>
        <v>8.8888888888888892E-2</v>
      </c>
      <c r="D22" s="4">
        <f>80000/Table1[[#This Row],[X-Values]]</f>
        <v>0.17777777777777778</v>
      </c>
      <c r="E22" s="4">
        <f>120000/Table1[[#This Row],[X-Values]]</f>
        <v>0.26666666666666666</v>
      </c>
      <c r="F22" s="4">
        <f>160000/Table1[[#This Row],[X-Values]]</f>
        <v>0.35555555555555557</v>
      </c>
      <c r="G22" s="10">
        <f>200000/Table1[[#This Row],[X-Values]]</f>
        <v>0.44444444444444442</v>
      </c>
      <c r="H22" s="4">
        <f>240000/Table1[[#This Row],[X-Values]]</f>
        <v>0.53333333333333333</v>
      </c>
      <c r="I22" s="4">
        <f>280000/Table1[[#This Row],[X-Values]]</f>
        <v>0.62222222222222223</v>
      </c>
      <c r="J22" s="4">
        <f>320000/Table1[[#This Row],[X-Values]]</f>
        <v>0.71111111111111114</v>
      </c>
      <c r="M22" s="2" t="s">
        <v>8</v>
      </c>
      <c r="N22" s="5">
        <v>1576953000</v>
      </c>
      <c r="O22" s="5">
        <v>3364206000</v>
      </c>
      <c r="P22" s="6">
        <v>12312</v>
      </c>
      <c r="Q22" s="5">
        <v>128083</v>
      </c>
      <c r="R22" s="5">
        <v>273246.09999999998</v>
      </c>
      <c r="S22" s="4">
        <v>0.47</v>
      </c>
    </row>
    <row r="23" spans="1:20" x14ac:dyDescent="0.35">
      <c r="A23" s="5">
        <v>500000</v>
      </c>
      <c r="B23" s="4"/>
      <c r="C23" s="4">
        <f>40000/Table1[[#This Row],[X-Values]]</f>
        <v>0.08</v>
      </c>
      <c r="D23" s="4">
        <f>80000/Table1[[#This Row],[X-Values]]</f>
        <v>0.16</v>
      </c>
      <c r="E23" s="4">
        <f>120000/Table1[[#This Row],[X-Values]]</f>
        <v>0.24</v>
      </c>
      <c r="F23" s="4">
        <f>160000/Table1[[#This Row],[X-Values]]</f>
        <v>0.32</v>
      </c>
      <c r="G23" s="10">
        <f>200000/Table1[[#This Row],[X-Values]]</f>
        <v>0.4</v>
      </c>
      <c r="H23" s="4">
        <f>240000/Table1[[#This Row],[X-Values]]</f>
        <v>0.48</v>
      </c>
      <c r="I23" s="4">
        <f>280000/Table1[[#This Row],[X-Values]]</f>
        <v>0.56000000000000005</v>
      </c>
      <c r="J23" s="4">
        <f>320000/Table1[[#This Row],[X-Values]]</f>
        <v>0.64</v>
      </c>
      <c r="M23" s="2" t="s">
        <v>9</v>
      </c>
      <c r="N23" s="5">
        <v>653477000</v>
      </c>
      <c r="O23" s="5">
        <v>1670740000</v>
      </c>
      <c r="P23" s="6">
        <v>7974</v>
      </c>
      <c r="Q23" s="5">
        <v>81951</v>
      </c>
      <c r="R23" s="5">
        <v>209523.45</v>
      </c>
      <c r="S23" s="4">
        <v>0.39</v>
      </c>
    </row>
    <row r="24" spans="1:20" x14ac:dyDescent="0.35">
      <c r="A24" s="5">
        <v>550000</v>
      </c>
      <c r="B24" s="4"/>
      <c r="C24" s="4">
        <f>40000/Table1[[#This Row],[X-Values]]</f>
        <v>7.2727272727272724E-2</v>
      </c>
      <c r="D24" s="4">
        <f>80000/Table1[[#This Row],[X-Values]]</f>
        <v>0.14545454545454545</v>
      </c>
      <c r="E24" s="4">
        <f>120000/Table1[[#This Row],[X-Values]]</f>
        <v>0.21818181818181817</v>
      </c>
      <c r="F24" s="4">
        <f>160000/Table1[[#This Row],[X-Values]]</f>
        <v>0.29090909090909089</v>
      </c>
      <c r="G24" s="4">
        <f>200000/Table1[[#This Row],[X-Values]]</f>
        <v>0.36363636363636365</v>
      </c>
      <c r="H24" s="4">
        <f>240000/Table1[[#This Row],[X-Values]]</f>
        <v>0.43636363636363634</v>
      </c>
      <c r="I24" s="4">
        <f>280000/Table1[[#This Row],[X-Values]]</f>
        <v>0.50909090909090904</v>
      </c>
      <c r="J24" s="4">
        <f>320000/Table1[[#This Row],[X-Values]]</f>
        <v>0.58181818181818179</v>
      </c>
      <c r="S24" s="2"/>
    </row>
    <row r="25" spans="1:20" ht="16" thickBot="1" x14ac:dyDescent="0.4">
      <c r="A25" s="5">
        <v>600000</v>
      </c>
      <c r="B25" s="4"/>
      <c r="C25" s="4">
        <f>40000/Table1[[#This Row],[X-Values]]</f>
        <v>6.6666666666666666E-2</v>
      </c>
      <c r="D25" s="4">
        <f>80000/Table1[[#This Row],[X-Values]]</f>
        <v>0.13333333333333333</v>
      </c>
      <c r="E25" s="4">
        <f>120000/Table1[[#This Row],[X-Values]]</f>
        <v>0.2</v>
      </c>
      <c r="F25" s="4">
        <f>160000/Table1[[#This Row],[X-Values]]</f>
        <v>0.26666666666666666</v>
      </c>
      <c r="G25" s="4">
        <f>200000/Table1[[#This Row],[X-Values]]</f>
        <v>0.33333333333333331</v>
      </c>
      <c r="H25" s="4">
        <f>240000/Table1[[#This Row],[X-Values]]</f>
        <v>0.4</v>
      </c>
      <c r="I25" s="4">
        <f>280000/Table1[[#This Row],[X-Values]]</f>
        <v>0.46666666666666667</v>
      </c>
      <c r="J25" s="4">
        <f>320000/Table1[[#This Row],[X-Values]]</f>
        <v>0.53333333333333333</v>
      </c>
      <c r="L25" s="1">
        <v>2018</v>
      </c>
      <c r="M25" s="1" t="s">
        <v>10</v>
      </c>
      <c r="N25" s="1" t="s">
        <v>13</v>
      </c>
      <c r="O25" s="1" t="s">
        <v>12</v>
      </c>
      <c r="P25" s="1" t="s">
        <v>15</v>
      </c>
      <c r="Q25" s="1" t="s">
        <v>14</v>
      </c>
      <c r="R25" s="1" t="s">
        <v>16</v>
      </c>
      <c r="S25" s="12" t="s">
        <v>17</v>
      </c>
    </row>
    <row r="26" spans="1:20" x14ac:dyDescent="0.35">
      <c r="A26" s="5">
        <v>650000</v>
      </c>
      <c r="B26" s="4"/>
      <c r="C26" s="4">
        <f>40000/Table1[[#This Row],[X-Values]]</f>
        <v>6.1538461538461542E-2</v>
      </c>
      <c r="D26" s="4">
        <f>80000/Table1[[#This Row],[X-Values]]</f>
        <v>0.12307692307692308</v>
      </c>
      <c r="E26" s="4">
        <f>120000/Table1[[#This Row],[X-Values]]</f>
        <v>0.18461538461538463</v>
      </c>
      <c r="F26" s="4">
        <f>160000/Table1[[#This Row],[X-Values]]</f>
        <v>0.24615384615384617</v>
      </c>
      <c r="G26" s="10">
        <f>200000/Table1[[#This Row],[X-Values]]</f>
        <v>0.30769230769230771</v>
      </c>
      <c r="H26" s="4">
        <f>240000/Table1[[#This Row],[X-Values]]</f>
        <v>0.36923076923076925</v>
      </c>
      <c r="I26" s="4">
        <f>280000/Table1[[#This Row],[X-Values]]</f>
        <v>0.43076923076923079</v>
      </c>
      <c r="J26" s="4">
        <f>320000/Table1[[#This Row],[X-Values]]</f>
        <v>0.49230769230769234</v>
      </c>
      <c r="M26" s="2" t="s">
        <v>11</v>
      </c>
      <c r="N26" s="5">
        <v>558687400.31897926</v>
      </c>
      <c r="O26" s="5">
        <v>1164892000</v>
      </c>
      <c r="P26" s="6">
        <v>13131</v>
      </c>
      <c r="Q26" s="5">
        <v>42547.20891927342</v>
      </c>
      <c r="R26" s="5">
        <v>88713.121620592487</v>
      </c>
      <c r="S26" s="4">
        <v>0.47960446145992869</v>
      </c>
    </row>
    <row r="27" spans="1:20" s="2" customFormat="1" x14ac:dyDescent="0.35">
      <c r="A27" s="5">
        <v>700000</v>
      </c>
      <c r="B27" s="4"/>
      <c r="C27" s="4">
        <f>40000/Table1[[#This Row],[X-Values]]</f>
        <v>5.7142857142857141E-2</v>
      </c>
      <c r="D27" s="4">
        <f>80000/Table1[[#This Row],[X-Values]]</f>
        <v>0.11428571428571428</v>
      </c>
      <c r="E27" s="4">
        <f>120000/Table1[[#This Row],[X-Values]]</f>
        <v>0.17142857142857143</v>
      </c>
      <c r="F27" s="4">
        <f>160000/Table1[[#This Row],[X-Values]]</f>
        <v>0.22857142857142856</v>
      </c>
      <c r="G27" s="10">
        <f>200000/Table1[[#This Row],[X-Values]]</f>
        <v>0.2857142857142857</v>
      </c>
      <c r="H27" s="4">
        <f>240000/Table1[[#This Row],[X-Values]]</f>
        <v>0.34285714285714286</v>
      </c>
      <c r="I27" s="4">
        <f>280000/Table1[[#This Row],[X-Values]]</f>
        <v>0.4</v>
      </c>
      <c r="J27" s="4">
        <f>320000/Table1[[#This Row],[X-Values]]</f>
        <v>0.45714285714285713</v>
      </c>
      <c r="M27" s="2" t="s">
        <v>2</v>
      </c>
      <c r="N27" s="5">
        <v>2811132000</v>
      </c>
      <c r="O27" s="5">
        <v>5970400000</v>
      </c>
      <c r="P27" s="6">
        <v>15892</v>
      </c>
      <c r="Q27" s="5">
        <v>176889.75585200102</v>
      </c>
      <c r="R27" s="5">
        <v>375685.87968789326</v>
      </c>
      <c r="S27" s="4">
        <v>0.47084483451695031</v>
      </c>
    </row>
    <row r="28" spans="1:20" s="2" customFormat="1" x14ac:dyDescent="0.35">
      <c r="A28" s="5">
        <v>750000</v>
      </c>
      <c r="B28" s="4"/>
      <c r="C28" s="4">
        <f>40000/Table1[[#This Row],[X-Values]]</f>
        <v>5.3333333333333337E-2</v>
      </c>
      <c r="D28" s="4">
        <f>80000/Table1[[#This Row],[X-Values]]</f>
        <v>0.10666666666666667</v>
      </c>
      <c r="E28" s="4">
        <f>120000/Table1[[#This Row],[X-Values]]</f>
        <v>0.16</v>
      </c>
      <c r="F28" s="4">
        <f>160000/Table1[[#This Row],[X-Values]]</f>
        <v>0.21333333333333335</v>
      </c>
      <c r="G28" s="10">
        <f>200000/Table1[[#This Row],[X-Values]]</f>
        <v>0.26666666666666666</v>
      </c>
      <c r="H28" s="4">
        <f>240000/Table1[[#This Row],[X-Values]]</f>
        <v>0.32</v>
      </c>
      <c r="I28" s="4">
        <f>280000/Table1[[#This Row],[X-Values]]</f>
        <v>0.37333333333333335</v>
      </c>
      <c r="J28" s="4">
        <f>320000/Table1[[#This Row],[X-Values]]</f>
        <v>0.42666666666666669</v>
      </c>
      <c r="N28" s="5"/>
      <c r="O28" s="5"/>
      <c r="P28" s="6"/>
      <c r="Q28" s="5"/>
      <c r="R28" s="5"/>
      <c r="S28" s="4"/>
    </row>
    <row r="29" spans="1:20" s="2" customFormat="1" x14ac:dyDescent="0.35">
      <c r="A29" s="5">
        <v>800000</v>
      </c>
      <c r="B29" s="4"/>
      <c r="C29" s="4">
        <f>40000/Table1[[#This Row],[X-Values]]</f>
        <v>0.05</v>
      </c>
      <c r="D29" s="4">
        <f>80000/Table1[[#This Row],[X-Values]]</f>
        <v>0.1</v>
      </c>
      <c r="E29" s="4">
        <f>120000/Table1[[#This Row],[X-Values]]</f>
        <v>0.15</v>
      </c>
      <c r="F29" s="4">
        <f>160000/Table1[[#This Row],[X-Values]]</f>
        <v>0.2</v>
      </c>
      <c r="G29" s="10">
        <f>200000/Table1[[#This Row],[X-Values]]</f>
        <v>0.25</v>
      </c>
      <c r="H29" s="4">
        <f>240000/Table1[[#This Row],[X-Values]]</f>
        <v>0.3</v>
      </c>
      <c r="I29" s="4">
        <f>280000/Table1[[#This Row],[X-Values]]</f>
        <v>0.35</v>
      </c>
      <c r="J29" s="4">
        <f>320000/Table1[[#This Row],[X-Values]]</f>
        <v>0.4</v>
      </c>
      <c r="N29" s="5"/>
      <c r="O29" s="5"/>
      <c r="P29" s="6"/>
      <c r="Q29" s="5"/>
      <c r="R29" s="5"/>
      <c r="S29" s="4"/>
    </row>
    <row r="30" spans="1:20" s="2" customFormat="1" x14ac:dyDescent="0.35">
      <c r="A30" s="5">
        <v>850000</v>
      </c>
      <c r="B30" s="4"/>
      <c r="C30" s="4">
        <f>40000/Table1[[#This Row],[X-Values]]</f>
        <v>4.7058823529411764E-2</v>
      </c>
      <c r="D30" s="4">
        <f>80000/Table1[[#This Row],[X-Values]]</f>
        <v>9.4117647058823528E-2</v>
      </c>
      <c r="E30" s="4">
        <f>120000/Table1[[#This Row],[X-Values]]</f>
        <v>0.14117647058823529</v>
      </c>
      <c r="F30" s="4">
        <f>160000/Table1[[#This Row],[X-Values]]</f>
        <v>0.18823529411764706</v>
      </c>
      <c r="G30" s="10">
        <f>200000/Table1[[#This Row],[X-Values]]</f>
        <v>0.23529411764705882</v>
      </c>
      <c r="H30" s="4">
        <f>240000/Table1[[#This Row],[X-Values]]</f>
        <v>0.28235294117647058</v>
      </c>
      <c r="I30" s="4">
        <f>280000/Table1[[#This Row],[X-Values]]</f>
        <v>0.32941176470588235</v>
      </c>
      <c r="J30" s="4">
        <f>320000/Table1[[#This Row],[X-Values]]</f>
        <v>0.37647058823529411</v>
      </c>
      <c r="M30" s="7" t="s">
        <v>3</v>
      </c>
      <c r="N30" s="8">
        <v>2703393000</v>
      </c>
      <c r="O30" s="8">
        <v>5038637000</v>
      </c>
      <c r="P30" s="15">
        <v>14273</v>
      </c>
      <c r="Q30" s="8">
        <v>189406.08141245708</v>
      </c>
      <c r="R30" s="8">
        <v>353018.77671127301</v>
      </c>
      <c r="S30" s="4">
        <v>0.53653259800219777</v>
      </c>
    </row>
    <row r="31" spans="1:20" s="2" customFormat="1" x14ac:dyDescent="0.35">
      <c r="A31" s="5">
        <v>900000</v>
      </c>
      <c r="B31" s="4"/>
      <c r="C31" s="4">
        <f>40000/Table1[[#This Row],[X-Values]]</f>
        <v>4.4444444444444446E-2</v>
      </c>
      <c r="D31" s="4">
        <f>80000/Table1[[#This Row],[X-Values]]</f>
        <v>8.8888888888888892E-2</v>
      </c>
      <c r="E31" s="4">
        <f>120000/Table1[[#This Row],[X-Values]]</f>
        <v>0.13333333333333333</v>
      </c>
      <c r="F31" s="4">
        <f>160000/Table1[[#This Row],[X-Values]]</f>
        <v>0.17777777777777778</v>
      </c>
      <c r="G31" s="10">
        <f>200000/Table1[[#This Row],[X-Values]]</f>
        <v>0.22222222222222221</v>
      </c>
      <c r="H31" s="4">
        <f>240000/Table1[[#This Row],[X-Values]]</f>
        <v>0.26666666666666666</v>
      </c>
      <c r="I31" s="4">
        <f>280000/Table1[[#This Row],[X-Values]]</f>
        <v>0.31111111111111112</v>
      </c>
      <c r="J31" s="4">
        <f>320000/Table1[[#This Row],[X-Values]]</f>
        <v>0.35555555555555557</v>
      </c>
      <c r="M31" s="7"/>
      <c r="N31" s="8"/>
      <c r="O31" s="8"/>
      <c r="P31" s="15"/>
      <c r="Q31" s="8"/>
      <c r="R31" s="8"/>
      <c r="S31" s="4"/>
    </row>
    <row r="32" spans="1:20" s="2" customFormat="1" x14ac:dyDescent="0.35">
      <c r="M32" s="2" t="s">
        <v>4</v>
      </c>
      <c r="N32" s="5">
        <v>4777664274.3221693</v>
      </c>
      <c r="O32" s="5">
        <v>9863893000</v>
      </c>
      <c r="P32" s="6">
        <v>21960</v>
      </c>
      <c r="Q32" s="5">
        <v>217562.12542450681</v>
      </c>
      <c r="R32" s="5">
        <v>449175.45537340618</v>
      </c>
      <c r="S32" s="4">
        <v>0.48435889098981194</v>
      </c>
    </row>
    <row r="33" spans="1:20" s="2" customFormat="1" x14ac:dyDescent="0.35">
      <c r="M33" s="2" t="s">
        <v>5</v>
      </c>
      <c r="N33" s="5">
        <v>2121828000</v>
      </c>
      <c r="O33" s="5">
        <v>4356469000</v>
      </c>
      <c r="P33" s="6">
        <v>16445</v>
      </c>
      <c r="Q33" s="5">
        <v>129025.72210398297</v>
      </c>
      <c r="R33" s="5">
        <v>264911.4624505929</v>
      </c>
      <c r="S33" s="4">
        <v>0.48705224345679954</v>
      </c>
    </row>
    <row r="34" spans="1:20" s="2" customFormat="1" x14ac:dyDescent="0.35">
      <c r="M34" s="7" t="s">
        <v>6</v>
      </c>
      <c r="N34" s="8">
        <v>5496339712.9186602</v>
      </c>
      <c r="O34" s="8">
        <v>10737773000</v>
      </c>
      <c r="P34" s="15">
        <v>19054</v>
      </c>
      <c r="Q34" s="8">
        <v>288461.2004260869</v>
      </c>
      <c r="R34" s="8">
        <v>563544.29516112106</v>
      </c>
      <c r="S34" s="9">
        <v>0.51186961327257152</v>
      </c>
    </row>
    <row r="35" spans="1:20" s="2" customFormat="1" x14ac:dyDescent="0.35">
      <c r="M35" s="7" t="s">
        <v>7</v>
      </c>
      <c r="N35" s="8">
        <v>2038478000</v>
      </c>
      <c r="O35" s="8">
        <v>4648262000</v>
      </c>
      <c r="P35" s="15">
        <v>19819</v>
      </c>
      <c r="Q35" s="8">
        <v>102854.73535496241</v>
      </c>
      <c r="R35" s="8">
        <v>234535.64761087846</v>
      </c>
      <c r="S35" s="9">
        <v>0.43854627815729835</v>
      </c>
    </row>
    <row r="36" spans="1:20" s="2" customFormat="1" x14ac:dyDescent="0.35">
      <c r="M36" s="7" t="s">
        <v>8</v>
      </c>
      <c r="N36" s="8">
        <v>1872497000</v>
      </c>
      <c r="O36" s="8">
        <v>3127852000</v>
      </c>
      <c r="P36" s="15">
        <v>13433</v>
      </c>
      <c r="Q36" s="8">
        <v>139395.2951686146</v>
      </c>
      <c r="R36" s="8">
        <v>232848.35852006252</v>
      </c>
      <c r="S36" s="9">
        <v>0.59865268561300211</v>
      </c>
    </row>
    <row r="37" spans="1:20" s="2" customFormat="1" x14ac:dyDescent="0.35">
      <c r="M37" s="7" t="s">
        <v>9</v>
      </c>
      <c r="N37" s="8">
        <v>724381000</v>
      </c>
      <c r="O37" s="8">
        <v>1395553000</v>
      </c>
      <c r="P37" s="15">
        <v>8273</v>
      </c>
      <c r="Q37" s="8">
        <v>87559.651879608369</v>
      </c>
      <c r="R37" s="8">
        <v>168687.65864861599</v>
      </c>
      <c r="S37" s="9">
        <v>0.51906376898620121</v>
      </c>
    </row>
    <row r="38" spans="1:20" s="2" customFormat="1" x14ac:dyDescent="0.35">
      <c r="M38" s="7" t="s">
        <v>19</v>
      </c>
      <c r="N38" s="8">
        <v>1115016483.5164835</v>
      </c>
      <c r="O38" s="8">
        <v>2239803000</v>
      </c>
      <c r="P38" s="15">
        <v>21421</v>
      </c>
      <c r="Q38" s="8">
        <v>52052.494445473298</v>
      </c>
      <c r="R38" s="8">
        <v>104561.08491667056</v>
      </c>
      <c r="S38" s="9">
        <v>0.49781899725845691</v>
      </c>
    </row>
    <row r="39" spans="1:20" s="2" customFormat="1" x14ac:dyDescent="0.35">
      <c r="M39" s="2" t="s">
        <v>20</v>
      </c>
      <c r="N39" s="5">
        <v>362304000</v>
      </c>
      <c r="O39" s="5">
        <v>647182000</v>
      </c>
      <c r="P39" s="6">
        <v>7124</v>
      </c>
      <c r="Q39" s="5">
        <v>50856.822010106684</v>
      </c>
      <c r="R39" s="5">
        <v>90845.31162268389</v>
      </c>
      <c r="S39" s="4">
        <v>0.55981779468526627</v>
      </c>
    </row>
    <row r="40" spans="1:20" s="2" customFormat="1" x14ac:dyDescent="0.35"/>
    <row r="41" spans="1:20" s="2" customFormat="1" ht="16" thickBot="1" x14ac:dyDescent="0.4">
      <c r="L41" s="1">
        <v>2019</v>
      </c>
      <c r="M41" s="16" t="s">
        <v>10</v>
      </c>
      <c r="N41" s="1" t="s">
        <v>13</v>
      </c>
      <c r="O41" s="1" t="s">
        <v>12</v>
      </c>
      <c r="P41" s="1" t="s">
        <v>15</v>
      </c>
      <c r="Q41" s="1" t="s">
        <v>14</v>
      </c>
      <c r="R41" s="1" t="s">
        <v>18</v>
      </c>
      <c r="S41" s="1" t="s">
        <v>17</v>
      </c>
    </row>
    <row r="42" spans="1:20" s="2" customFormat="1" x14ac:dyDescent="0.35">
      <c r="M42" s="2" t="s">
        <v>11</v>
      </c>
      <c r="N42" s="19">
        <v>584594000</v>
      </c>
      <c r="O42" s="19">
        <v>1164892000</v>
      </c>
      <c r="P42" s="20">
        <v>12824</v>
      </c>
      <c r="Q42" s="17">
        <v>45585.932626325637</v>
      </c>
      <c r="R42" s="17">
        <v>90836.868371802862</v>
      </c>
      <c r="S42" s="18">
        <v>0.50184394776511465</v>
      </c>
    </row>
    <row r="43" spans="1:20" s="2" customFormat="1" x14ac:dyDescent="0.35">
      <c r="M43" s="2" t="s">
        <v>2</v>
      </c>
      <c r="N43" s="19">
        <v>2811132000</v>
      </c>
      <c r="O43" s="19">
        <v>5970400000</v>
      </c>
      <c r="P43" s="20">
        <v>16667</v>
      </c>
      <c r="Q43" s="17">
        <v>168664.54670906582</v>
      </c>
      <c r="R43" s="17">
        <v>358216.83566328674</v>
      </c>
      <c r="S43" s="18">
        <v>0.47084483451695031</v>
      </c>
    </row>
    <row r="44" spans="1:20" s="2" customFormat="1" x14ac:dyDescent="0.35">
      <c r="M44" s="2" t="s">
        <v>3</v>
      </c>
      <c r="N44" s="19">
        <v>3188145000</v>
      </c>
      <c r="O44" s="19">
        <v>5941556000</v>
      </c>
      <c r="P44" s="20">
        <v>15400</v>
      </c>
      <c r="Q44" s="17">
        <v>207022.4025974026</v>
      </c>
      <c r="R44" s="17">
        <v>385815.32467532466</v>
      </c>
      <c r="S44" s="18">
        <v>0.53658418771109795</v>
      </c>
    </row>
    <row r="45" spans="1:20" s="2" customFormat="1" x14ac:dyDescent="0.35">
      <c r="M45" s="2" t="s">
        <v>4</v>
      </c>
      <c r="N45" s="19">
        <v>4493393250</v>
      </c>
      <c r="O45" s="19">
        <v>9863893000</v>
      </c>
      <c r="P45" s="20">
        <v>21960</v>
      </c>
      <c r="Q45" s="17">
        <v>204617.17896174864</v>
      </c>
      <c r="R45" s="17">
        <v>449175.45537340618</v>
      </c>
      <c r="S45" s="18">
        <v>0.45553953697591815</v>
      </c>
    </row>
    <row r="46" spans="1:20" s="2" customFormat="1" x14ac:dyDescent="0.35">
      <c r="M46" s="2" t="s">
        <v>5</v>
      </c>
      <c r="N46" s="19">
        <v>2121828000</v>
      </c>
      <c r="O46" s="19">
        <v>4356469000</v>
      </c>
      <c r="P46" s="20">
        <v>17002</v>
      </c>
      <c r="Q46" s="17">
        <v>124798.72956122809</v>
      </c>
      <c r="R46" s="17">
        <v>256232.7373250206</v>
      </c>
      <c r="S46" s="18">
        <v>0.48705224345679954</v>
      </c>
    </row>
    <row r="47" spans="1:20" s="2" customFormat="1" x14ac:dyDescent="0.35">
      <c r="M47" s="2" t="s">
        <v>6</v>
      </c>
      <c r="N47" s="19">
        <v>5169307500</v>
      </c>
      <c r="O47" s="19">
        <v>10738257000</v>
      </c>
      <c r="P47" s="20">
        <v>16384</v>
      </c>
      <c r="Q47" s="17">
        <v>315509.49096679688</v>
      </c>
      <c r="R47" s="17">
        <v>655411.19384765625</v>
      </c>
      <c r="S47" s="18">
        <v>0.48139167278264994</v>
      </c>
    </row>
    <row r="48" spans="1:20" s="2" customFormat="1" x14ac:dyDescent="0.35">
      <c r="M48" s="2" t="s">
        <v>7</v>
      </c>
      <c r="N48" s="19">
        <v>2038478000</v>
      </c>
      <c r="O48" s="19">
        <v>4648262000</v>
      </c>
      <c r="P48" s="20">
        <v>20100</v>
      </c>
      <c r="Q48" s="17">
        <v>101416.815920398</v>
      </c>
      <c r="R48" s="17">
        <v>231256.81592039802</v>
      </c>
      <c r="S48" s="18">
        <v>0.43854627815729835</v>
      </c>
    </row>
    <row r="49" spans="1:20" s="2" customFormat="1" x14ac:dyDescent="0.35">
      <c r="M49" s="2" t="s">
        <v>8</v>
      </c>
      <c r="N49" s="19">
        <v>1796642000</v>
      </c>
      <c r="O49" s="19">
        <v>3475435000</v>
      </c>
      <c r="P49" s="20">
        <v>13433</v>
      </c>
      <c r="Q49" s="17">
        <v>133748.38085312292</v>
      </c>
      <c r="R49" s="17">
        <v>258723.66559964267</v>
      </c>
      <c r="S49" s="18">
        <v>0.51695456827706465</v>
      </c>
    </row>
    <row r="50" spans="1:20" s="2" customFormat="1" x14ac:dyDescent="0.35">
      <c r="M50" s="2" t="s">
        <v>9</v>
      </c>
      <c r="N50" s="19">
        <v>754530000</v>
      </c>
      <c r="O50" s="19">
        <v>1437637000</v>
      </c>
      <c r="P50" s="20">
        <v>8213</v>
      </c>
      <c r="Q50" s="17">
        <v>91870.205771338122</v>
      </c>
      <c r="R50" s="17">
        <v>175044.07646414221</v>
      </c>
      <c r="S50" s="18">
        <v>0.52484041520912439</v>
      </c>
    </row>
    <row r="51" spans="1:20" s="2" customFormat="1" x14ac:dyDescent="0.35">
      <c r="M51" s="2" t="s">
        <v>19</v>
      </c>
      <c r="N51" s="19">
        <v>1079369250</v>
      </c>
      <c r="O51" s="19">
        <v>2259325000</v>
      </c>
      <c r="P51" s="20">
        <v>21591</v>
      </c>
      <c r="Q51" s="17">
        <v>49991.628456301238</v>
      </c>
      <c r="R51" s="17">
        <v>104641.98045481913</v>
      </c>
      <c r="S51" s="18">
        <v>0.47773970101689661</v>
      </c>
    </row>
    <row r="52" spans="1:20" s="2" customFormat="1" x14ac:dyDescent="0.35">
      <c r="M52" s="2" t="s">
        <v>20</v>
      </c>
      <c r="N52" s="19">
        <v>362304000</v>
      </c>
      <c r="O52" s="19">
        <v>647182000</v>
      </c>
      <c r="P52" s="20">
        <v>7124</v>
      </c>
      <c r="Q52" s="17">
        <v>50856.822010106684</v>
      </c>
      <c r="R52" s="17">
        <v>90845.31162268389</v>
      </c>
      <c r="S52" s="18">
        <v>0.55981779468526627</v>
      </c>
    </row>
    <row r="53" spans="1:20" s="2" customFormat="1" x14ac:dyDescent="0.35"/>
    <row r="54" spans="1:20" s="2" customFormat="1" ht="16" thickBot="1" x14ac:dyDescent="0.4">
      <c r="L54" s="1">
        <v>2020</v>
      </c>
      <c r="M54" s="1" t="s">
        <v>26</v>
      </c>
      <c r="N54" s="1" t="s">
        <v>13</v>
      </c>
      <c r="O54" s="1" t="s">
        <v>12</v>
      </c>
      <c r="P54" s="1" t="s">
        <v>15</v>
      </c>
      <c r="Q54" s="1" t="s">
        <v>14</v>
      </c>
      <c r="R54" s="1" t="s">
        <v>18</v>
      </c>
      <c r="S54" s="12" t="s">
        <v>17</v>
      </c>
    </row>
    <row r="55" spans="1:20" s="2" customFormat="1" x14ac:dyDescent="0.35">
      <c r="M55" s="2" t="s">
        <v>5</v>
      </c>
      <c r="N55" s="5">
        <v>2277429000</v>
      </c>
      <c r="O55" s="5">
        <v>4614488000</v>
      </c>
      <c r="P55" s="6">
        <v>16959</v>
      </c>
      <c r="Q55" s="5">
        <v>134290.28834247301</v>
      </c>
      <c r="R55" s="5">
        <v>272096.70381508343</v>
      </c>
      <c r="S55" s="4">
        <v>0.49353882814301392</v>
      </c>
    </row>
    <row r="56" spans="1:20" s="2" customFormat="1" x14ac:dyDescent="0.35">
      <c r="M56" s="2" t="s">
        <v>2</v>
      </c>
      <c r="N56" s="5">
        <v>2991745000</v>
      </c>
      <c r="O56" s="5">
        <v>6293335000</v>
      </c>
      <c r="P56" s="6">
        <v>16673</v>
      </c>
      <c r="Q56" s="5">
        <v>179436.51412463264</v>
      </c>
      <c r="R56" s="5">
        <v>377456.66646674264</v>
      </c>
      <c r="S56" s="4">
        <v>0.47538308384981892</v>
      </c>
    </row>
    <row r="57" spans="1:20" s="2" customFormat="1" x14ac:dyDescent="0.35">
      <c r="M57" s="2" t="s">
        <v>3</v>
      </c>
      <c r="N57" s="5">
        <v>3367132000</v>
      </c>
      <c r="O57" s="5">
        <v>6209516000</v>
      </c>
      <c r="P57" s="6">
        <v>15000</v>
      </c>
      <c r="Q57" s="5">
        <v>224475.46666666667</v>
      </c>
      <c r="R57" s="5">
        <v>413967.73333333334</v>
      </c>
      <c r="S57" s="4">
        <v>0.54225353473604065</v>
      </c>
    </row>
    <row r="58" spans="1:20" s="2" customFormat="1" x14ac:dyDescent="0.35">
      <c r="M58" s="2" t="s">
        <v>7</v>
      </c>
      <c r="N58" s="5">
        <v>2131511000</v>
      </c>
      <c r="O58" s="5">
        <v>4825296000</v>
      </c>
      <c r="P58" s="6">
        <v>20300</v>
      </c>
      <c r="Q58" s="5">
        <v>105000.54187192119</v>
      </c>
      <c r="R58" s="5">
        <v>237699.31034482759</v>
      </c>
      <c r="S58" s="4">
        <v>0.44173683852762607</v>
      </c>
    </row>
    <row r="59" spans="1:20" s="2" customFormat="1" x14ac:dyDescent="0.35">
      <c r="M59" s="2" t="s">
        <v>19</v>
      </c>
      <c r="N59" s="5">
        <v>1039446912</v>
      </c>
      <c r="O59" s="5">
        <v>2183810000</v>
      </c>
      <c r="P59" s="6">
        <v>21000</v>
      </c>
      <c r="Q59" s="5">
        <v>49497.472000000002</v>
      </c>
      <c r="R59" s="5">
        <v>103990.95238095238</v>
      </c>
      <c r="S59" s="4">
        <v>0.4759786391673268</v>
      </c>
    </row>
    <row r="60" spans="1:20" s="2" customFormat="1" x14ac:dyDescent="0.35">
      <c r="M60" s="2" t="s">
        <v>4</v>
      </c>
      <c r="N60" s="5">
        <v>4507973232</v>
      </c>
      <c r="O60" s="5">
        <v>10321893000</v>
      </c>
      <c r="P60" s="6">
        <v>22318</v>
      </c>
      <c r="Q60" s="5">
        <v>201988.22618514203</v>
      </c>
      <c r="R60" s="5">
        <v>462491.84514741466</v>
      </c>
      <c r="S60" s="4">
        <v>0.43673900049147962</v>
      </c>
    </row>
    <row r="61" spans="1:20" s="2" customFormat="1" x14ac:dyDescent="0.35">
      <c r="M61" s="2" t="s">
        <v>9</v>
      </c>
      <c r="N61" s="5">
        <v>801441000</v>
      </c>
      <c r="O61" s="5">
        <v>1492076000</v>
      </c>
      <c r="P61" s="6">
        <v>8325</v>
      </c>
      <c r="Q61" s="5">
        <v>96269.189189189186</v>
      </c>
      <c r="R61" s="5">
        <v>179228.34834834834</v>
      </c>
      <c r="S61" s="4">
        <v>0.53713148659987831</v>
      </c>
    </row>
    <row r="62" spans="1:20" s="2" customFormat="1" x14ac:dyDescent="0.35">
      <c r="M62" s="2" t="s">
        <v>20</v>
      </c>
      <c r="N62" s="5">
        <v>369922000</v>
      </c>
      <c r="O62" s="5">
        <v>681985000</v>
      </c>
      <c r="P62" s="6">
        <v>7170</v>
      </c>
      <c r="Q62" s="5">
        <v>51593.02649930265</v>
      </c>
      <c r="R62" s="5">
        <v>95116.457461645739</v>
      </c>
      <c r="S62" s="4">
        <v>0.54241955468228775</v>
      </c>
    </row>
    <row r="63" spans="1:20" s="2" customFormat="1" x14ac:dyDescent="0.35">
      <c r="M63" s="2" t="s">
        <v>6</v>
      </c>
      <c r="N63" s="5">
        <v>5316250506</v>
      </c>
      <c r="O63" s="5">
        <v>11282777000</v>
      </c>
      <c r="P63" s="6">
        <v>15157</v>
      </c>
      <c r="Q63" s="5">
        <v>350745.56350201229</v>
      </c>
      <c r="R63" s="5">
        <v>744393.81144025864</v>
      </c>
      <c r="S63" s="4">
        <v>0.47118280419793818</v>
      </c>
    </row>
    <row r="64" spans="1:20" s="2" customFormat="1" x14ac:dyDescent="0.35">
      <c r="M64" s="2" t="s">
        <v>11</v>
      </c>
      <c r="N64" s="5">
        <v>519497118</v>
      </c>
      <c r="O64" s="5">
        <v>1180490000</v>
      </c>
      <c r="P64" s="6">
        <v>13131</v>
      </c>
      <c r="Q64" s="5">
        <v>39562.647018505828</v>
      </c>
      <c r="R64" s="5">
        <v>89900.997639174471</v>
      </c>
      <c r="S64" s="4">
        <v>0.44006905437572535</v>
      </c>
    </row>
    <row r="65" spans="1:20" s="2" customFormat="1" x14ac:dyDescent="0.35">
      <c r="M65" s="2" t="s">
        <v>8</v>
      </c>
      <c r="N65" s="5">
        <v>1935330000</v>
      </c>
      <c r="O65" s="5">
        <v>3670557000</v>
      </c>
      <c r="P65" s="6">
        <v>12595</v>
      </c>
      <c r="Q65" s="5">
        <v>153658.59468042874</v>
      </c>
      <c r="R65" s="5">
        <v>291429.6943231441</v>
      </c>
      <c r="S65" s="4">
        <v>0.52725785214614562</v>
      </c>
    </row>
    <row r="66" spans="1:20" s="2" customFormat="1" x14ac:dyDescent="0.35"/>
    <row r="67" spans="1:20" s="2" customFormat="1" ht="16" thickBot="1" x14ac:dyDescent="0.4">
      <c r="L67" s="1">
        <v>2021</v>
      </c>
      <c r="M67" s="1" t="s">
        <v>26</v>
      </c>
      <c r="N67" s="1" t="s">
        <v>13</v>
      </c>
      <c r="O67" s="1" t="s">
        <v>12</v>
      </c>
      <c r="P67" s="1" t="s">
        <v>15</v>
      </c>
      <c r="Q67" s="1" t="s">
        <v>14</v>
      </c>
      <c r="R67" s="1" t="s">
        <v>18</v>
      </c>
      <c r="S67" s="1" t="s">
        <v>17</v>
      </c>
    </row>
    <row r="68" spans="1:20" s="2" customFormat="1" x14ac:dyDescent="0.35">
      <c r="M68" s="2" t="s">
        <v>5</v>
      </c>
      <c r="N68" s="5">
        <v>2380960000</v>
      </c>
      <c r="O68" s="5">
        <v>5141502000</v>
      </c>
      <c r="P68" s="6">
        <v>15278</v>
      </c>
      <c r="Q68" s="5">
        <f>N68/P68</f>
        <v>155842.38774708731</v>
      </c>
      <c r="R68" s="5">
        <f>O68/P68</f>
        <v>336529.78138499806</v>
      </c>
      <c r="S68" s="4">
        <f>N68/O68</f>
        <v>0.46308646772869094</v>
      </c>
    </row>
    <row r="69" spans="1:20" s="2" customFormat="1" x14ac:dyDescent="0.35">
      <c r="M69" s="2" t="s">
        <v>2</v>
      </c>
      <c r="N69" s="5">
        <v>3110870000</v>
      </c>
      <c r="O69" s="5">
        <v>6497097000</v>
      </c>
      <c r="P69" s="6">
        <v>15793</v>
      </c>
      <c r="Q69" s="5">
        <v>196977.77496359145</v>
      </c>
      <c r="R69" s="5">
        <v>411390.93269169884</v>
      </c>
      <c r="S69" s="4">
        <v>0.47880922818298693</v>
      </c>
    </row>
    <row r="70" spans="1:20" s="2" customFormat="1" x14ac:dyDescent="0.35">
      <c r="M70" s="2" t="s">
        <v>3</v>
      </c>
      <c r="N70" s="25">
        <v>3601666000</v>
      </c>
      <c r="O70" s="24">
        <v>7167397000</v>
      </c>
      <c r="P70" s="6">
        <v>15900</v>
      </c>
      <c r="Q70" s="5">
        <f>N70/P70</f>
        <v>226519.87421383648</v>
      </c>
      <c r="R70" s="5">
        <f>O70/P70</f>
        <v>450779.6855345912</v>
      </c>
      <c r="S70" s="4">
        <f>N70/O70</f>
        <v>0.50250683755901904</v>
      </c>
    </row>
    <row r="71" spans="1:20" s="2" customFormat="1" x14ac:dyDescent="0.35">
      <c r="M71" s="2" t="s">
        <v>7</v>
      </c>
      <c r="N71" s="5">
        <v>2076665000</v>
      </c>
      <c r="O71" s="5">
        <v>4372672000</v>
      </c>
      <c r="P71" s="6">
        <v>18600</v>
      </c>
      <c r="Q71" s="5">
        <v>111648.65591397849</v>
      </c>
      <c r="R71" s="5">
        <v>235089.89247311829</v>
      </c>
      <c r="S71" s="4">
        <v>0.47491899689709177</v>
      </c>
    </row>
    <row r="72" spans="1:20" s="2" customFormat="1" x14ac:dyDescent="0.35">
      <c r="M72" s="2" t="s">
        <v>19</v>
      </c>
      <c r="N72" s="5">
        <v>1075509344</v>
      </c>
      <c r="O72" s="5">
        <v>2471588000</v>
      </c>
      <c r="P72" s="6">
        <v>21000</v>
      </c>
      <c r="Q72" s="5">
        <f>N72/P72</f>
        <v>51214.73066666667</v>
      </c>
      <c r="R72" s="5">
        <f>O72/P72</f>
        <v>117694.66666666667</v>
      </c>
      <c r="S72" s="4">
        <f>N72/O72</f>
        <v>0.43514912032264275</v>
      </c>
    </row>
    <row r="73" spans="1:20" s="2" customFormat="1" x14ac:dyDescent="0.35">
      <c r="M73" s="2" t="s">
        <v>4</v>
      </c>
      <c r="N73" s="5">
        <v>4887709008</v>
      </c>
      <c r="O73" s="5">
        <v>11601468000</v>
      </c>
      <c r="P73" s="6">
        <v>21785</v>
      </c>
      <c r="Q73" s="5">
        <v>224361.21221023641</v>
      </c>
      <c r="R73" s="5">
        <f>O73/P73</f>
        <v>532543.86045444116</v>
      </c>
      <c r="S73" s="4">
        <f>N73/O73</f>
        <v>0.4213009084712383</v>
      </c>
      <c r="T73" s="23"/>
    </row>
    <row r="74" spans="1:20" s="2" customFormat="1" x14ac:dyDescent="0.35">
      <c r="M74" s="2" t="s">
        <v>9</v>
      </c>
      <c r="N74" s="5">
        <v>817649000</v>
      </c>
      <c r="O74" s="5">
        <v>1527047000</v>
      </c>
      <c r="P74" s="6">
        <v>7767</v>
      </c>
      <c r="Q74" s="5">
        <v>105272.17715977856</v>
      </c>
      <c r="R74" s="5">
        <v>196607.05549118062</v>
      </c>
      <c r="S74" s="4">
        <v>0.53544455409689418</v>
      </c>
    </row>
    <row r="75" spans="1:20" s="2" customFormat="1" x14ac:dyDescent="0.35">
      <c r="M75" s="2" t="s">
        <v>20</v>
      </c>
      <c r="N75" s="5">
        <v>373708000</v>
      </c>
      <c r="O75" s="5">
        <v>821602000</v>
      </c>
      <c r="P75" s="6">
        <v>7536</v>
      </c>
      <c r="Q75" s="5">
        <f>N75/P75</f>
        <v>49589.702760084925</v>
      </c>
      <c r="R75" s="5">
        <f>O75/P75</f>
        <v>109023.61995753716</v>
      </c>
      <c r="S75" s="4">
        <f>N75/O75</f>
        <v>0.45485283628812978</v>
      </c>
    </row>
    <row r="76" spans="1:20" s="2" customFormat="1" x14ac:dyDescent="0.35">
      <c r="M76" s="2" t="s">
        <v>6</v>
      </c>
      <c r="N76" s="5">
        <v>5734791608</v>
      </c>
      <c r="O76" s="5">
        <v>13093568000</v>
      </c>
      <c r="P76" s="6">
        <v>16937</v>
      </c>
      <c r="Q76" s="5">
        <f>N76/P76</f>
        <v>338595.47782960383</v>
      </c>
      <c r="R76" s="5">
        <f>O76/P76</f>
        <v>773074.80663635826</v>
      </c>
      <c r="S76" s="4">
        <f>N76/O76</f>
        <v>0.43798539924335367</v>
      </c>
    </row>
    <row r="77" spans="1:20" s="2" customFormat="1" x14ac:dyDescent="0.35">
      <c r="M77" s="2" t="s">
        <v>11</v>
      </c>
      <c r="N77" s="5">
        <v>529420528</v>
      </c>
      <c r="O77" s="5">
        <v>1182492000</v>
      </c>
      <c r="P77" s="6">
        <v>13537</v>
      </c>
      <c r="Q77" s="5">
        <v>39109.147373864223</v>
      </c>
      <c r="R77" s="5">
        <v>87352.589199970447</v>
      </c>
      <c r="S77" s="4">
        <v>0.44771594902967632</v>
      </c>
    </row>
    <row r="78" spans="1:20" s="2" customFormat="1" x14ac:dyDescent="0.35">
      <c r="M78" s="2" t="s">
        <v>8</v>
      </c>
      <c r="N78" s="5">
        <v>1971143000</v>
      </c>
      <c r="O78" s="5">
        <v>3793870000</v>
      </c>
      <c r="P78" s="6">
        <v>12060</v>
      </c>
      <c r="Q78" s="5">
        <v>163444.69320066334</v>
      </c>
      <c r="R78" s="5">
        <v>314582.91873963515</v>
      </c>
      <c r="S78" s="4">
        <v>0.51955997437972312</v>
      </c>
    </row>
    <row r="80" spans="1:20" s="2" customFormat="1" ht="16" thickBot="1" x14ac:dyDescent="0.4">
      <c r="L80" s="1">
        <v>2022</v>
      </c>
      <c r="M80" s="1" t="s">
        <v>26</v>
      </c>
      <c r="N80" s="1" t="s">
        <v>13</v>
      </c>
      <c r="O80" s="1" t="s">
        <v>12</v>
      </c>
      <c r="P80" s="1" t="s">
        <v>15</v>
      </c>
      <c r="Q80" s="1" t="s">
        <v>14</v>
      </c>
      <c r="R80" s="1" t="s">
        <v>18</v>
      </c>
      <c r="S80" s="1" t="s">
        <v>17</v>
      </c>
    </row>
    <row r="81" spans="1:20" s="2" customFormat="1" x14ac:dyDescent="0.35">
      <c r="M81" s="2" t="s">
        <v>5</v>
      </c>
      <c r="N81" s="5">
        <v>2600334000</v>
      </c>
      <c r="O81" s="5">
        <v>5138058000</v>
      </c>
      <c r="P81" s="6">
        <v>18452</v>
      </c>
      <c r="Q81" s="5">
        <v>140924.23585519186</v>
      </c>
      <c r="R81" s="5">
        <v>278455.34359419032</v>
      </c>
      <c r="S81" s="4">
        <v>0.50609276890218058</v>
      </c>
    </row>
    <row r="82" spans="1:20" s="2" customFormat="1" x14ac:dyDescent="0.35">
      <c r="M82" s="2" t="s">
        <v>2</v>
      </c>
      <c r="N82" s="5">
        <v>3323321000</v>
      </c>
      <c r="O82" s="5">
        <v>7127127000</v>
      </c>
      <c r="P82" s="6">
        <v>17430</v>
      </c>
      <c r="Q82" s="5">
        <v>190666.72403901321</v>
      </c>
      <c r="R82" s="5">
        <v>408900</v>
      </c>
      <c r="S82" s="4">
        <v>0.46629181716559842</v>
      </c>
    </row>
    <row r="83" spans="1:20" s="2" customFormat="1" x14ac:dyDescent="0.35">
      <c r="M83" s="2" t="s">
        <v>3</v>
      </c>
      <c r="N83" s="25">
        <v>3601666000</v>
      </c>
      <c r="O83" s="24">
        <v>6777032000</v>
      </c>
      <c r="P83" s="6">
        <v>15900</v>
      </c>
      <c r="Q83" s="5">
        <v>226519.87421383648</v>
      </c>
      <c r="R83" s="5">
        <v>426228.42767295596</v>
      </c>
      <c r="S83" s="4">
        <v>0.53145182138729752</v>
      </c>
    </row>
    <row r="84" spans="1:20" s="2" customFormat="1" x14ac:dyDescent="0.35">
      <c r="M84" s="2" t="s">
        <v>7</v>
      </c>
      <c r="N84" s="5">
        <v>2206342000</v>
      </c>
      <c r="O84" s="5">
        <v>4813739000</v>
      </c>
      <c r="P84" s="6">
        <v>21200</v>
      </c>
      <c r="Q84" s="5">
        <v>104072.7358490566</v>
      </c>
      <c r="R84" s="5">
        <v>227063.16037735849</v>
      </c>
      <c r="S84" s="4">
        <v>0.45834267292015624</v>
      </c>
    </row>
    <row r="85" spans="1:20" s="2" customFormat="1" x14ac:dyDescent="0.35">
      <c r="M85" s="2" t="s">
        <v>19</v>
      </c>
      <c r="N85" s="5">
        <v>1075509344</v>
      </c>
      <c r="O85" s="5">
        <v>2194507000</v>
      </c>
      <c r="P85" s="6">
        <v>21000</v>
      </c>
      <c r="Q85" s="5">
        <v>51214.73066666667</v>
      </c>
      <c r="R85" s="5">
        <v>104500.33333333333</v>
      </c>
      <c r="S85" s="4">
        <v>0.4900915531369916</v>
      </c>
    </row>
    <row r="86" spans="1:20" s="2" customFormat="1" x14ac:dyDescent="0.35">
      <c r="M86" s="2" t="s">
        <v>4</v>
      </c>
      <c r="N86" s="5">
        <v>5248360208</v>
      </c>
      <c r="O86" s="5">
        <v>12017181000</v>
      </c>
      <c r="P86" s="6">
        <v>26852</v>
      </c>
      <c r="Q86" s="5">
        <v>195455.09489051095</v>
      </c>
      <c r="R86" s="5">
        <v>447533.92670936987</v>
      </c>
      <c r="S86" s="4">
        <v>0.43673805096220153</v>
      </c>
    </row>
    <row r="87" spans="1:20" s="2" customFormat="1" x14ac:dyDescent="0.35">
      <c r="M87" s="2" t="s">
        <v>9</v>
      </c>
      <c r="N87" s="5">
        <v>863632000</v>
      </c>
      <c r="O87" s="5">
        <v>1689776000</v>
      </c>
      <c r="P87" s="6">
        <v>8397</v>
      </c>
      <c r="Q87" s="5">
        <v>102850.06549958319</v>
      </c>
      <c r="R87" s="5">
        <v>201235.67940931284</v>
      </c>
      <c r="S87" s="4">
        <v>0.51109259452140399</v>
      </c>
    </row>
    <row r="88" spans="1:20" s="2" customFormat="1" x14ac:dyDescent="0.35">
      <c r="M88" s="2" t="s">
        <v>20</v>
      </c>
      <c r="N88" s="5">
        <v>373708000</v>
      </c>
      <c r="O88" s="5">
        <v>709233000</v>
      </c>
      <c r="P88" s="6">
        <v>7536</v>
      </c>
      <c r="Q88" s="5">
        <v>49589.702760084925</v>
      </c>
      <c r="R88" s="5">
        <v>94112.659235668791</v>
      </c>
      <c r="S88" s="4">
        <v>0.52691851619989483</v>
      </c>
    </row>
    <row r="89" spans="1:20" s="2" customFormat="1" x14ac:dyDescent="0.35">
      <c r="M89" s="2" t="s">
        <v>6</v>
      </c>
      <c r="N89" s="5">
        <v>6466000632</v>
      </c>
      <c r="O89" s="5">
        <v>13459407000</v>
      </c>
      <c r="P89" s="6">
        <v>17326</v>
      </c>
      <c r="Q89" s="5">
        <v>373196.38877986843</v>
      </c>
      <c r="R89" s="5">
        <v>776832.91007734044</v>
      </c>
      <c r="S89" s="4">
        <v>0.48040754187758794</v>
      </c>
    </row>
    <row r="90" spans="1:20" s="2" customFormat="1" x14ac:dyDescent="0.35">
      <c r="M90" s="2" t="s">
        <v>11</v>
      </c>
      <c r="N90" s="5">
        <v>643643000</v>
      </c>
      <c r="O90" s="5">
        <v>1333104000</v>
      </c>
      <c r="P90" s="6">
        <v>13796</v>
      </c>
      <c r="Q90" s="5">
        <v>46654.320092780516</v>
      </c>
      <c r="R90" s="5">
        <v>96629.747752971874</v>
      </c>
      <c r="S90" s="4">
        <v>0.48281529423060765</v>
      </c>
    </row>
    <row r="91" spans="1:20" s="2" customFormat="1" x14ac:dyDescent="0.35">
      <c r="M91" s="2" t="s">
        <v>8</v>
      </c>
      <c r="N91" s="5">
        <v>2114898000</v>
      </c>
      <c r="O91" s="5">
        <v>4132505000</v>
      </c>
      <c r="P91" s="6">
        <v>13344</v>
      </c>
      <c r="Q91" s="5">
        <v>158490.55755395684</v>
      </c>
      <c r="R91" s="5">
        <v>309690.12290167867</v>
      </c>
      <c r="S91" s="4">
        <v>0.51177143161351291</v>
      </c>
    </row>
    <row r="93" spans="1:20" s="2" customFormat="1" ht="16" thickBot="1" x14ac:dyDescent="0.4">
      <c r="L93" s="1">
        <v>2023</v>
      </c>
      <c r="M93" s="1" t="s">
        <v>26</v>
      </c>
      <c r="N93" s="1" t="s">
        <v>13</v>
      </c>
      <c r="O93" s="1" t="s">
        <v>12</v>
      </c>
      <c r="P93" s="1" t="s">
        <v>15</v>
      </c>
      <c r="Q93" s="1" t="s">
        <v>14</v>
      </c>
      <c r="R93" s="1" t="s">
        <v>18</v>
      </c>
      <c r="S93" s="1" t="s">
        <v>17</v>
      </c>
    </row>
    <row r="94" spans="1:20" s="2" customFormat="1" x14ac:dyDescent="0.35">
      <c r="M94" s="2" t="s">
        <v>30</v>
      </c>
      <c r="N94" s="5">
        <f>_xlfn.XLOOKUP(M94,'[1]Peer Financials'!$AW:$AW,'[1]Peer Financials'!$AF:$AF)</f>
        <v>3033100000</v>
      </c>
      <c r="O94" s="5">
        <f>_xlfn.XLOOKUP(M94,'[1]Peer Financials'!$AW:$AW,'[1]Peer Financials'!$R:$R)</f>
        <v>6779655000</v>
      </c>
      <c r="P94" s="6">
        <f>_xlfn.XLOOKUP(M94,'[1]Peer Financials'!$AW:$AW,'[1]Peer Financials'!$AL:$AL)</f>
        <v>18058</v>
      </c>
      <c r="Q94" s="5">
        <f>N94/P94</f>
        <v>167964.33713589545</v>
      </c>
      <c r="R94" s="5">
        <f>O94/P94</f>
        <v>375437.75611917156</v>
      </c>
      <c r="S94" s="4">
        <f>N94/O94</f>
        <v>0.44738264705209924</v>
      </c>
    </row>
    <row r="95" spans="1:20" s="2" customFormat="1" x14ac:dyDescent="0.35">
      <c r="M95" s="2" t="s">
        <v>2</v>
      </c>
      <c r="N95" s="5">
        <f>_xlfn.XLOOKUP(M95,'[1]Peer Financials'!$AW:$AW,'[1]Peer Financials'!$AF:$AF)</f>
        <v>3676675000</v>
      </c>
      <c r="O95" s="5">
        <f>_xlfn.XLOOKUP(M95,'[1]Peer Financials'!$AW:$AW,'[1]Peer Financials'!$R:$R)</f>
        <v>8431382000</v>
      </c>
      <c r="P95" s="6">
        <f>_xlfn.XLOOKUP(M95,'[1]Peer Financials'!$AW:$AW,'[1]Peer Financials'!$AL:$AL)</f>
        <v>18009</v>
      </c>
      <c r="Q95" s="5">
        <f t="shared" ref="Q95:Q104" si="15">N95/P95</f>
        <v>204157.64340052195</v>
      </c>
      <c r="R95" s="5">
        <f t="shared" ref="R95:R104" si="16">O95/P95</f>
        <v>468176.02309956134</v>
      </c>
      <c r="S95" s="4">
        <f t="shared" ref="S95:S104" si="17">N95/O95</f>
        <v>0.43607026700960766</v>
      </c>
    </row>
    <row r="96" spans="1:20" s="2" customFormat="1" x14ac:dyDescent="0.35">
      <c r="M96" s="2" t="s">
        <v>3</v>
      </c>
      <c r="N96" s="5">
        <f>_xlfn.XLOOKUP(M96,'[1]Peer Financials'!$AW:$AW,'[1]Peer Financials'!$AF:$AF)</f>
        <v>4313737000</v>
      </c>
      <c r="O96" s="5">
        <f>_xlfn.XLOOKUP(M96,'[1]Peer Financials'!$AW:$AW,'[1]Peer Financials'!$R:$R)</f>
        <v>8570621000</v>
      </c>
      <c r="P96" s="6">
        <f>_xlfn.XLOOKUP(M96,'[1]Peer Financials'!$AW:$AW,'[1]Peer Financials'!$AL:$AL)</f>
        <v>16000</v>
      </c>
      <c r="Q96" s="5">
        <f t="shared" si="15"/>
        <v>269608.5625</v>
      </c>
      <c r="R96" s="5">
        <f t="shared" si="16"/>
        <v>535663.8125</v>
      </c>
      <c r="S96" s="4">
        <f t="shared" si="17"/>
        <v>0.50331673749195072</v>
      </c>
    </row>
    <row r="97" spans="1:20" s="2" customFormat="1" x14ac:dyDescent="0.35">
      <c r="M97" s="2" t="s">
        <v>7</v>
      </c>
      <c r="N97" s="5">
        <f>_xlfn.XLOOKUP(M97,'[1]Peer Financials'!$AW:$AW,'[1]Peer Financials'!$AF:$AF)</f>
        <v>2421076000</v>
      </c>
      <c r="O97" s="5">
        <f>_xlfn.XLOOKUP(M97,'[1]Peer Financials'!$AW:$AW,'[1]Peer Financials'!$R:$R)</f>
        <v>5911797000</v>
      </c>
      <c r="P97" s="6">
        <f>_xlfn.XLOOKUP(M97,'[1]Peer Financials'!$AW:$AW,'[1]Peer Financials'!$AL:$AL)</f>
        <v>21400</v>
      </c>
      <c r="Q97" s="5">
        <f t="shared" si="15"/>
        <v>113134.39252336448</v>
      </c>
      <c r="R97" s="5">
        <f t="shared" si="16"/>
        <v>276252.19626168226</v>
      </c>
      <c r="S97" s="4">
        <f t="shared" si="17"/>
        <v>0.40953300663064041</v>
      </c>
    </row>
    <row r="98" spans="1:20" s="2" customFormat="1" x14ac:dyDescent="0.35">
      <c r="M98" s="2" t="s">
        <v>19</v>
      </c>
      <c r="N98" s="5">
        <f>_xlfn.XLOOKUP(M98,'[1]Peer Financials'!$AW:$AW,'[1]Peer Financials'!$AF:$AF)</f>
        <v>1219645336</v>
      </c>
      <c r="O98" s="5">
        <f>_xlfn.XLOOKUP(M98,'[1]Peer Financials'!$AW:$AW,'[1]Peer Financials'!$R:$R)</f>
        <v>3038060000</v>
      </c>
      <c r="P98" s="6">
        <f>_xlfn.XLOOKUP(M98,'[1]Peer Financials'!$AW:$AW,'[1]Peer Financials'!$AL:$AL)</f>
        <v>23000</v>
      </c>
      <c r="Q98" s="5">
        <f t="shared" si="15"/>
        <v>53028.058086956524</v>
      </c>
      <c r="R98" s="5">
        <f t="shared" si="16"/>
        <v>132089.5652173913</v>
      </c>
      <c r="S98" s="4">
        <f t="shared" si="17"/>
        <v>0.40145531556322128</v>
      </c>
    </row>
    <row r="99" spans="1:20" s="2" customFormat="1" x14ac:dyDescent="0.35">
      <c r="M99" s="2" t="s">
        <v>31</v>
      </c>
      <c r="N99" s="5">
        <f>_xlfn.XLOOKUP(M99,'[1]Peer Financials'!$AW:$AW,'[1]Peer Financials'!$AF:$AF)</f>
        <v>5636695792</v>
      </c>
      <c r="O99" s="5">
        <f>_xlfn.XLOOKUP(M99,'[1]Peer Financials'!$AW:$AW,'[1]Peer Financials'!$R:$R)</f>
        <v>13857148000</v>
      </c>
      <c r="P99" s="6">
        <f>_xlfn.XLOOKUP(M99,'[1]Peer Financials'!$AW:$AW,'[1]Peer Financials'!$AL:$AL)</f>
        <v>23374</v>
      </c>
      <c r="Q99" s="5">
        <f t="shared" si="15"/>
        <v>241152.382647386</v>
      </c>
      <c r="R99" s="5">
        <f t="shared" si="16"/>
        <v>592844.52810815431</v>
      </c>
      <c r="S99" s="4">
        <f t="shared" si="17"/>
        <v>0.4067717103115302</v>
      </c>
    </row>
    <row r="100" spans="1:20" s="2" customFormat="1" x14ac:dyDescent="0.35">
      <c r="M100" s="2" t="s">
        <v>9</v>
      </c>
      <c r="N100" s="5">
        <f>_xlfn.XLOOKUP(M100,'[1]Peer Financials'!$AW:$AW,'[1]Peer Financials'!$AF:$AF)</f>
        <v>969089000</v>
      </c>
      <c r="O100" s="5">
        <f>_xlfn.XLOOKUP(M100,'[1]Peer Financials'!$AW:$AW,'[1]Peer Financials'!$R:$R)</f>
        <v>2263259000</v>
      </c>
      <c r="P100" s="6">
        <f>_xlfn.XLOOKUP(M100,'[1]Peer Financials'!$AW:$AW,'[1]Peer Financials'!$AL:$AL)</f>
        <v>8778</v>
      </c>
      <c r="Q100" s="5">
        <f t="shared" si="15"/>
        <v>110399.74937343359</v>
      </c>
      <c r="R100" s="5">
        <f t="shared" si="16"/>
        <v>257833.10549100023</v>
      </c>
      <c r="S100" s="4">
        <f t="shared" si="17"/>
        <v>0.42818298745304889</v>
      </c>
    </row>
    <row r="101" spans="1:20" s="2" customFormat="1" x14ac:dyDescent="0.35">
      <c r="M101" s="2" t="s">
        <v>20</v>
      </c>
      <c r="N101" s="5">
        <f>_xlfn.XLOOKUP(M101,'[1]Peer Financials'!$AW:$AW,'[1]Peer Financials'!$AF:$AF)</f>
        <v>421781000</v>
      </c>
      <c r="O101" s="5">
        <f>_xlfn.XLOOKUP(M101,'[1]Peer Financials'!$AW:$AW,'[1]Peer Financials'!$R:$R)</f>
        <v>959377000</v>
      </c>
      <c r="P101" s="6">
        <f>_xlfn.XLOOKUP(M101,'[1]Peer Financials'!$AW:$AW,'[1]Peer Financials'!$AL:$AL)</f>
        <v>8285</v>
      </c>
      <c r="Q101" s="5">
        <f t="shared" si="15"/>
        <v>50908.992154496074</v>
      </c>
      <c r="R101" s="5">
        <f t="shared" si="16"/>
        <v>115796.86179843089</v>
      </c>
      <c r="S101" s="4">
        <f t="shared" si="17"/>
        <v>0.43964051671032345</v>
      </c>
    </row>
    <row r="102" spans="1:20" s="2" customFormat="1" x14ac:dyDescent="0.35">
      <c r="M102" s="2" t="s">
        <v>6</v>
      </c>
      <c r="N102" s="5">
        <f>_xlfn.XLOOKUP(M102,'[1]Peer Financials'!$AW:$AW,'[1]Peer Financials'!$AF:$AF)</f>
        <v>7106067696</v>
      </c>
      <c r="O102" s="5">
        <f>_xlfn.XLOOKUP(M102,'[1]Peer Financials'!$AW:$AW,'[1]Peer Financials'!$R:$R)</f>
        <v>16053362000</v>
      </c>
      <c r="P102" s="6">
        <f>_xlfn.XLOOKUP(M102,'[1]Peer Financials'!$AW:$AW,'[1]Peer Financials'!$AL:$AL)</f>
        <v>17529</v>
      </c>
      <c r="Q102" s="5">
        <f t="shared" si="15"/>
        <v>405389.22334417253</v>
      </c>
      <c r="R102" s="5">
        <f t="shared" si="16"/>
        <v>915817.33127959387</v>
      </c>
      <c r="S102" s="4">
        <f t="shared" si="17"/>
        <v>0.44265292815299373</v>
      </c>
    </row>
    <row r="103" spans="1:20" s="2" customFormat="1" x14ac:dyDescent="0.35">
      <c r="M103" s="2" t="s">
        <v>11</v>
      </c>
      <c r="N103" s="5">
        <f>_xlfn.XLOOKUP(M103,'[1]Peer Financials'!$AW:$AW,'[1]Peer Financials'!$AF:$AF)</f>
        <v>699234000</v>
      </c>
      <c r="O103" s="5">
        <f>_xlfn.XLOOKUP(M103,'[1]Peer Financials'!$AW:$AW,'[1]Peer Financials'!$R:$R)</f>
        <v>1615854000</v>
      </c>
      <c r="P103" s="6">
        <f>_xlfn.XLOOKUP(M103,'[1]Peer Financials'!$AW:$AW,'[1]Peer Financials'!$AL:$AL)</f>
        <v>13710</v>
      </c>
      <c r="Q103" s="5">
        <f t="shared" si="15"/>
        <v>51001.750547045951</v>
      </c>
      <c r="R103" s="5">
        <f t="shared" si="16"/>
        <v>117859.51859956236</v>
      </c>
      <c r="S103" s="4">
        <f t="shared" si="17"/>
        <v>0.43273340289407336</v>
      </c>
    </row>
    <row r="104" spans="1:20" s="2" customFormat="1" x14ac:dyDescent="0.35">
      <c r="M104" s="2" t="s">
        <v>8</v>
      </c>
      <c r="N104" s="5">
        <f>_xlfn.XLOOKUP(M104,'[1]Peer Financials'!$AW:$AW,'[1]Peer Financials'!$AF:$AF)</f>
        <v>2328136000</v>
      </c>
      <c r="O104" s="5">
        <f>_xlfn.XLOOKUP(M104,'[1]Peer Financials'!$AW:$AW,'[1]Peer Financials'!$R:$R)</f>
        <v>4936268000</v>
      </c>
      <c r="P104" s="6">
        <f>_xlfn.XLOOKUP(M104,'[1]Peer Financials'!$AW:$AW,'[1]Peer Financials'!$AL:$AL)</f>
        <v>14751</v>
      </c>
      <c r="Q104" s="5">
        <f t="shared" si="15"/>
        <v>157829.02854043792</v>
      </c>
      <c r="R104" s="5">
        <f t="shared" si="16"/>
        <v>334639.54986102635</v>
      </c>
      <c r="S104" s="4">
        <f t="shared" si="17"/>
        <v>0.47163889805010589</v>
      </c>
    </row>
  </sheetData>
  <conditionalFormatting sqref="N70:O70">
    <cfRule type="expression" dxfId="1" priority="6">
      <formula>$C70="no"</formula>
    </cfRule>
  </conditionalFormatting>
  <conditionalFormatting sqref="N83:O83">
    <cfRule type="expression" dxfId="0" priority="2">
      <formula>$C83="no"</formula>
    </cfRule>
  </conditionalFormatting>
  <pageMargins left="0.7" right="0.7" top="0.75" bottom="0.75" header="0.3" footer="0.3"/>
  <pageSetup scale="78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Vanderbilt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Sweet, Brett C.</dc:creator>
  <cp:lastModifiedBy>Kroeger, Kara</cp:lastModifiedBy>
  <cp:lastPrinted>2014-03-21T17:10:55Z</cp:lastPrinted>
  <dcterms:created xsi:type="dcterms:W3CDTF">2013-02-08T14:46:07Z</dcterms:created>
  <dcterms:modified xsi:type="dcterms:W3CDTF">2024-01-02T21:09:57Z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