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9" fontId="6"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(optional: Penn / Stanford consolidated salaries and wages; Princeton CDS).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35% assumed fringe rate). Students = fall 2024 total enrollment.</t>
        </is>
      </c>
    </row>
    <row r="3">
      <c r="A3" s="3" t="inlineStr">
        <is>
          <t>Assumed fringe benefit rate (benefits / S&amp;W) for Penn and Stanford</t>
        </is>
      </c>
      <c r="E3" s="18" t="n">
        <v>0.35</v>
      </c>
      <c r="F3" s="17" t="inlineStr">
        <is>
          <t>&lt;- input: S&amp;W = combined salaries + benefits / (1 + rate). Change it and the estimates, slide-3 inputs and sensitivities update here.</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9" t="n">
        <v>515800000</v>
      </c>
      <c r="D5" s="9" t="inlineStr">
        <is>
          <t>audited line</t>
        </is>
      </c>
      <c r="E5" s="19">
        <f>C5+123330000</f>
        <v/>
      </c>
      <c r="H5" s="19" t="n">
        <v>1087937000</v>
      </c>
      <c r="I5" s="19" t="n">
        <v>82255000</v>
      </c>
      <c r="K5" s="19" t="n">
        <v>45396000</v>
      </c>
      <c r="L5" s="19">
        <f>H5-I5-J5-K5</f>
        <v/>
      </c>
      <c r="M5" s="19" t="n">
        <v>8961</v>
      </c>
      <c r="N5" s="11">
        <f>C5/M5</f>
        <v/>
      </c>
      <c r="O5" s="11">
        <f>L5/M5</f>
        <v/>
      </c>
      <c r="P5" s="20">
        <f>C5/L5</f>
        <v/>
      </c>
      <c r="Q5" s="21">
        <f>O5*P5-N5</f>
        <v/>
      </c>
      <c r="R5" s="9" t="inlineStr">
        <is>
          <t>no</t>
        </is>
      </c>
      <c r="S5" s="4" t="inlineStr">
        <is>
          <t>Depreciation and amortization are one line; interest and bond costs separate.</t>
        </is>
      </c>
    </row>
    <row r="6">
      <c r="A6" s="9" t="inlineStr">
        <is>
          <t>Vanderbilt</t>
        </is>
      </c>
      <c r="B6" s="9" t="inlineStr">
        <is>
          <t>June 30, 2025</t>
        </is>
      </c>
      <c r="C6" s="19" t="n">
        <v>804000000</v>
      </c>
      <c r="D6" s="9" t="inlineStr">
        <is>
          <t>MD&amp;A expense chart</t>
        </is>
      </c>
      <c r="E6" s="19" t="n">
        <v>976417000</v>
      </c>
      <c r="H6" s="19" t="n">
        <v>1799663000</v>
      </c>
      <c r="I6" s="19" t="n">
        <v>116913000</v>
      </c>
      <c r="K6" s="19" t="n">
        <v>30063000</v>
      </c>
      <c r="L6" s="19">
        <f>H6-I6-J6-K6</f>
        <v/>
      </c>
      <c r="M6" s="19" t="n">
        <v>13575</v>
      </c>
      <c r="N6" s="11">
        <f>C6/M6</f>
        <v/>
      </c>
      <c r="O6" s="11">
        <f>L6/M6</f>
        <v/>
      </c>
      <c r="P6" s="20">
        <f>C6/L6</f>
        <v/>
      </c>
      <c r="Q6" s="21">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9">
        <f>F7</f>
        <v/>
      </c>
      <c r="D7" s="9" t="inlineStr">
        <is>
          <t>Form 990 (ties to audited)</t>
        </is>
      </c>
      <c r="E7" s="19" t="n">
        <v>1997951000</v>
      </c>
      <c r="F7" s="19" t="n">
        <v>1556522638</v>
      </c>
      <c r="G7" s="19" t="n">
        <v>1997950859</v>
      </c>
      <c r="H7" s="19" t="n">
        <v>3607255000</v>
      </c>
      <c r="I7" s="19" t="n">
        <v>216713000</v>
      </c>
      <c r="K7" s="19" t="n">
        <v>99478000</v>
      </c>
      <c r="L7" s="19">
        <f>H7-I7-J7-K7</f>
        <v/>
      </c>
      <c r="M7" s="19" t="n">
        <v>23431</v>
      </c>
      <c r="N7" s="11">
        <f>C7/M7</f>
        <v/>
      </c>
      <c r="O7" s="11">
        <f>L7/M7</f>
        <v/>
      </c>
      <c r="P7" s="20">
        <f>C7/L7</f>
        <v/>
      </c>
      <c r="Q7" s="21">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9" t="n">
        <v>1162823000</v>
      </c>
      <c r="D8" s="9" t="inlineStr">
        <is>
          <t>audited line</t>
        </is>
      </c>
      <c r="E8" s="19">
        <f>C8+351760000</f>
        <v/>
      </c>
      <c r="H8" s="19" t="n">
        <v>2744548000</v>
      </c>
      <c r="I8" s="19" t="n">
        <v>231467000</v>
      </c>
      <c r="K8" s="19" t="n">
        <v>221826000</v>
      </c>
      <c r="L8" s="19">
        <f>H8-I8-J8-K8</f>
        <v/>
      </c>
      <c r="M8" s="19" t="n">
        <v>9050</v>
      </c>
      <c r="N8" s="11">
        <f>C8/M8</f>
        <v/>
      </c>
      <c r="O8" s="11">
        <f>L8/M8</f>
        <v/>
      </c>
      <c r="P8" s="20">
        <f>C8/L8</f>
        <v/>
      </c>
      <c r="Q8" s="21">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C9" s="19" t="n">
        <v>2758560000</v>
      </c>
      <c r="D9" s="9" t="inlineStr">
        <is>
          <t>audited line</t>
        </is>
      </c>
      <c r="E9" s="19">
        <f>C9+755895000</f>
        <v/>
      </c>
      <c r="H9" s="19" t="n">
        <v>6794371000</v>
      </c>
      <c r="I9" s="19" t="n">
        <v>459031000</v>
      </c>
      <c r="K9" s="19" t="n">
        <v>262546000</v>
      </c>
      <c r="L9" s="19">
        <f>H9-I9-J9-K9</f>
        <v/>
      </c>
      <c r="M9" s="19" t="n">
        <v>24819</v>
      </c>
      <c r="N9" s="11">
        <f>C9/M9</f>
        <v/>
      </c>
      <c r="O9" s="11">
        <f>L9/M9</f>
        <v/>
      </c>
      <c r="P9" s="20">
        <f>C9/L9</f>
        <v/>
      </c>
      <c r="Q9" s="21">
        <f>O9*P9-N9</f>
        <v/>
      </c>
      <c r="R9" s="9" t="inlineStr">
        <is>
          <t>no</t>
        </is>
      </c>
      <c r="S9" s="4" t="inlineStr">
        <is>
          <t>Separate S&amp;W and benefits lines in the FY25 audited Financial Report (supplied by Northeastern; Statement of Changes in Net Assets, PDF p.18). Depreciation and interest are separate operating lines; nine natural-classification lines sum to total operating expenses. No hospital consolidated. Students = CDS 21,189 + Extension School degree students 3,630 (Fact Book, fall 2024) = 24,819, because expenses include the Division of Continuing Education (S3_Sensitivity E).</t>
        </is>
      </c>
    </row>
    <row r="10">
      <c r="A10" s="9" t="inlineStr">
        <is>
          <t>Yale</t>
        </is>
      </c>
      <c r="B10" s="9" t="inlineStr">
        <is>
          <t>June 30, 2025</t>
        </is>
      </c>
      <c r="C10" s="19" t="n">
        <v>2737371000</v>
      </c>
      <c r="D10" s="9" t="inlineStr">
        <is>
          <t>audited line</t>
        </is>
      </c>
      <c r="E10" s="19">
        <f>C10+861635000</f>
        <v/>
      </c>
      <c r="H10" s="19" t="n">
        <v>5807911000</v>
      </c>
      <c r="I10" s="19" t="n">
        <v>504923000</v>
      </c>
      <c r="L10" s="19">
        <f>H10-I10-J10-K10</f>
        <v/>
      </c>
      <c r="M10" s="19" t="n">
        <v>15564</v>
      </c>
      <c r="N10" s="11">
        <f>C10/M10</f>
        <v/>
      </c>
      <c r="O10" s="11">
        <f>L10/M10</f>
        <v/>
      </c>
      <c r="P10" s="20">
        <f>C10/L10</f>
        <v/>
      </c>
      <c r="Q10" s="21">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9" t="n">
        <v>3678678000</v>
      </c>
      <c r="D11" s="9" t="inlineStr">
        <is>
          <t>audited line</t>
        </is>
      </c>
      <c r="E11" s="19" t="n">
        <v>4517817000</v>
      </c>
      <c r="H11" s="19" t="n">
        <v>8283042000</v>
      </c>
      <c r="I11" s="19" t="n">
        <v>401386000</v>
      </c>
      <c r="K11" s="19" t="n">
        <v>215170000</v>
      </c>
      <c r="L11" s="19">
        <f>H11-I11-J11-K11</f>
        <v/>
      </c>
      <c r="M11" s="19" t="n">
        <v>16221</v>
      </c>
      <c r="N11" s="11">
        <f>C11/M11</f>
        <v/>
      </c>
      <c r="O11" s="11">
        <f>L11/M11</f>
        <v/>
      </c>
      <c r="P11" s="20">
        <f>C11/L11</f>
        <v/>
      </c>
      <c r="Q11" s="21">
        <f>O11*P11-N11</f>
        <v/>
      </c>
      <c r="R11" s="9" t="inlineStr">
        <is>
          <t>UChicago Medicine</t>
        </is>
      </c>
      <c r="S11" s="4" t="inlineStr">
        <is>
          <t>Includes UChicago Medicine; Argonne and Fermilab are not consolidated.</t>
        </is>
      </c>
    </row>
    <row r="12">
      <c r="A12" s="9" t="inlineStr">
        <is>
          <t>Duke</t>
        </is>
      </c>
      <c r="B12" s="9" t="inlineStr">
        <is>
          <t>June 30, 2025</t>
        </is>
      </c>
      <c r="C12" s="19" t="n">
        <v>5041664000</v>
      </c>
      <c r="D12" s="9" t="inlineStr">
        <is>
          <t>audited line</t>
        </is>
      </c>
      <c r="E12" s="19" t="n">
        <v>6230712000</v>
      </c>
      <c r="H12" s="19" t="n">
        <v>10953208000</v>
      </c>
      <c r="I12" s="19" t="n">
        <v>471677000</v>
      </c>
      <c r="K12" s="19" t="n">
        <v>161512000</v>
      </c>
      <c r="L12" s="19">
        <f>H12-I12-J12-K12</f>
        <v/>
      </c>
      <c r="M12" s="19" t="n">
        <v>17499</v>
      </c>
      <c r="N12" s="11">
        <f>C12/M12</f>
        <v/>
      </c>
      <c r="O12" s="11">
        <f>L12/M12</f>
        <v/>
      </c>
      <c r="P12" s="20">
        <f>C12/L12</f>
        <v/>
      </c>
      <c r="Q12" s="21">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9" t="n">
        <v>5265449000</v>
      </c>
      <c r="D13" s="9" t="inlineStr">
        <is>
          <t>audited line</t>
        </is>
      </c>
      <c r="E13" s="19">
        <f>C13+1259151000</f>
        <v/>
      </c>
      <c r="H13" s="19" t="n">
        <v>10577959000</v>
      </c>
      <c r="I13" s="19" t="n">
        <v>379158000</v>
      </c>
      <c r="K13" s="19" t="n">
        <v>113892000</v>
      </c>
      <c r="L13" s="19">
        <f>H13-I13-J13-K13</f>
        <v/>
      </c>
      <c r="M13" s="19" t="n">
        <v>15179</v>
      </c>
      <c r="N13" s="11">
        <f>C13/M13</f>
        <v/>
      </c>
      <c r="O13" s="11">
        <f>L13/M13</f>
        <v/>
      </c>
      <c r="P13" s="20">
        <f>C13/L13</f>
        <v/>
      </c>
      <c r="Q13" s="21">
        <f>O13*P13-N13</f>
        <v/>
      </c>
      <c r="R13" s="9" t="inlineStr">
        <is>
          <t>Emory Healthcare</t>
        </is>
      </c>
      <c r="S13" s="4" t="inlineStr">
        <is>
          <t>Depreciation and amortization are one line ($379.2M).</t>
        </is>
      </c>
    </row>
    <row r="14">
      <c r="A14" s="9" t="inlineStr">
        <is>
          <t>Penn</t>
        </is>
      </c>
      <c r="B14" s="9" t="inlineStr">
        <is>
          <t>June 30, 2025</t>
        </is>
      </c>
      <c r="C14" s="19">
        <f>E14/(1+$E$3)</f>
        <v/>
      </c>
      <c r="D14" s="22" t="inlineStr">
        <is>
          <t>ESTIMATE (combined / (1 + fringe rate))</t>
        </is>
      </c>
      <c r="E14" s="19" t="n">
        <v>9019270000</v>
      </c>
      <c r="F14" s="19" t="n">
        <v>4515553000</v>
      </c>
      <c r="G14" s="19" t="n">
        <v>5886033000</v>
      </c>
      <c r="H14" s="19" t="n">
        <v>16445321000</v>
      </c>
      <c r="I14" s="19" t="n">
        <v>686510000</v>
      </c>
      <c r="K14" s="19" t="n">
        <v>133923000</v>
      </c>
      <c r="L14" s="19">
        <f>H14-I14-J14-K14</f>
        <v/>
      </c>
      <c r="M14" s="19" t="n">
        <v>24023</v>
      </c>
      <c r="N14" s="11">
        <f>C14/M14</f>
        <v/>
      </c>
      <c r="O14" s="11">
        <f>L14/M14</f>
        <v/>
      </c>
      <c r="P14" s="20">
        <f>C14/L14</f>
        <v/>
      </c>
      <c r="Q14" s="21">
        <f>O14*P14-N14</f>
        <v/>
      </c>
      <c r="R14" s="9" t="inlineStr">
        <is>
          <t>Penn Medicine (UPHS)</t>
        </is>
      </c>
      <c r="S14" s="4" t="inlineStr">
        <is>
          <t>Statements show 'compensation and benefits' combined only. S&amp;W ESTIMATED = combined / (1 + 35% assumed fringe rate), per Northeastern. Columns F-G (Form 990, narrower scope) are shown for reference only. D&amp;A one line.</t>
        </is>
      </c>
    </row>
    <row r="15">
      <c r="A15" s="9" t="inlineStr">
        <is>
          <t>Stanford</t>
        </is>
      </c>
      <c r="B15" s="9" t="inlineStr">
        <is>
          <t>August 31, 2025</t>
        </is>
      </c>
      <c r="C15" s="19">
        <f>E15/(1+$E$3)</f>
        <v/>
      </c>
      <c r="D15" s="22" t="inlineStr">
        <is>
          <t>ESTIMATE (combined / (1 + fringe rate))</t>
        </is>
      </c>
      <c r="E15" s="19" t="n">
        <v>11647045000</v>
      </c>
      <c r="F15" s="19" t="n">
        <v>4781181437</v>
      </c>
      <c r="G15" s="19" t="n">
        <v>5963697901</v>
      </c>
      <c r="H15" s="19" t="n">
        <v>18935447000</v>
      </c>
      <c r="I15" s="19" t="n">
        <v>930917000</v>
      </c>
      <c r="K15" s="19" t="n">
        <v>278763000</v>
      </c>
      <c r="L15" s="19">
        <f>H15-I15-J15-K15</f>
        <v/>
      </c>
      <c r="M15" s="19" t="n">
        <v>18625</v>
      </c>
      <c r="N15" s="11">
        <f>C15/M15</f>
        <v/>
      </c>
      <c r="O15" s="11">
        <f>L15/M15</f>
        <v/>
      </c>
      <c r="P15" s="20">
        <f>C15/L15</f>
        <v/>
      </c>
      <c r="Q15" s="21">
        <f>O15*P15-N15</f>
        <v/>
      </c>
      <c r="R15" s="9" t="inlineStr">
        <is>
          <t>Stanford Health Care and Lucile Packard Children's Hospital</t>
        </is>
      </c>
      <c r="S15" s="4" t="inlineStr">
        <is>
          <t>Statements show salaries and benefits combined only. S&amp;W ESTIMATED = combined / (1 + 35% assumed fringe rate), per Northeastern. Columns F-G (Form 990, narrower scope) are reference only. Interest is net and embedded in other operating expenses. Includes SLAC and the hospitals.</t>
        </is>
      </c>
    </row>
    <row r="16">
      <c r="A16" s="13" t="inlineStr">
        <is>
          <t>Northeastern</t>
        </is>
      </c>
      <c r="B16" s="9" t="inlineStr">
        <is>
          <t>June 30, 2025</t>
        </is>
      </c>
      <c r="C16" s="19">
        <f>E16*F16/G16</f>
        <v/>
      </c>
      <c r="D16" s="9" t="inlineStr">
        <is>
          <t>audited combined x Form 990 S&amp;W share (80.5%)</t>
        </is>
      </c>
      <c r="E16" s="19" t="n">
        <v>1341049000</v>
      </c>
      <c r="F16" s="19" t="n">
        <v>1045135178</v>
      </c>
      <c r="G16" s="19" t="n">
        <v>1297581752</v>
      </c>
      <c r="H16" s="19" t="n">
        <v>2388249000</v>
      </c>
      <c r="I16" s="19" t="n">
        <v>151250000</v>
      </c>
      <c r="K16" s="19" t="n">
        <v>49862000</v>
      </c>
      <c r="L16" s="19">
        <f>H16-I16-J16-K16</f>
        <v/>
      </c>
      <c r="M16" s="19" t="n">
        <v>39774</v>
      </c>
      <c r="N16" s="11">
        <f>C16/M16</f>
        <v/>
      </c>
      <c r="O16" s="11">
        <f>L16/M16</f>
        <v/>
      </c>
      <c r="P16" s="20">
        <f>C16/L16</f>
        <v/>
      </c>
      <c r="Q16" s="21">
        <f>O16*P16-N16</f>
        <v/>
      </c>
      <c r="R16" s="9" t="inlineStr">
        <is>
          <t>no</t>
        </is>
      </c>
      <c r="S16" s="4" t="inlineStr">
        <is>
          <t>Audited statements show 'Salary and benefits' combined ($1,341.0M). S&amp;W = audited combined x the Form 990 S&amp;W share (lines 5+6+7 / lines 5-10 = 80.54%), because the 990 covers only 96.8% of the audited line; as filed the 990 S&amp;W is $1,045.1M (column F). See S3_Sensitivity G. Interest ($49.9M) is below the debt-note figure ($60.0M).</t>
        </is>
      </c>
    </row>
    <row r="17">
      <c r="A17" s="9" t="inlineStr">
        <is>
          <t>Boston University</t>
        </is>
      </c>
      <c r="B17" s="9" t="inlineStr">
        <is>
          <t>June 30, 2025</t>
        </is>
      </c>
      <c r="C17" s="19" t="n">
        <v>1238476000</v>
      </c>
      <c r="D17" s="9" t="inlineStr">
        <is>
          <t>audited line</t>
        </is>
      </c>
      <c r="E17" s="19">
        <f>C17+389796000</f>
        <v/>
      </c>
      <c r="H17" s="19" t="n">
        <v>2719848000</v>
      </c>
      <c r="I17" s="19" t="n">
        <v>160697000</v>
      </c>
      <c r="K17" s="19" t="n">
        <v>81689000</v>
      </c>
      <c r="L17" s="19">
        <f>H17-I17-J17-K17</f>
        <v/>
      </c>
      <c r="M17" s="19" t="n">
        <v>37737</v>
      </c>
      <c r="N17" s="11">
        <f>C17/M17</f>
        <v/>
      </c>
      <c r="O17" s="11">
        <f>L17/M17</f>
        <v/>
      </c>
      <c r="P17" s="20">
        <f>C17/L17</f>
        <v/>
      </c>
      <c r="Q17" s="21">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9" t="n">
        <v>2090862000</v>
      </c>
      <c r="D18" s="9" t="inlineStr">
        <is>
          <t>audited line</t>
        </is>
      </c>
      <c r="E18" s="19" t="n">
        <v>2796822000</v>
      </c>
      <c r="H18" s="19" t="n">
        <v>5117184000</v>
      </c>
      <c r="I18" s="19" t="n">
        <v>289575000</v>
      </c>
      <c r="K18" s="19" t="n">
        <v>170489000</v>
      </c>
      <c r="L18" s="19">
        <f>H18-I18-J18-K18</f>
        <v/>
      </c>
      <c r="M18" s="19" t="n">
        <v>11886</v>
      </c>
      <c r="N18" s="11">
        <f>C18/M18</f>
        <v/>
      </c>
      <c r="O18" s="11">
        <f>L18/M18</f>
        <v/>
      </c>
      <c r="P18" s="20">
        <f>C18/L18</f>
        <v/>
      </c>
      <c r="Q18" s="21">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(14 schools)</t>
        </is>
      </c>
      <c r="N20" s="8">
        <f>MEDIAN(N5:N18)</f>
        <v/>
      </c>
      <c r="O20" s="8">
        <f>MEDIAN(O5:O18)</f>
        <v/>
      </c>
      <c r="P20" s="23">
        <f>MEDIAN(P5:P18)</f>
        <v/>
      </c>
    </row>
    <row r="21">
      <c r="A21" s="3" t="inlineStr">
        <is>
          <t>Northeastern rank, S&amp;W per student (1 = lowest)</t>
        </is>
      </c>
      <c r="N21" s="10">
        <f>RANK(N16,N5:N18,1)</f>
        <v/>
      </c>
    </row>
    <row r="22">
      <c r="A22" s="3" t="inlineStr">
        <is>
          <t>Northeastern S&amp;W per student as % of peer median</t>
        </is>
      </c>
      <c r="N22" s="24">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9" t="n">
        <v>39774</v>
      </c>
      <c r="C6" s="11">
        <f>S3_FY25!C16/B6</f>
        <v/>
      </c>
      <c r="D6" s="11">
        <f>S3_FY25!L16/B6</f>
        <v/>
      </c>
      <c r="E6" s="9" t="inlineStr">
        <is>
          <t>B1 'total all students'</t>
        </is>
      </c>
    </row>
    <row r="7">
      <c r="A7" s="9" t="inlineStr">
        <is>
          <t>IPEDS-style headcount (College Navigator fall 2024)</t>
        </is>
      </c>
      <c r="B7" s="19"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9"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Students used (CDS fall 2024; Harvard + Extension)</t>
        </is>
      </c>
      <c r="C11" s="5" t="inlineStr">
        <is>
          <t>IPEDS fall 2023</t>
        </is>
      </c>
      <c r="D11" s="5" t="inlineStr">
        <is>
          <t>S&amp;W per student (used)</t>
        </is>
      </c>
      <c r="E11" s="5" t="inlineStr">
        <is>
          <t>S&amp;W per student (IPEDS F23)</t>
        </is>
      </c>
      <c r="F11" s="5" t="inlineStr">
        <is>
          <t>Rank low-to-high (CDS)</t>
        </is>
      </c>
      <c r="G11" s="5" t="inlineStr">
        <is>
          <t>Rank low-to-high (IPEDS)</t>
        </is>
      </c>
      <c r="H11" s="5" t="inlineStr">
        <is>
          <t>IPEDS F23 vs CDS F24 (%)</t>
        </is>
      </c>
    </row>
    <row r="12">
      <c r="A12" s="9" t="inlineStr">
        <is>
          <t>Rice</t>
        </is>
      </c>
      <c r="B12" s="19">
        <f>S3_FY25!M5</f>
        <v/>
      </c>
      <c r="C12" s="19" t="n">
        <v>8556</v>
      </c>
      <c r="D12" s="11">
        <f>S3_FY25!C5/B12</f>
        <v/>
      </c>
      <c r="E12" s="11">
        <f>S3_FY25!C5/C12</f>
        <v/>
      </c>
      <c r="F12" s="16">
        <f>RANK(D12,D$12:D$25,1)</f>
        <v/>
      </c>
      <c r="G12" s="16">
        <f>RANK(E12,E$12:E$25,1)</f>
        <v/>
      </c>
      <c r="H12" s="25">
        <f>(C12/B12-1)*100</f>
        <v/>
      </c>
    </row>
    <row r="13">
      <c r="A13" s="9" t="inlineStr">
        <is>
          <t>Vanderbilt</t>
        </is>
      </c>
      <c r="B13" s="19">
        <f>S3_FY25!M6</f>
        <v/>
      </c>
      <c r="C13" s="19" t="n">
        <v>13456</v>
      </c>
      <c r="D13" s="11">
        <f>S3_FY25!C6/B13</f>
        <v/>
      </c>
      <c r="E13" s="11">
        <f>S3_FY25!C6/C13</f>
        <v/>
      </c>
      <c r="F13" s="16">
        <f>RANK(D13,D$12:D$25,1)</f>
        <v/>
      </c>
      <c r="G13" s="16">
        <f>RANK(E13,E$12:E$25,1)</f>
        <v/>
      </c>
      <c r="H13" s="25">
        <f>(C13/B13-1)*100</f>
        <v/>
      </c>
    </row>
    <row r="14">
      <c r="A14" s="9" t="inlineStr">
        <is>
          <t>Northwestern</t>
        </is>
      </c>
      <c r="B14" s="19">
        <f>S3_FY25!M7</f>
        <v/>
      </c>
      <c r="C14" s="19" t="n">
        <v>23203</v>
      </c>
      <c r="D14" s="11">
        <f>S3_FY25!C7/B14</f>
        <v/>
      </c>
      <c r="E14" s="11">
        <f>S3_FY25!C7/C14</f>
        <v/>
      </c>
      <c r="F14" s="16">
        <f>RANK(D14,D$12:D$25,1)</f>
        <v/>
      </c>
      <c r="G14" s="16">
        <f>RANK(E14,E$12:E$25,1)</f>
        <v/>
      </c>
      <c r="H14" s="25">
        <f>(C14/B14-1)*100</f>
        <v/>
      </c>
    </row>
    <row r="15">
      <c r="A15" s="9" t="inlineStr">
        <is>
          <t>Princeton</t>
        </is>
      </c>
      <c r="B15" s="19">
        <f>S3_FY25!M8</f>
        <v/>
      </c>
      <c r="C15" s="19" t="n">
        <v>8922</v>
      </c>
      <c r="D15" s="11">
        <f>S3_FY25!C8/B15</f>
        <v/>
      </c>
      <c r="E15" s="11">
        <f>S3_FY25!C8/C15</f>
        <v/>
      </c>
      <c r="F15" s="16">
        <f>RANK(D15,D$12:D$25,1)</f>
        <v/>
      </c>
      <c r="G15" s="16">
        <f>RANK(E15,E$12:E$25,1)</f>
        <v/>
      </c>
      <c r="H15" s="25">
        <f>(C15/B15-1)*100</f>
        <v/>
      </c>
    </row>
    <row r="16">
      <c r="A16" s="9" t="inlineStr">
        <is>
          <t>Harvard</t>
        </is>
      </c>
      <c r="B16" s="19">
        <f>S3_FY25!M9</f>
        <v/>
      </c>
      <c r="C16" s="19" t="n">
        <v>30386</v>
      </c>
      <c r="D16" s="11">
        <f>S3_FY25!C9/B16</f>
        <v/>
      </c>
      <c r="E16" s="11">
        <f>S3_FY25!C9/C16</f>
        <v/>
      </c>
      <c r="F16" s="16">
        <f>RANK(D16,D$12:D$25,1)</f>
        <v/>
      </c>
      <c r="G16" s="16">
        <f>RANK(E16,E$12:E$25,1)</f>
        <v/>
      </c>
      <c r="H16" s="25">
        <f>(C16/B16-1)*100</f>
        <v/>
      </c>
    </row>
    <row r="17">
      <c r="A17" s="9" t="inlineStr">
        <is>
          <t>Yale</t>
        </is>
      </c>
      <c r="B17" s="19">
        <f>S3_FY25!M10</f>
        <v/>
      </c>
      <c r="C17" s="19" t="n">
        <v>15081</v>
      </c>
      <c r="D17" s="11">
        <f>S3_FY25!C10/B17</f>
        <v/>
      </c>
      <c r="E17" s="11">
        <f>S3_FY25!C10/C17</f>
        <v/>
      </c>
      <c r="F17" s="16">
        <f>RANK(D17,D$12:D$25,1)</f>
        <v/>
      </c>
      <c r="G17" s="16">
        <f>RANK(E17,E$12:E$25,1)</f>
        <v/>
      </c>
      <c r="H17" s="25">
        <f>(C17/B17-1)*100</f>
        <v/>
      </c>
    </row>
    <row r="18">
      <c r="A18" s="9" t="inlineStr">
        <is>
          <t>Chicago</t>
        </is>
      </c>
      <c r="B18" s="19">
        <f>S3_FY25!M11</f>
        <v/>
      </c>
      <c r="C18" s="19" t="n">
        <v>18339</v>
      </c>
      <c r="D18" s="11">
        <f>S3_FY25!C11/B18</f>
        <v/>
      </c>
      <c r="E18" s="11">
        <f>S3_FY25!C11/C18</f>
        <v/>
      </c>
      <c r="F18" s="16">
        <f>RANK(D18,D$12:D$25,1)</f>
        <v/>
      </c>
      <c r="G18" s="16">
        <f>RANK(E18,E$12:E$25,1)</f>
        <v/>
      </c>
      <c r="H18" s="25">
        <f>(C18/B18-1)*100</f>
        <v/>
      </c>
    </row>
    <row r="19">
      <c r="A19" s="9" t="inlineStr">
        <is>
          <t>Duke</t>
        </is>
      </c>
      <c r="B19" s="19">
        <f>S3_FY25!M12</f>
        <v/>
      </c>
      <c r="C19" s="19" t="n">
        <v>17112</v>
      </c>
      <c r="D19" s="11">
        <f>S3_FY25!C12/B19</f>
        <v/>
      </c>
      <c r="E19" s="11">
        <f>S3_FY25!C12/C19</f>
        <v/>
      </c>
      <c r="F19" s="16">
        <f>RANK(D19,D$12:D$25,1)</f>
        <v/>
      </c>
      <c r="G19" s="16">
        <f>RANK(E19,E$12:E$25,1)</f>
        <v/>
      </c>
      <c r="H19" s="25">
        <f>(C19/B19-1)*100</f>
        <v/>
      </c>
    </row>
    <row r="20">
      <c r="A20" s="9" t="inlineStr">
        <is>
          <t>Emory</t>
        </is>
      </c>
      <c r="B20" s="19">
        <f>S3_FY25!M13</f>
        <v/>
      </c>
      <c r="C20" s="19" t="n">
        <v>15046</v>
      </c>
      <c r="D20" s="11">
        <f>S3_FY25!C13/B20</f>
        <v/>
      </c>
      <c r="E20" s="11">
        <f>S3_FY25!C13/C20</f>
        <v/>
      </c>
      <c r="F20" s="16">
        <f>RANK(D20,D$12:D$25,1)</f>
        <v/>
      </c>
      <c r="G20" s="16">
        <f>RANK(E20,E$12:E$25,1)</f>
        <v/>
      </c>
      <c r="H20" s="25">
        <f>(C20/B20-1)*100</f>
        <v/>
      </c>
    </row>
    <row r="21">
      <c r="A21" s="9" t="inlineStr">
        <is>
          <t>Penn</t>
        </is>
      </c>
      <c r="B21" s="19">
        <f>S3_FY25!M14</f>
        <v/>
      </c>
      <c r="C21" s="19" t="n">
        <v>28711</v>
      </c>
      <c r="D21" s="11">
        <f>S3_FY25!C14/B21</f>
        <v/>
      </c>
      <c r="E21" s="11">
        <f>S3_FY25!C14/C21</f>
        <v/>
      </c>
      <c r="F21" s="16">
        <f>RANK(D21,D$12:D$25,1)</f>
        <v/>
      </c>
      <c r="G21" s="16">
        <f>RANK(E21,E$12:E$25,1)</f>
        <v/>
      </c>
      <c r="H21" s="25">
        <f>(C21/B21-1)*100</f>
        <v/>
      </c>
    </row>
    <row r="22">
      <c r="A22" s="9" t="inlineStr">
        <is>
          <t>Stanford</t>
        </is>
      </c>
      <c r="B22" s="19">
        <f>S3_FY25!M15</f>
        <v/>
      </c>
      <c r="C22" s="19" t="n">
        <v>18446</v>
      </c>
      <c r="D22" s="11">
        <f>S3_FY25!C15/B22</f>
        <v/>
      </c>
      <c r="E22" s="11">
        <f>S3_FY25!C15/C22</f>
        <v/>
      </c>
      <c r="F22" s="16">
        <f>RANK(D22,D$12:D$25,1)</f>
        <v/>
      </c>
      <c r="G22" s="16">
        <f>RANK(E22,E$12:E$25,1)</f>
        <v/>
      </c>
      <c r="H22" s="25">
        <f>(C22/B22-1)*100</f>
        <v/>
      </c>
    </row>
    <row r="23">
      <c r="A23" s="9" t="inlineStr">
        <is>
          <t>Northeastern</t>
        </is>
      </c>
      <c r="B23" s="19">
        <f>S3_FY25!M16</f>
        <v/>
      </c>
      <c r="C23" s="19" t="n">
        <v>31159</v>
      </c>
      <c r="D23" s="11">
        <f>S3_FY25!C16/B23</f>
        <v/>
      </c>
      <c r="E23" s="11">
        <f>S3_FY25!C16/C23</f>
        <v/>
      </c>
      <c r="F23" s="16">
        <f>RANK(D23,D$12:D$25,1)</f>
        <v/>
      </c>
      <c r="G23" s="16">
        <f>RANK(E23,E$12:E$25,1)</f>
        <v/>
      </c>
      <c r="H23" s="25">
        <f>(C23/B23-1)*100</f>
        <v/>
      </c>
    </row>
    <row r="24">
      <c r="A24" s="9" t="inlineStr">
        <is>
          <t>Boston University</t>
        </is>
      </c>
      <c r="B24" s="19">
        <f>S3_FY25!M17</f>
        <v/>
      </c>
      <c r="C24" s="19" t="n">
        <v>36624</v>
      </c>
      <c r="D24" s="11">
        <f>S3_FY25!C17/B24</f>
        <v/>
      </c>
      <c r="E24" s="11">
        <f>S3_FY25!C17/C24</f>
        <v/>
      </c>
      <c r="F24" s="16">
        <f>RANK(D24,D$12:D$25,1)</f>
        <v/>
      </c>
      <c r="G24" s="16">
        <f>RANK(E24,E$12:E$25,1)</f>
        <v/>
      </c>
      <c r="H24" s="25">
        <f>(C24/B24-1)*100</f>
        <v/>
      </c>
    </row>
    <row r="25">
      <c r="A25" s="9" t="inlineStr">
        <is>
          <t>MIT</t>
        </is>
      </c>
      <c r="B25" s="19">
        <f>S3_FY25!M18</f>
        <v/>
      </c>
      <c r="C25" s="19" t="n">
        <v>11920</v>
      </c>
      <c r="D25" s="11">
        <f>S3_FY25!C18/B25</f>
        <v/>
      </c>
      <c r="E25" s="11">
        <f>S3_FY25!C18/C25</f>
        <v/>
      </c>
      <c r="F25" s="16">
        <f>RANK(D25,D$12:D$25,1)</f>
        <v/>
      </c>
      <c r="G25" s="16">
        <f>RANK(E25,E$12:E$25,1)</f>
        <v/>
      </c>
      <c r="H25" s="25">
        <f>(C25/B25-1)*100</f>
        <v/>
      </c>
    </row>
    <row r="28">
      <c r="A28" s="3" t="inlineStr">
        <is>
          <t>C. Penn and Stanford estimated S&amp;W under alternative assumptions</t>
        </is>
      </c>
    </row>
    <row r="29">
      <c r="A29" s="5" t="inlineStr">
        <is>
          <t>Institution</t>
        </is>
      </c>
      <c r="B29" s="5" t="inlineStr">
        <is>
          <t>Salaries + benefits ($)</t>
        </is>
      </c>
      <c r="C29" s="5" t="inlineStr">
        <is>
          <t>Fringe rate used (input on S3_FY25)</t>
        </is>
      </c>
      <c r="D29" s="5" t="inlineStr">
        <is>
          <t>S&amp;W per student, used</t>
        </is>
      </c>
      <c r="E29" s="5" t="inlineStr">
        <is>
          <t>Alt 1: own Form 990 S&amp;W share</t>
        </is>
      </c>
      <c r="F29" s="5" t="inlineStr">
        <is>
          <t>S&amp;W per student, Alt 1</t>
        </is>
      </c>
      <c r="G29" s="5" t="inlineStr">
        <is>
          <t>Alt 1 vs used (%)</t>
        </is>
      </c>
      <c r="H29" s="5" t="inlineStr">
        <is>
          <t>Alt 2: original slide 72.8%</t>
        </is>
      </c>
      <c r="I29" s="5" t="inlineStr">
        <is>
          <t>S&amp;W per student, Alt 2</t>
        </is>
      </c>
      <c r="J29" s="5" t="inlineStr">
        <is>
          <t>Alt 2 vs used (%)</t>
        </is>
      </c>
    </row>
    <row r="30">
      <c r="A30" s="9" t="inlineStr">
        <is>
          <t>Penn</t>
        </is>
      </c>
      <c r="B30" s="19">
        <f>S3_FY25!E14</f>
        <v/>
      </c>
      <c r="C30" s="15">
        <f>S3_FY25!E3</f>
        <v/>
      </c>
      <c r="D30" s="11">
        <f>B30/(1+C30)/S3_FY25!M14</f>
        <v/>
      </c>
      <c r="E30" s="20">
        <f>S3_FY25!F14/S3_FY25!G14</f>
        <v/>
      </c>
      <c r="F30" s="11">
        <f>B30*E30/S3_FY25!M14</f>
        <v/>
      </c>
      <c r="G30" s="25">
        <f>(F30/D30-1)*100</f>
        <v/>
      </c>
      <c r="H30" s="20" t="n">
        <v>0.728</v>
      </c>
      <c r="I30" s="11">
        <f>B30*H30/S3_FY25!M14</f>
        <v/>
      </c>
      <c r="J30" s="25">
        <f>(I30/D30-1)*100</f>
        <v/>
      </c>
    </row>
    <row r="31">
      <c r="A31" s="9" t="inlineStr">
        <is>
          <t>Stanford</t>
        </is>
      </c>
      <c r="B31" s="19">
        <f>S3_FY25!E15</f>
        <v/>
      </c>
      <c r="C31" s="15">
        <f>S3_FY25!E3</f>
        <v/>
      </c>
      <c r="D31" s="11">
        <f>B31/(1+C31)/S3_FY25!M15</f>
        <v/>
      </c>
      <c r="E31" s="20">
        <f>S3_FY25!F15/S3_FY25!G15</f>
        <v/>
      </c>
      <c r="F31" s="11">
        <f>B31*E31/S3_FY25!M15</f>
        <v/>
      </c>
      <c r="G31" s="25">
        <f>(F31/D31-1)*100</f>
        <v/>
      </c>
      <c r="H31" s="20" t="n">
        <v>0.728</v>
      </c>
      <c r="I31" s="11">
        <f>B31*H31/S3_FY25!M15</f>
        <v/>
      </c>
      <c r="J31" s="25">
        <f>(I31/D31-1)*100</f>
        <v/>
      </c>
    </row>
    <row r="33">
      <c r="A33" s="3" t="inlineStr">
        <is>
          <t>D. Fringe benefit rates (benefits / S&amp;W) observed where audited statements report both lines</t>
        </is>
      </c>
    </row>
    <row r="34">
      <c r="A34" s="5" t="inlineStr">
        <is>
          <t>Institution</t>
        </is>
      </c>
      <c r="B34" s="5" t="inlineStr">
        <is>
          <t>S&amp;W ($)</t>
        </is>
      </c>
      <c r="C34" s="5" t="inlineStr">
        <is>
          <t>Benefits ($)</t>
        </is>
      </c>
      <c r="D34" s="5" t="inlineStr">
        <is>
          <t>Fringe rate</t>
        </is>
      </c>
    </row>
    <row r="35">
      <c r="A35" s="9" t="inlineStr">
        <is>
          <t>Rice</t>
        </is>
      </c>
      <c r="B35" s="19">
        <f>S3_FY25!C5</f>
        <v/>
      </c>
      <c r="C35" s="19">
        <f>S3_FY25!E5-S3_FY25!C5</f>
        <v/>
      </c>
      <c r="D35" s="20">
        <f>C35/B35</f>
        <v/>
      </c>
    </row>
    <row r="36">
      <c r="A36" s="9" t="inlineStr">
        <is>
          <t>Princeton</t>
        </is>
      </c>
      <c r="B36" s="19">
        <f>S3_FY25!C8</f>
        <v/>
      </c>
      <c r="C36" s="19">
        <f>S3_FY25!E8-S3_FY25!C8</f>
        <v/>
      </c>
      <c r="D36" s="20">
        <f>C36/B36</f>
        <v/>
      </c>
    </row>
    <row r="37">
      <c r="A37" s="9" t="inlineStr">
        <is>
          <t>Harvard</t>
        </is>
      </c>
      <c r="B37" s="19">
        <f>S3_FY25!C9</f>
        <v/>
      </c>
      <c r="C37" s="19">
        <f>S3_FY25!E9-S3_FY25!C9</f>
        <v/>
      </c>
      <c r="D37" s="20">
        <f>C37/B37</f>
        <v/>
      </c>
    </row>
    <row r="38">
      <c r="A38" s="9" t="inlineStr">
        <is>
          <t>Yale</t>
        </is>
      </c>
      <c r="B38" s="19">
        <f>S3_FY25!C10</f>
        <v/>
      </c>
      <c r="C38" s="19">
        <f>S3_FY25!E10-S3_FY25!C10</f>
        <v/>
      </c>
      <c r="D38" s="20">
        <f>C38/B38</f>
        <v/>
      </c>
    </row>
    <row r="39">
      <c r="A39" s="9" t="inlineStr">
        <is>
          <t>Chicago</t>
        </is>
      </c>
      <c r="B39" s="19">
        <f>S3_FY25!C11</f>
        <v/>
      </c>
      <c r="C39" s="19">
        <f>S3_FY25!E11-S3_FY25!C11</f>
        <v/>
      </c>
      <c r="D39" s="20">
        <f>C39/B39</f>
        <v/>
      </c>
    </row>
    <row r="40">
      <c r="A40" s="9" t="inlineStr">
        <is>
          <t>Duke</t>
        </is>
      </c>
      <c r="B40" s="19">
        <f>S3_FY25!C12</f>
        <v/>
      </c>
      <c r="C40" s="19">
        <f>S3_FY25!E12-S3_FY25!C12</f>
        <v/>
      </c>
      <c r="D40" s="20">
        <f>C40/B40</f>
        <v/>
      </c>
    </row>
    <row r="41">
      <c r="A41" s="9" t="inlineStr">
        <is>
          <t>Emory</t>
        </is>
      </c>
      <c r="B41" s="19">
        <f>S3_FY25!C13</f>
        <v/>
      </c>
      <c r="C41" s="19">
        <f>S3_FY25!E13-S3_FY25!C13</f>
        <v/>
      </c>
      <c r="D41" s="20">
        <f>C41/B41</f>
        <v/>
      </c>
    </row>
    <row r="42">
      <c r="A42" s="9" t="inlineStr">
        <is>
          <t>Boston University</t>
        </is>
      </c>
      <c r="B42" s="19">
        <f>S3_FY25!C17</f>
        <v/>
      </c>
      <c r="C42" s="19">
        <f>S3_FY25!E17-S3_FY25!C17</f>
        <v/>
      </c>
      <c r="D42" s="20">
        <f>C42/B42</f>
        <v/>
      </c>
    </row>
    <row r="43">
      <c r="A43" s="9" t="inlineStr">
        <is>
          <t>MIT</t>
        </is>
      </c>
      <c r="B43" s="19">
        <f>S3_FY25!C18</f>
        <v/>
      </c>
      <c r="C43" s="19">
        <f>S3_FY25!E18-S3_FY25!C18</f>
        <v/>
      </c>
      <c r="D43" s="20">
        <f>C43/B43</f>
        <v/>
      </c>
    </row>
    <row r="44">
      <c r="A44" s="3" t="inlineStr">
        <is>
          <t>Minimum / median / maximum</t>
        </is>
      </c>
      <c r="B44" s="23">
        <f>MIN(D35:D43)</f>
        <v/>
      </c>
      <c r="C44" s="23">
        <f>MEDIAN(D35:D43)</f>
        <v/>
      </c>
      <c r="D44" s="23">
        <f>MAX(D35:D43)</f>
        <v/>
      </c>
    </row>
    <row r="45">
      <c r="A45" s="17" t="inlineStr">
        <is>
          <t>The 35% assumption sits above every observed rate, so the Penn and Stanford estimates lean low relative to peers (Alt 1 gives higher S&amp;W per student).</t>
        </is>
      </c>
    </row>
    <row r="47">
      <c r="A47" s="3" t="inlineStr">
        <is>
          <t>E. Harvard S&amp;W per student by student-count basis (CDS excludes the Harvard Extension School; the expenses include it)</t>
        </is>
      </c>
    </row>
    <row r="48">
      <c r="A48" s="5" t="inlineStr">
        <is>
          <t>Basis</t>
        </is>
      </c>
      <c r="B48" s="5" t="inlineStr">
        <is>
          <t>Students</t>
        </is>
      </c>
      <c r="C48" s="5" t="inlineStr">
        <is>
          <t>S&amp;W per student</t>
        </is>
      </c>
      <c r="D48" s="5" t="inlineStr">
        <is>
          <t>Core opex per student</t>
        </is>
      </c>
      <c r="E48" s="5" t="inlineStr">
        <is>
          <t>Note</t>
        </is>
      </c>
    </row>
    <row r="49">
      <c r="A49" s="9" t="inlineStr">
        <is>
          <t>CDS 2024-25 + Extension School degree students, fall 2024 (USED on slide)</t>
        </is>
      </c>
      <c r="B49" s="19">
        <f>21189+3630</f>
        <v/>
      </c>
      <c r="C49" s="11">
        <f>S3_FY25!C9/B49</f>
        <v/>
      </c>
      <c r="D49" s="11">
        <f>S3_FY25!L9/B49</f>
        <v/>
      </c>
      <c r="E49" s="9" t="inlineStr">
        <is>
          <t>CDS B1 grand total 21,189 (degree schools only) + Extension undergraduate 621 + graduate 3,009 (Harvard OIRA Fact Book 2025-26, 'as of October 15 of the academic year')</t>
        </is>
      </c>
    </row>
    <row r="50">
      <c r="A50" s="9" t="inlineStr">
        <is>
          <t>Fact Book University total degree headcount, fall 2024</t>
        </is>
      </c>
      <c r="B50" s="19" t="n">
        <v>24519</v>
      </c>
      <c r="C50" s="11">
        <f>S3_FY25!C9/B50</f>
        <v/>
      </c>
      <c r="D50" s="11">
        <f>S3_FY25!L9/B50</f>
        <v/>
      </c>
      <c r="E50" s="9" t="inlineStr">
        <is>
          <t>Distinct students; some Extension students are also registered in another school, so this is 300 below the sum above</t>
        </is>
      </c>
    </row>
    <row r="51">
      <c r="A51" s="9" t="inlineStr">
        <is>
          <t>CDS 2024-25 only (excludes Extension School)</t>
        </is>
      </c>
      <c r="B51" s="19" t="n">
        <v>21189</v>
      </c>
      <c r="C51" s="11">
        <f>S3_FY25!C9/B51</f>
        <v/>
      </c>
      <c r="D51" s="11">
        <f>S3_FY25!L9/B51</f>
        <v/>
      </c>
      <c r="E51" s="9" t="inlineStr">
        <is>
          <t>The count used in the first FY25 draft; expenses include Continuing Education, so S&amp;W per student is overstated on this basis</t>
        </is>
      </c>
    </row>
    <row r="52">
      <c r="A52" s="9" t="inlineStr">
        <is>
          <t>IPEDS fall 2023 total</t>
        </is>
      </c>
      <c r="B52" s="19" t="n">
        <v>30386</v>
      </c>
      <c r="C52" s="11">
        <f>S3_FY25!C9/B52</f>
        <v/>
      </c>
      <c r="D52" s="11">
        <f>S3_FY25!L9/B52</f>
        <v/>
      </c>
      <c r="E52" s="9" t="inlineStr">
        <is>
          <t>Adds non-degree Extension course takers (not in the Fact Book); fall 2024 IPEDS not yet posted</t>
        </is>
      </c>
    </row>
    <row r="53">
      <c r="A53" s="17" t="inlineStr">
        <is>
          <t>Harvard stays well above Northeastern ($26K) on every basis.</t>
        </is>
      </c>
    </row>
    <row r="55">
      <c r="A55" s="3" t="inlineStr">
        <is>
          <t>F. Salaries + benefits (combined compensation) per student: the like-for-like basis for the audited 'salary and benefits' line</t>
        </is>
      </c>
    </row>
    <row r="56">
      <c r="A56" s="5" t="inlineStr">
        <is>
          <t>Institution</t>
        </is>
      </c>
      <c r="B56" s="5" t="inlineStr">
        <is>
          <t>Salaries + benefits ($)</t>
        </is>
      </c>
      <c r="C56" s="5" t="inlineStr">
        <is>
          <t>Students used</t>
        </is>
      </c>
      <c r="D56" s="5" t="inlineStr">
        <is>
          <t>Compensation per student</t>
        </is>
      </c>
      <c r="E56" s="5" t="inlineStr">
        <is>
          <t>Rank low-to-high</t>
        </is>
      </c>
    </row>
    <row r="57">
      <c r="A57" s="9" t="inlineStr">
        <is>
          <t>Rice</t>
        </is>
      </c>
      <c r="B57" s="19">
        <f>S3_FY25!E5</f>
        <v/>
      </c>
      <c r="C57" s="19">
        <f>S3_FY25!M5</f>
        <v/>
      </c>
      <c r="D57" s="11">
        <f>B57/C57</f>
        <v/>
      </c>
      <c r="E57" s="16">
        <f>RANK(D57,D$57:D$70,1)</f>
        <v/>
      </c>
    </row>
    <row r="58">
      <c r="A58" s="9" t="inlineStr">
        <is>
          <t>Vanderbilt</t>
        </is>
      </c>
      <c r="B58" s="19">
        <f>S3_FY25!E6</f>
        <v/>
      </c>
      <c r="C58" s="19">
        <f>S3_FY25!M6</f>
        <v/>
      </c>
      <c r="D58" s="11">
        <f>B58/C58</f>
        <v/>
      </c>
      <c r="E58" s="16">
        <f>RANK(D58,D$57:D$70,1)</f>
        <v/>
      </c>
    </row>
    <row r="59">
      <c r="A59" s="9" t="inlineStr">
        <is>
          <t>Northwestern</t>
        </is>
      </c>
      <c r="B59" s="19">
        <f>S3_FY25!E7</f>
        <v/>
      </c>
      <c r="C59" s="19">
        <f>S3_FY25!M7</f>
        <v/>
      </c>
      <c r="D59" s="11">
        <f>B59/C59</f>
        <v/>
      </c>
      <c r="E59" s="16">
        <f>RANK(D59,D$57:D$70,1)</f>
        <v/>
      </c>
    </row>
    <row r="60">
      <c r="A60" s="9" t="inlineStr">
        <is>
          <t>Princeton</t>
        </is>
      </c>
      <c r="B60" s="19">
        <f>S3_FY25!E8</f>
        <v/>
      </c>
      <c r="C60" s="19">
        <f>S3_FY25!M8</f>
        <v/>
      </c>
      <c r="D60" s="11">
        <f>B60/C60</f>
        <v/>
      </c>
      <c r="E60" s="16">
        <f>RANK(D60,D$57:D$70,1)</f>
        <v/>
      </c>
    </row>
    <row r="61">
      <c r="A61" s="9" t="inlineStr">
        <is>
          <t>Harvard</t>
        </is>
      </c>
      <c r="B61" s="19">
        <f>S3_FY25!E9</f>
        <v/>
      </c>
      <c r="C61" s="19">
        <f>S3_FY25!M9</f>
        <v/>
      </c>
      <c r="D61" s="11">
        <f>B61/C61</f>
        <v/>
      </c>
      <c r="E61" s="16">
        <f>RANK(D61,D$57:D$70,1)</f>
        <v/>
      </c>
    </row>
    <row r="62">
      <c r="A62" s="9" t="inlineStr">
        <is>
          <t>Yale</t>
        </is>
      </c>
      <c r="B62" s="19">
        <f>S3_FY25!E10</f>
        <v/>
      </c>
      <c r="C62" s="19">
        <f>S3_FY25!M10</f>
        <v/>
      </c>
      <c r="D62" s="11">
        <f>B62/C62</f>
        <v/>
      </c>
      <c r="E62" s="16">
        <f>RANK(D62,D$57:D$70,1)</f>
        <v/>
      </c>
    </row>
    <row r="63">
      <c r="A63" s="9" t="inlineStr">
        <is>
          <t>Chicago</t>
        </is>
      </c>
      <c r="B63" s="19">
        <f>S3_FY25!E11</f>
        <v/>
      </c>
      <c r="C63" s="19">
        <f>S3_FY25!M11</f>
        <v/>
      </c>
      <c r="D63" s="11">
        <f>B63/C63</f>
        <v/>
      </c>
      <c r="E63" s="16">
        <f>RANK(D63,D$57:D$70,1)</f>
        <v/>
      </c>
    </row>
    <row r="64">
      <c r="A64" s="9" t="inlineStr">
        <is>
          <t>Duke</t>
        </is>
      </c>
      <c r="B64" s="19">
        <f>S3_FY25!E12</f>
        <v/>
      </c>
      <c r="C64" s="19">
        <f>S3_FY25!M12</f>
        <v/>
      </c>
      <c r="D64" s="11">
        <f>B64/C64</f>
        <v/>
      </c>
      <c r="E64" s="16">
        <f>RANK(D64,D$57:D$70,1)</f>
        <v/>
      </c>
    </row>
    <row r="65">
      <c r="A65" s="9" t="inlineStr">
        <is>
          <t>Emory</t>
        </is>
      </c>
      <c r="B65" s="19">
        <f>S3_FY25!E13</f>
        <v/>
      </c>
      <c r="C65" s="19">
        <f>S3_FY25!M13</f>
        <v/>
      </c>
      <c r="D65" s="11">
        <f>B65/C65</f>
        <v/>
      </c>
      <c r="E65" s="16">
        <f>RANK(D65,D$57:D$70,1)</f>
        <v/>
      </c>
    </row>
    <row r="66">
      <c r="A66" s="9" t="inlineStr">
        <is>
          <t>Penn</t>
        </is>
      </c>
      <c r="B66" s="19">
        <f>S3_FY25!E14</f>
        <v/>
      </c>
      <c r="C66" s="19">
        <f>S3_FY25!M14</f>
        <v/>
      </c>
      <c r="D66" s="11">
        <f>B66/C66</f>
        <v/>
      </c>
      <c r="E66" s="16">
        <f>RANK(D66,D$57:D$70,1)</f>
        <v/>
      </c>
    </row>
    <row r="67">
      <c r="A67" s="9" t="inlineStr">
        <is>
          <t>Stanford</t>
        </is>
      </c>
      <c r="B67" s="19">
        <f>S3_FY25!E15</f>
        <v/>
      </c>
      <c r="C67" s="19">
        <f>S3_FY25!M15</f>
        <v/>
      </c>
      <c r="D67" s="11">
        <f>B67/C67</f>
        <v/>
      </c>
      <c r="E67" s="16">
        <f>RANK(D67,D$57:D$70,1)</f>
        <v/>
      </c>
    </row>
    <row r="68">
      <c r="A68" s="9" t="inlineStr">
        <is>
          <t>Northeastern</t>
        </is>
      </c>
      <c r="B68" s="19">
        <f>S3_FY25!E16</f>
        <v/>
      </c>
      <c r="C68" s="19">
        <f>S3_FY25!M16</f>
        <v/>
      </c>
      <c r="D68" s="11">
        <f>B68/C68</f>
        <v/>
      </c>
      <c r="E68" s="16">
        <f>RANK(D68,D$57:D$70,1)</f>
        <v/>
      </c>
    </row>
    <row r="69">
      <c r="A69" s="9" t="inlineStr">
        <is>
          <t>Boston University</t>
        </is>
      </c>
      <c r="B69" s="19">
        <f>S3_FY25!E17</f>
        <v/>
      </c>
      <c r="C69" s="19">
        <f>S3_FY25!M17</f>
        <v/>
      </c>
      <c r="D69" s="11">
        <f>B69/C69</f>
        <v/>
      </c>
      <c r="E69" s="16">
        <f>RANK(D69,D$57:D$70,1)</f>
        <v/>
      </c>
    </row>
    <row r="70">
      <c r="A70" s="9" t="inlineStr">
        <is>
          <t>MIT</t>
        </is>
      </c>
      <c r="B70" s="19">
        <f>S3_FY25!E18</f>
        <v/>
      </c>
      <c r="C70" s="19">
        <f>S3_FY25!M18</f>
        <v/>
      </c>
      <c r="D70" s="11">
        <f>B70/C70</f>
        <v/>
      </c>
      <c r="E70" s="16">
        <f>RANK(D70,D$57:D$70,1)</f>
        <v/>
      </c>
    </row>
    <row r="71">
      <c r="A71" s="17" t="inlineStr">
        <is>
          <t>Northeastern is lowest on compensation per student as well ($33.7K vs Boston University $43.1K). Penn and Stanford combined figures are audited; only their S&amp;W split is estimated.</t>
        </is>
      </c>
    </row>
    <row r="74">
      <c r="A74" s="3" t="inlineStr">
        <is>
          <t>G. Northeastern: which numerator? (check of the '$1.3 billion / about 40,000 students' expectation)</t>
        </is>
      </c>
    </row>
    <row r="75">
      <c r="A75" s="5" t="inlineStr">
        <is>
          <t>Basis</t>
        </is>
      </c>
      <c r="B75" s="5" t="inlineStr">
        <is>
          <t>Amount ($)</t>
        </is>
      </c>
      <c r="C75" s="5" t="inlineStr">
        <is>
          <t>Per student (CDS 39,774)</t>
        </is>
      </c>
      <c r="D75" s="5" t="inlineStr">
        <is>
          <t>Share of core operating expenses</t>
        </is>
      </c>
      <c r="E75" s="5" t="inlineStr">
        <is>
          <t>Students x per-student (check)</t>
        </is>
      </c>
      <c r="F75" s="5" t="inlineStr">
        <is>
          <t>Comparable with peers' S&amp;W?</t>
        </is>
      </c>
      <c r="G75" s="5" t="inlineStr">
        <is>
          <t>Note</t>
        </is>
      </c>
    </row>
    <row r="76">
      <c r="A76" s="9" t="inlineStr">
        <is>
          <t>Audited 'Salary and benefits' x Form 990 S&amp;W share (USED on slide)</t>
        </is>
      </c>
      <c r="B76" s="19">
        <f>S3_FY25!C16</f>
        <v/>
      </c>
      <c r="C76" s="11">
        <f>B76/S3_FY25!M16</f>
        <v/>
      </c>
      <c r="D76" s="20">
        <f>B76/S3_FY25!L16</f>
        <v/>
      </c>
      <c r="E76" s="19">
        <f>S3_FY25!M16*C76</f>
        <v/>
      </c>
      <c r="F76" s="9" t="inlineStr">
        <is>
          <t>Yes</t>
        </is>
      </c>
      <c r="G76" s="9" t="inlineStr">
        <is>
          <t>Audited FY25 combined line x 80.54%; same consolidated scope as core operating expenses</t>
        </is>
      </c>
    </row>
    <row r="77">
      <c r="A77" s="9" t="inlineStr">
        <is>
          <t>Form 990 S&amp;W as filed (lines 5+6+7)</t>
        </is>
      </c>
      <c r="B77" s="19">
        <f>S3_FY25!F16</f>
        <v/>
      </c>
      <c r="C77" s="11">
        <f>B77/S3_FY25!M16</f>
        <v/>
      </c>
      <c r="D77" s="20">
        <f>B77/S3_FY25!L16</f>
        <v/>
      </c>
      <c r="E77" s="19">
        <f>S3_FY25!M16*C77</f>
        <v/>
      </c>
      <c r="F77" s="9" t="inlineStr">
        <is>
          <t>Yes, narrower scope</t>
        </is>
      </c>
      <c r="G77" s="9" t="inlineStr">
        <is>
          <t>The value used in the first FY25 draft; university-only, 96.8% of the audited line's scope</t>
        </is>
      </c>
    </row>
    <row r="78">
      <c r="A78" s="9" t="inlineStr">
        <is>
          <t>Audited combined line / 1.35 (35% fringe, as for Penn and Stanford)</t>
        </is>
      </c>
      <c r="B78" s="19">
        <f>S3_FY25!E16/1.35</f>
        <v/>
      </c>
      <c r="C78" s="11">
        <f>B78/S3_FY25!M16</f>
        <v/>
      </c>
      <c r="D78" s="20">
        <f>B78/S3_FY25!L16</f>
        <v/>
      </c>
      <c r="E78" s="19">
        <f>S3_FY25!M16*C78</f>
        <v/>
      </c>
      <c r="F78" s="9" t="inlineStr">
        <is>
          <t>Yes (assumption)</t>
        </is>
      </c>
      <c r="G78" s="9" t="inlineStr">
        <is>
          <t>Northeastern's own 990 fringe rate is 24.2%, below 35%</t>
        </is>
      </c>
    </row>
    <row r="79">
      <c r="A79" s="9" t="inlineStr">
        <is>
          <t>Audited 'Salary and benefits' (combined)</t>
        </is>
      </c>
      <c r="B79" s="19">
        <f>S3_FY25!E16</f>
        <v/>
      </c>
      <c r="C79" s="11">
        <f>B79/S3_FY25!M16</f>
        <v/>
      </c>
      <c r="D79" s="20">
        <f>B79/S3_FY25!L16</f>
        <v/>
      </c>
      <c r="E79" s="19">
        <f>S3_FY25!M16*C79</f>
        <v/>
      </c>
      <c r="F79" s="9" t="inlineStr">
        <is>
          <t>NO: includes benefits</t>
        </is>
      </c>
      <c r="G79" s="9" t="inlineStr">
        <is>
          <t>This is the roughly $1.3 billion; it is salaries AND benefits (about $261M of benefits)</t>
        </is>
      </c>
    </row>
    <row r="80">
      <c r="A80" s="9" t="inlineStr">
        <is>
          <t>Form 990 lines 5-10 (combined, university only)</t>
        </is>
      </c>
      <c r="B80" s="19">
        <f>S3_FY25!G16</f>
        <v/>
      </c>
      <c r="C80" s="11">
        <f>B80/S3_FY25!M16</f>
        <v/>
      </c>
      <c r="D80" s="20">
        <f>B80/S3_FY25!L16</f>
        <v/>
      </c>
      <c r="E80" s="19">
        <f>S3_FY25!M16*C80</f>
        <v/>
      </c>
      <c r="F80" s="9" t="inlineStr">
        <is>
          <t>NO: includes benefits</t>
        </is>
      </c>
      <c r="G80" s="9" t="inlineStr">
        <is>
          <t>Also about $1.3 billion; 3.2% below the audited line</t>
        </is>
      </c>
    </row>
    <row r="82">
      <c r="A82" s="3" t="inlineStr">
        <is>
          <t>Check: 40,000 students x S&amp;W per student used</t>
        </is>
      </c>
      <c r="B82" s="19">
        <f>40000*C76</f>
        <v/>
      </c>
    </row>
    <row r="83">
      <c r="A83" s="3" t="inlineStr">
        <is>
          <t>Audited 'Salary and benefits' less that product = implied benefits</t>
        </is>
      </c>
      <c r="B83" s="19">
        <f>S3_FY25!E16-B82</f>
        <v/>
      </c>
    </row>
    <row r="84">
      <c r="A84" s="17" t="inlineStr">
        <is>
          <t>So 40,000 x $27K is about $1.09 billion of salaries and wages; the roughly $1.3 billion in the statements includes about $0.25 billion of benefits.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9" t="n">
        <v>421781000</v>
      </c>
      <c r="C5" s="19" t="n">
        <v>959377000</v>
      </c>
      <c r="D5" s="19" t="n">
        <v>421781000</v>
      </c>
      <c r="E5" s="19" t="n">
        <v>959377000</v>
      </c>
      <c r="F5" s="19" t="n">
        <v>118187000</v>
      </c>
      <c r="G5" s="19">
        <f>E5-F5</f>
        <v/>
      </c>
      <c r="H5" s="25">
        <f>(C5/E5-1)*100</f>
        <v/>
      </c>
      <c r="I5" s="25">
        <f>(C5/G5-1)*100</f>
        <v/>
      </c>
      <c r="J5" s="25">
        <f>(B5/D5-1)*100</f>
        <v/>
      </c>
      <c r="M5" s="19" t="n">
        <v>959377000</v>
      </c>
      <c r="N5" s="19" t="n">
        <v>421781000</v>
      </c>
    </row>
    <row r="6">
      <c r="A6" s="9" t="inlineStr">
        <is>
          <t>Vanderbilt</t>
        </is>
      </c>
      <c r="B6" s="19" t="n">
        <v>699234000</v>
      </c>
      <c r="C6" s="19" t="n">
        <v>1615854000</v>
      </c>
      <c r="D6" s="19" t="n">
        <v>700000000</v>
      </c>
      <c r="E6" s="19" t="n">
        <v>1615854000</v>
      </c>
      <c r="F6" s="19" t="n">
        <v>122175000</v>
      </c>
      <c r="G6" s="19">
        <f>E6-F6</f>
        <v/>
      </c>
      <c r="H6" s="25">
        <f>(C6/E6-1)*100</f>
        <v/>
      </c>
      <c r="I6" s="25">
        <f>(C6/G6-1)*100</f>
        <v/>
      </c>
      <c r="J6" s="25">
        <f>(B6/D6-1)*100</f>
        <v/>
      </c>
      <c r="K6" s="19" t="n">
        <v>832612000</v>
      </c>
      <c r="L6" s="26">
        <f>B6/K6</f>
        <v/>
      </c>
      <c r="M6" s="19" t="n">
        <v>1615854013</v>
      </c>
      <c r="N6" s="19" t="n">
        <v>699234852</v>
      </c>
    </row>
    <row r="7">
      <c r="A7" s="9" t="inlineStr">
        <is>
          <t>Northwestern</t>
        </is>
      </c>
      <c r="B7" s="19" t="n">
        <v>1219645336</v>
      </c>
      <c r="C7" s="19" t="n">
        <v>3038060000</v>
      </c>
      <c r="D7" s="19" t="n"/>
      <c r="E7" s="19" t="n">
        <v>3038060000</v>
      </c>
      <c r="F7" s="19" t="n">
        <v>303553000</v>
      </c>
      <c r="G7" s="19">
        <f>E7-F7</f>
        <v/>
      </c>
      <c r="H7" s="25">
        <f>(C7/E7-1)*100</f>
        <v/>
      </c>
      <c r="I7" s="25">
        <f>(C7/G7-1)*100</f>
        <v/>
      </c>
      <c r="K7" s="19" t="n">
        <v>1675337000</v>
      </c>
      <c r="L7" s="26">
        <f>B7/K7</f>
        <v/>
      </c>
      <c r="M7" s="19" t="n">
        <v>3038060000</v>
      </c>
      <c r="N7" s="19" t="n">
        <v>1334540000</v>
      </c>
    </row>
    <row r="8">
      <c r="A8" s="9" t="inlineStr">
        <is>
          <t>Princeton</t>
        </is>
      </c>
      <c r="B8" s="19" t="n">
        <v>969089000</v>
      </c>
      <c r="C8" s="19" t="n">
        <v>2263259000</v>
      </c>
      <c r="D8" s="19" t="n">
        <v>969089000</v>
      </c>
      <c r="E8" s="19" t="n">
        <v>2263259000</v>
      </c>
      <c r="F8" s="19" t="n">
        <v>349162000</v>
      </c>
      <c r="G8" s="19">
        <f>E8-F8</f>
        <v/>
      </c>
      <c r="H8" s="25">
        <f>(C8/E8-1)*100</f>
        <v/>
      </c>
      <c r="I8" s="25">
        <f>(C8/G8-1)*100</f>
        <v/>
      </c>
      <c r="J8" s="25">
        <f>(B8/D8-1)*100</f>
        <v/>
      </c>
      <c r="M8" s="19" t="n">
        <v>2263259000</v>
      </c>
      <c r="N8" s="19" t="n">
        <v>886833000</v>
      </c>
    </row>
    <row r="9">
      <c r="A9" s="9" t="inlineStr">
        <is>
          <t>Harvard</t>
        </is>
      </c>
      <c r="B9" s="19" t="n">
        <v>2421076000</v>
      </c>
      <c r="C9" s="19" t="n">
        <v>5911797000</v>
      </c>
      <c r="D9" s="19" t="n">
        <v>2421076000</v>
      </c>
      <c r="E9" s="19" t="n">
        <v>5911797000</v>
      </c>
      <c r="F9" s="19" t="n">
        <v>633399000</v>
      </c>
      <c r="G9" s="19">
        <f>E9-F9</f>
        <v/>
      </c>
      <c r="H9" s="25">
        <f>(C9/E9-1)*100</f>
        <v/>
      </c>
      <c r="I9" s="25">
        <f>(C9/G9-1)*100</f>
        <v/>
      </c>
      <c r="J9" s="25">
        <f>(B9/D9-1)*100</f>
        <v/>
      </c>
      <c r="M9" s="19" t="n">
        <v>5911797000</v>
      </c>
      <c r="N9" s="19" t="n">
        <v>2421074000</v>
      </c>
    </row>
    <row r="10">
      <c r="A10" s="9" t="inlineStr">
        <is>
          <t>Yale</t>
        </is>
      </c>
      <c r="B10" s="19" t="n">
        <v>2328136000</v>
      </c>
      <c r="C10" s="19" t="n">
        <v>4936268000</v>
      </c>
      <c r="D10" s="19" t="n">
        <v>2328136000</v>
      </c>
      <c r="E10" s="19" t="n">
        <v>4936268000</v>
      </c>
      <c r="F10" s="19" t="n">
        <v>441202000</v>
      </c>
      <c r="G10" s="19">
        <f>E10-F10</f>
        <v/>
      </c>
      <c r="H10" s="25">
        <f>(C10/E10-1)*100</f>
        <v/>
      </c>
      <c r="I10" s="25">
        <f>(C10/G10-1)*100</f>
        <v/>
      </c>
      <c r="J10" s="25">
        <f>(B10/D10-1)*100</f>
        <v/>
      </c>
      <c r="M10" s="19" t="n">
        <v>4873675887</v>
      </c>
      <c r="N10" s="19" t="n">
        <v>2202260626</v>
      </c>
    </row>
    <row r="11">
      <c r="A11" s="9" t="inlineStr">
        <is>
          <t>Chicago</t>
        </is>
      </c>
      <c r="B11" s="19" t="n">
        <v>3033100000</v>
      </c>
      <c r="C11" s="19" t="n">
        <v>6779655000</v>
      </c>
      <c r="D11" s="19" t="n">
        <v>3033100000</v>
      </c>
      <c r="E11" s="19" t="n">
        <v>6779655000</v>
      </c>
      <c r="F11" s="19" t="n">
        <v>563830000</v>
      </c>
      <c r="G11" s="19">
        <f>E11-F11</f>
        <v/>
      </c>
      <c r="H11" s="25">
        <f>(C11/E11-1)*100</f>
        <v/>
      </c>
      <c r="I11" s="25">
        <f>(C11/G11-1)*100</f>
        <v/>
      </c>
      <c r="J11" s="25">
        <f>(B11/D11-1)*100</f>
        <v/>
      </c>
      <c r="K11" s="19" t="n">
        <v>3662513000</v>
      </c>
      <c r="L11" s="26">
        <f>B11/K11</f>
        <v/>
      </c>
      <c r="M11" s="19" t="n">
        <v>5084463771</v>
      </c>
      <c r="N11" s="19" t="n">
        <v>1604106945</v>
      </c>
    </row>
    <row r="12">
      <c r="A12" s="9" t="inlineStr">
        <is>
          <t>Duke</t>
        </is>
      </c>
      <c r="B12" s="19" t="n">
        <v>3676675000</v>
      </c>
      <c r="C12" s="19" t="n">
        <v>8431382000</v>
      </c>
      <c r="D12" s="19" t="n">
        <v>3676675000</v>
      </c>
      <c r="E12" s="19" t="n">
        <v>8431382000</v>
      </c>
      <c r="F12" s="19" t="n">
        <v>635501000</v>
      </c>
      <c r="G12" s="19">
        <f>E12-F12</f>
        <v/>
      </c>
      <c r="H12" s="25">
        <f>(C12/E12-1)*100</f>
        <v/>
      </c>
      <c r="I12" s="25">
        <f>(C12/G12-1)*100</f>
        <v/>
      </c>
      <c r="J12" s="25">
        <f>(B12/D12-1)*100</f>
        <v/>
      </c>
      <c r="K12" s="19" t="n">
        <v>4568399000</v>
      </c>
      <c r="L12" s="26">
        <f>B12/K12</f>
        <v/>
      </c>
      <c r="M12" s="19" t="n">
        <v>8431382000</v>
      </c>
      <c r="N12" s="19" t="n">
        <v>3609077000</v>
      </c>
    </row>
    <row r="13">
      <c r="A13" s="9" t="inlineStr">
        <is>
          <t>Emory</t>
        </is>
      </c>
      <c r="B13" s="19" t="n">
        <v>4313737000</v>
      </c>
      <c r="C13" s="19" t="n">
        <v>8570621000</v>
      </c>
      <c r="D13" s="19" t="n">
        <v>4313737000</v>
      </c>
      <c r="E13" s="19" t="n">
        <v>8570621000</v>
      </c>
      <c r="F13" s="19" t="n">
        <v>452316000</v>
      </c>
      <c r="G13" s="19">
        <f>E13-F13</f>
        <v/>
      </c>
      <c r="H13" s="25">
        <f>(C13/E13-1)*100</f>
        <v/>
      </c>
      <c r="I13" s="25">
        <f>(C13/G13-1)*100</f>
        <v/>
      </c>
      <c r="J13" s="25">
        <f>(B13/D13-1)*100</f>
        <v/>
      </c>
      <c r="M13" s="19" t="n">
        <v>8514754000</v>
      </c>
      <c r="N13" s="19" t="n">
        <v>4252849000</v>
      </c>
    </row>
    <row r="14">
      <c r="A14" s="9" t="inlineStr">
        <is>
          <t>Penn</t>
        </is>
      </c>
      <c r="B14" s="19" t="n">
        <v>5636695792</v>
      </c>
      <c r="C14" s="19" t="n">
        <v>13857148000</v>
      </c>
      <c r="D14" s="19" t="n"/>
      <c r="E14" s="19" t="n">
        <v>13857148000</v>
      </c>
      <c r="F14" s="19" t="n">
        <v>789992000</v>
      </c>
      <c r="G14" s="19">
        <f>E14-F14</f>
        <v/>
      </c>
      <c r="H14" s="25">
        <f>(C14/E14-1)*100</f>
        <v/>
      </c>
      <c r="I14" s="25">
        <f>(C14/G14-1)*100</f>
        <v/>
      </c>
      <c r="K14" s="19" t="n">
        <v>7742714000</v>
      </c>
      <c r="L14" s="26">
        <f>B14/K14</f>
        <v/>
      </c>
      <c r="M14" s="19" t="n">
        <v>13857148000</v>
      </c>
      <c r="N14" s="19" t="n">
        <v>6045218000</v>
      </c>
    </row>
    <row r="15">
      <c r="A15" s="9" t="inlineStr">
        <is>
          <t>Stanford</t>
        </is>
      </c>
      <c r="B15" s="19" t="n">
        <v>7106067696</v>
      </c>
      <c r="C15" s="19" t="n">
        <v>16053362000</v>
      </c>
      <c r="D15" s="19" t="n"/>
      <c r="E15" s="19" t="n">
        <v>16053362000</v>
      </c>
      <c r="F15" s="19" t="n">
        <v>1116974000</v>
      </c>
      <c r="G15" s="19">
        <f>E15-F15</f>
        <v/>
      </c>
      <c r="H15" s="25">
        <f>(C15/E15-1)*100</f>
        <v/>
      </c>
      <c r="I15" s="25">
        <f>(C15/G15-1)*100</f>
        <v/>
      </c>
      <c r="K15" s="19" t="n">
        <v>9761082000</v>
      </c>
      <c r="L15" s="26">
        <f>B15/K15</f>
        <v/>
      </c>
      <c r="M15" s="19" t="n">
        <v>7659884000</v>
      </c>
      <c r="N15" s="19"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9" t="n">
        <v>8961</v>
      </c>
      <c r="C5" s="19" t="n">
        <v>8556</v>
      </c>
      <c r="D5" s="19" t="n">
        <v>8672</v>
      </c>
      <c r="E5" s="19" t="n">
        <v>8556</v>
      </c>
      <c r="F5" s="19" t="n">
        <v>8672</v>
      </c>
      <c r="G5" s="19" t="n">
        <v>8285</v>
      </c>
      <c r="H5" s="25">
        <f>(E5/C5-1)*100</f>
        <v/>
      </c>
      <c r="I5" s="25">
        <f>(G5/F5-1)*100</f>
        <v/>
      </c>
      <c r="J5" s="9" t="inlineStr">
        <is>
          <t>https://ideas.rice.edu/wp-content/uploads/2025/10/CDS_2024-25_WEBSITE.pdf</t>
        </is>
      </c>
    </row>
    <row r="6">
      <c r="A6" s="9" t="inlineStr">
        <is>
          <t>Vanderbilt</t>
        </is>
      </c>
      <c r="B6" s="19" t="n">
        <v>13575</v>
      </c>
      <c r="C6" s="19" t="n">
        <v>13456</v>
      </c>
      <c r="D6" s="19" t="n">
        <v>13710</v>
      </c>
      <c r="E6" s="19" t="n">
        <v>13456</v>
      </c>
      <c r="F6" s="19" t="n">
        <v>13710</v>
      </c>
      <c r="G6" s="19" t="n">
        <v>13710</v>
      </c>
      <c r="H6" s="25">
        <f>(E6/C6-1)*100</f>
        <v/>
      </c>
      <c r="I6" s="25">
        <f>(G6/F6-1)*100</f>
        <v/>
      </c>
      <c r="J6" s="9" t="inlineStr">
        <is>
          <t>https://cdn.vanderbilt.edu/vu-wpfsx/wp-content/uploads/sites/70/2025/11/CDS_2024-2025.xlsx</t>
        </is>
      </c>
    </row>
    <row r="7">
      <c r="A7" s="9" t="inlineStr">
        <is>
          <t>Northwestern</t>
        </is>
      </c>
      <c r="B7" s="19" t="n">
        <v>23431</v>
      </c>
      <c r="C7" s="19" t="n">
        <v>22801</v>
      </c>
      <c r="D7" s="19" t="n">
        <v>22732</v>
      </c>
      <c r="E7" s="19" t="n">
        <v>23203</v>
      </c>
      <c r="F7" s="19" t="n">
        <v>23161</v>
      </c>
      <c r="G7" s="19" t="n">
        <v>23000</v>
      </c>
      <c r="H7" s="25">
        <f>(E7/C7-1)*100</f>
        <v/>
      </c>
      <c r="I7" s="25">
        <f>(G7/F7-1)*100</f>
        <v/>
      </c>
      <c r="J7" s="9" t="inlineStr">
        <is>
          <t>https://enrollment.northwestern.edu/data/2024-2025.pdf</t>
        </is>
      </c>
    </row>
    <row r="8">
      <c r="A8" s="9" t="inlineStr">
        <is>
          <t>Princeton</t>
        </is>
      </c>
      <c r="B8" s="19" t="n">
        <v>9050</v>
      </c>
      <c r="C8" s="19" t="n"/>
      <c r="D8" s="19" t="n"/>
      <c r="E8" s="19" t="n">
        <v>8922</v>
      </c>
      <c r="F8" s="19" t="n">
        <v>8842</v>
      </c>
      <c r="G8" s="19" t="n">
        <v>8778</v>
      </c>
      <c r="I8" s="25">
        <f>(G8/F8-1)*100</f>
        <v/>
      </c>
      <c r="J8" s="9" t="inlineStr">
        <is>
          <t>Princeton Report of the Treasurer FY25: 5,726 undergraduates + 3,324 graduate students (term not named; CDS host not reachable)</t>
        </is>
      </c>
    </row>
    <row r="9">
      <c r="A9" s="9" t="inlineStr">
        <is>
          <t>Harvard</t>
        </is>
      </c>
      <c r="B9" s="19" t="n">
        <v>21189</v>
      </c>
      <c r="C9" s="19" t="n">
        <v>21278</v>
      </c>
      <c r="D9" s="19" t="n">
        <v>21613</v>
      </c>
      <c r="E9" s="19" t="n">
        <v>30386</v>
      </c>
      <c r="F9" s="19" t="n">
        <v>30631</v>
      </c>
      <c r="G9" s="19" t="n">
        <v>21400</v>
      </c>
      <c r="H9" s="25">
        <f>(E9/C9-1)*100</f>
        <v/>
      </c>
      <c r="I9" s="25">
        <f>(G9/F9-1)*100</f>
        <v/>
      </c>
      <c r="J9" s="9" t="inlineStr">
        <is>
          <t>https://oira.harvard.edu/files/2025/06/HarvardUniversity_CDS_2024-2025.pdf</t>
        </is>
      </c>
    </row>
    <row r="10">
      <c r="A10" s="9" t="inlineStr">
        <is>
          <t>Yale</t>
        </is>
      </c>
      <c r="B10" s="19" t="n">
        <v>15564</v>
      </c>
      <c r="C10" s="19" t="n">
        <v>15081</v>
      </c>
      <c r="D10" s="19" t="n">
        <v>14806</v>
      </c>
      <c r="E10" s="19" t="n">
        <v>15081</v>
      </c>
      <c r="F10" s="19" t="n">
        <v>14776</v>
      </c>
      <c r="G10" s="19" t="n">
        <v>14751</v>
      </c>
      <c r="H10" s="25">
        <f>(E10/C10-1)*100</f>
        <v/>
      </c>
      <c r="I10" s="25">
        <f>(G10/F10-1)*100</f>
        <v/>
      </c>
      <c r="J10" s="9" t="inlineStr">
        <is>
          <t>https://oir.yale.edu/sites/default/files/yale_cds_2024-25_rmd_20250612.pdf</t>
        </is>
      </c>
    </row>
    <row r="11">
      <c r="A11" s="9" t="inlineStr">
        <is>
          <t>Chicago</t>
        </is>
      </c>
      <c r="B11" s="19" t="n">
        <v>16221</v>
      </c>
      <c r="C11" s="19" t="n">
        <v>15763</v>
      </c>
      <c r="D11" s="19" t="n">
        <v>15946</v>
      </c>
      <c r="E11" s="19" t="n">
        <v>18339</v>
      </c>
      <c r="F11" s="19" t="n">
        <v>18339</v>
      </c>
      <c r="G11" s="19" t="n">
        <v>18058</v>
      </c>
      <c r="H11" s="25">
        <f>(E11/C11-1)*100</f>
        <v/>
      </c>
      <c r="I11" s="25">
        <f>(G11/F11-1)*100</f>
        <v/>
      </c>
      <c r="J11" s="9" t="inlineStr">
        <is>
          <t>https://bpb-us-w2.wpmucdn.com/voices.uchicago.edu/dist/8/2077/files/2025/08/CDS_2024-2025_to_publish.pdf</t>
        </is>
      </c>
    </row>
    <row r="12">
      <c r="A12" s="9" t="inlineStr">
        <is>
          <t>Duke</t>
        </is>
      </c>
      <c r="B12" s="19" t="n">
        <v>17499</v>
      </c>
      <c r="C12" s="19" t="n">
        <v>17112</v>
      </c>
      <c r="D12" s="19" t="n">
        <v>18024</v>
      </c>
      <c r="E12" s="19" t="n">
        <v>17112</v>
      </c>
      <c r="F12" s="19" t="n">
        <v>18023</v>
      </c>
      <c r="G12" s="19" t="n">
        <v>18009</v>
      </c>
      <c r="H12" s="25">
        <f>(E12/C12-1)*100</f>
        <v/>
      </c>
      <c r="I12" s="25">
        <f>(G12/F12-1)*100</f>
        <v/>
      </c>
      <c r="J12" s="9" t="inlineStr">
        <is>
          <t>https://ir.provost.duke.edu/sites/default/files/CDS-2024-25-Final-2.pdf</t>
        </is>
      </c>
    </row>
    <row r="13">
      <c r="A13" s="9" t="inlineStr">
        <is>
          <t>Emory</t>
        </is>
      </c>
      <c r="B13" s="19" t="n">
        <v>15179</v>
      </c>
      <c r="C13" s="19" t="n">
        <v>15046</v>
      </c>
      <c r="D13" s="19" t="n">
        <v>14852</v>
      </c>
      <c r="E13" s="19" t="n">
        <v>15046</v>
      </c>
      <c r="F13" s="19" t="n">
        <v>14841</v>
      </c>
      <c r="G13" s="19" t="n">
        <v>16000</v>
      </c>
      <c r="H13" s="25">
        <f>(E13/C13-1)*100</f>
        <v/>
      </c>
      <c r="I13" s="25">
        <f>(G13/F13-1)*100</f>
        <v/>
      </c>
      <c r="J13" s="9" t="inlineStr">
        <is>
          <t>https://provost.emory.edu/planning-administration/_includes/documents/sections/institutional-data/emory-common-data-set-2024-2025.pdf</t>
        </is>
      </c>
    </row>
    <row r="14">
      <c r="A14" s="9" t="inlineStr">
        <is>
          <t>Penn</t>
        </is>
      </c>
      <c r="B14" s="19" t="n">
        <v>24023</v>
      </c>
      <c r="C14" s="19" t="n">
        <v>23790</v>
      </c>
      <c r="D14" s="19" t="n">
        <v>23374</v>
      </c>
      <c r="E14" s="19" t="n">
        <v>28711</v>
      </c>
      <c r="F14" s="19" t="n">
        <v>28201</v>
      </c>
      <c r="G14" s="19" t="n">
        <v>23374</v>
      </c>
      <c r="H14" s="25">
        <f>(E14/C14-1)*100</f>
        <v/>
      </c>
      <c r="I14" s="25">
        <f>(G14/F14-1)*100</f>
        <v/>
      </c>
      <c r="J14" s="9" t="inlineStr">
        <is>
          <t>https://upenn.box.com/s/ckv4frz37rzxa4u6bdiv2h4yzykqm4ef</t>
        </is>
      </c>
    </row>
    <row r="15">
      <c r="A15" s="9" t="inlineStr">
        <is>
          <t>Stanford</t>
        </is>
      </c>
      <c r="B15" s="19" t="n">
        <v>18625</v>
      </c>
      <c r="C15" s="19" t="n">
        <v>18446</v>
      </c>
      <c r="D15" s="19" t="n">
        <v>18283</v>
      </c>
      <c r="E15" s="19" t="n">
        <v>18446</v>
      </c>
      <c r="F15" s="19" t="n">
        <v>18283</v>
      </c>
      <c r="G15" s="19" t="n">
        <v>17529</v>
      </c>
      <c r="H15" s="25">
        <f>(E15/C15-1)*100</f>
        <v/>
      </c>
      <c r="I15" s="25">
        <f>(G15/F15-1)*100</f>
        <v/>
      </c>
      <c r="J15" s="9" t="inlineStr">
        <is>
          <t>https://drive.google.com/file/d/12MjIqdzzHiECf6hfRlbU3RmmIy14hl1H/view (posted at https://irds.stanford.edu/data-findings/cds)</t>
        </is>
      </c>
    </row>
    <row r="16">
      <c r="A16" s="9" t="inlineStr">
        <is>
          <t>Northeastern</t>
        </is>
      </c>
      <c r="B16" s="19" t="n">
        <v>39774</v>
      </c>
      <c r="C16" s="19" t="n">
        <v>38760</v>
      </c>
      <c r="D16" s="19" t="n">
        <v>36806</v>
      </c>
      <c r="E16" s="19" t="n">
        <v>31159</v>
      </c>
      <c r="F16" s="19" t="n">
        <v>30013</v>
      </c>
      <c r="H16" s="25">
        <f>(E16/C16-1)*100</f>
        <v/>
      </c>
      <c r="J16" s="9" t="inlineStr">
        <is>
          <t>https://uds.northeastern.edu/wp-content/uploads/2026/03/CDS-2024-25.pdf</t>
        </is>
      </c>
    </row>
    <row r="17">
      <c r="A17" s="9" t="inlineStr">
        <is>
          <t>Boston University</t>
        </is>
      </c>
      <c r="B17" s="19" t="n">
        <v>37737</v>
      </c>
      <c r="C17" s="19" t="n">
        <v>36624</v>
      </c>
      <c r="D17" s="19" t="n">
        <v>36714</v>
      </c>
      <c r="E17" s="19" t="n">
        <v>36624</v>
      </c>
      <c r="F17" s="19" t="n">
        <v>36714</v>
      </c>
      <c r="H17" s="25">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9" t="n">
        <v>11886</v>
      </c>
      <c r="C18" s="19" t="n">
        <v>11920</v>
      </c>
      <c r="D18" s="19" t="n">
        <v>11858</v>
      </c>
      <c r="E18" s="19" t="n">
        <v>11920</v>
      </c>
      <c r="F18" s="19" t="n">
        <v>11858</v>
      </c>
      <c r="H18" s="25">
        <f>(E18/C18-1)*100</f>
        <v/>
      </c>
      <c r="J18" s="9" t="inlineStr">
        <is>
          <t>https://ir.mit.edu/projects/2024-25-common-data-set/</t>
        </is>
      </c>
    </row>
    <row r="20">
      <c r="A20" s="17" t="inlineStr">
        <is>
          <t>Reading it: Harvard (CDS excludes Extension School; the slide adds it back),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9"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9"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9"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9"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9"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9"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9"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9"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9"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9"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9"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9"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9"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9"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9"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9"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9" t="n">
        <v>2758560000</v>
      </c>
      <c r="D21" s="4" t="inlineStr">
        <is>
          <t>'Salaries and wages 2,758,560' (Consolidated Statements of Changes in Net Assets with General Operating Account Detail, operating expenses; $ thousands; columns: without donor restrictions, with donor restrictions, 2025 total, 2024 total). Statement of changes in net assets, PDF p.18 (printed p.17). Same figure in Note 17 natural classification, PDF p.43 (printed p.42).</t>
        </is>
      </c>
      <c r="E21"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2">
      <c r="A22" s="9" t="inlineStr">
        <is>
          <t>Harvard</t>
        </is>
      </c>
      <c r="B22" s="9" t="inlineStr">
        <is>
          <t>Total operating expenses</t>
        </is>
      </c>
      <c r="C22" s="19" t="n">
        <v>6794371000</v>
      </c>
      <c r="D22" s="4" t="inlineStr">
        <is>
          <t>'TOTAL OPERATING EXPENSES 6,794,371' (Statement of changes in net assets, PDF p.18 (printed p.17)). The nine natural-classification lines (salaries and wages, employee benefits, services purchased, depreciation, space and occupancy, supplies and equipment, interest, scholarships and other student awards, other expenses) sum to 6,794,371; Note 17 total also 6,794,371 (PDF p.43 (printed p.42)).</t>
        </is>
      </c>
      <c r="E22"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3">
      <c r="A23" s="9" t="inlineStr">
        <is>
          <t>Harvard</t>
        </is>
      </c>
      <c r="B23" s="9" t="inlineStr">
        <is>
          <t>Depreciation</t>
        </is>
      </c>
      <c r="C23" s="19" t="n">
        <v>459031000</v>
      </c>
      <c r="D23" s="4" t="inlineStr">
        <is>
          <t>'Depreciation (Note 7) 459,031' (Statement of changes in net assets, PDF p.18 (printed p.17)); Note 17: 'Depreciation ... 459,031'.</t>
        </is>
      </c>
      <c r="E23"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4">
      <c r="A24" s="9" t="inlineStr">
        <is>
          <t>Harvard</t>
        </is>
      </c>
      <c r="B24" s="9" t="inlineStr">
        <is>
          <t>Interest</t>
        </is>
      </c>
      <c r="C24" s="19" t="n">
        <v>262546000</v>
      </c>
      <c r="D24" s="4" t="inlineStr">
        <is>
          <t>'Interest (Note 10) 262,546' (Statement of changes in net assets, PDF p.18 (printed p.17)); Note 17: 'Interest ... 262,546'.</t>
        </is>
      </c>
      <c r="E24"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5">
      <c r="A25" s="9" t="inlineStr">
        <is>
          <t>Yale</t>
        </is>
      </c>
      <c r="B25" s="9" t="inlineStr">
        <is>
          <t>Salaries and wages</t>
        </is>
      </c>
      <c r="C25" s="19"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9"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9"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9"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9"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9"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9"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9"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9"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9"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9"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9"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9"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9"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9"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9"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9"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9"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9"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9"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9"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9"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9"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9"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9"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9"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9"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9"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9"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9"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9"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9"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9"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9"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9"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9"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7"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7"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7"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7"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7"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7"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7"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7"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7"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7"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7"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7"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Harvard,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8"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t>
        </is>
      </c>
      <c r="E17" s="28"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and Northwestern use Form 990 S&amp;W; Vanderbilt uses the MD&amp;A expense chart. Penn and Stanford (light-blue markers) use S&amp;W = combined / 1.35, a 35% fringe benefit rate assumed per Northeastern's direction (74.1% S&amp;W share).</t>
        </is>
      </c>
      <c r="E18" s="27" t="inlineStr">
        <is>
          <t>Decided / caveat</t>
        </is>
      </c>
    </row>
    <row r="19">
      <c r="A19" s="4" t="n">
        <v>16</v>
      </c>
      <c r="B19" s="4" t="inlineStr">
        <is>
          <t>3</t>
        </is>
      </c>
      <c r="C19" s="4" t="inlineStr">
        <is>
          <t>35% fringe rate vs observed rates</t>
        </is>
      </c>
      <c r="D19" s="4" t="inlineStr">
        <is>
          <t>Schools that report both lines have fringe rates (benefits / S&amp;W) of 22.8% to 33.8% (Chicago 22.8%, Duke 23.6%, Emory 23.9%, Rice 23.9%, Harvard 27.4%, Princeton 30.3%, BU 31.5%, Yale 31.5%, MIT 33.8%). 35% is above all of them, so the Penn and Stanford estimates lean low: using each school's own Form 990 S&amp;W share instead would raise S&amp;W per student by about 4% (Penn) and 8% (Stanford) (S3_Sensitivity C). Neither changes the ranking of Penn or Stanford or any conclusion about Northeastern.</t>
        </is>
      </c>
      <c r="E19" s="27" t="inlineStr">
        <is>
          <t>Caveat</t>
        </is>
      </c>
    </row>
    <row r="20">
      <c r="A20" s="4" t="n">
        <v>17</v>
      </c>
      <c r="B20" s="4" t="inlineStr">
        <is>
          <t>3</t>
        </is>
      </c>
      <c r="C20" s="4" t="inlineStr">
        <is>
          <t>Student counts</t>
        </is>
      </c>
      <c r="D20"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20" s="27" t="inlineStr">
        <is>
          <t>Handled / caveat</t>
        </is>
      </c>
    </row>
    <row r="21">
      <c r="A21" s="4" t="n">
        <v>18</v>
      </c>
      <c r="B21" s="4" t="inlineStr">
        <is>
          <t>3</t>
        </is>
      </c>
      <c r="C21" s="4" t="inlineStr">
        <is>
          <t>Northeastern student count is the key sensitivity</t>
        </is>
      </c>
      <c r="D21" s="4" t="inlineStr">
        <is>
          <t>CDS 39,774 (used, per Northeastern's direction) -&gt; S&amp;W per student $27.2K; IPEDS-style 32,553 -&gt; $33.2K; Facts and Figures 48,812 -&gt; $22.1K. Northeastern is lowest in the peer set on all three (S3_Sensitivity A, B).</t>
        </is>
      </c>
      <c r="E21" s="27" t="inlineStr">
        <is>
          <t>Decided</t>
        </is>
      </c>
    </row>
    <row r="22">
      <c r="A22" s="4" t="n">
        <v>19</v>
      </c>
      <c r="B22" s="4" t="inlineStr">
        <is>
          <t>3</t>
        </is>
      </c>
      <c r="C22" s="4" t="inlineStr">
        <is>
          <t>Headcount vs FTE</t>
        </is>
      </c>
      <c r="D22" s="4" t="inlineStr">
        <is>
          <t>Northeastern and BU headcounts include large graduate, online and co-op populations (BU reports 29.6K FTE against 37.7K headcount), so S&amp;W per headcount student understates S&amp;W per FTE student for both.</t>
        </is>
      </c>
      <c r="E22" s="27" t="inlineStr">
        <is>
          <t>Caveat</t>
        </is>
      </c>
    </row>
    <row r="23">
      <c r="A23" s="4" t="n">
        <v>20</v>
      </c>
      <c r="B23" s="4" t="inlineStr">
        <is>
          <t>3</t>
        </is>
      </c>
      <c r="C23" s="4" t="inlineStr">
        <is>
          <t>Northeastern S&amp;W scope</t>
        </is>
      </c>
      <c r="D23" s="4" t="inlineStr">
        <is>
          <t>Form 990 (university only) lines 5-10 are 96.8% of the audited combined line. To keep S&amp;W on the same consolidated scope as core operating expenses, S&amp;W = audited 'Salary and benefits' $1,341.0M x the 990 S&amp;W share of lines 5-10 (80.54%) = $1,080.1M, which moves the point from $26.3K and 47.8% (990 as filed) to $27.2K and 49.4%. The x value ($55.0K) is unchanged (S3_Sensitivity G).</t>
        </is>
      </c>
      <c r="E23" s="27" t="inlineStr">
        <is>
          <t>Handled</t>
        </is>
      </c>
    </row>
    <row r="24">
      <c r="A24" s="4" t="n">
        <v>21</v>
      </c>
      <c r="B24" s="4" t="inlineStr">
        <is>
          <t>3</t>
        </is>
      </c>
      <c r="C24" s="4" t="inlineStr">
        <is>
          <t>Northeastern: '40,000 students x S&amp;W per student = about $1.3 billion'</t>
        </is>
      </c>
      <c r="D24" s="4" t="inlineStr">
        <is>
          <t>Does not hold for S&amp;W. The audited statements show one line, 'Salary and benefits' $1,341.0M, which includes benefits (the Form 990 puts benefits at $252M, 24.2% of S&amp;W). 39,774 x $27.2K = $1,080M of S&amp;W. $1,341.0M / 39,774 = $33.7K is salary-plus-benefits per student: not comparable with the peers' S&amp;W, but on that like-for-like basis Northeastern is still lowest (Boston University $43.1K; S3_Sensitivity F, G).</t>
        </is>
      </c>
      <c r="E24" s="28" t="inlineStr">
        <is>
          <t>Finding</t>
        </is>
      </c>
    </row>
    <row r="25">
      <c r="A25" s="4" t="n">
        <v>22</v>
      </c>
      <c r="B25" s="4" t="inlineStr">
        <is>
          <t>3</t>
        </is>
      </c>
      <c r="C25" s="4" t="inlineStr">
        <is>
          <t>FY23 to FY24 comparability</t>
        </is>
      </c>
      <c r="D25"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5" s="27" t="inlineStr">
        <is>
          <t>Info</t>
        </is>
      </c>
    </row>
    <row r="26">
      <c r="A26" s="4" t="n">
        <v>23</v>
      </c>
      <c r="B26" s="4" t="inlineStr">
        <is>
          <t>3</t>
        </is>
      </c>
      <c r="C26" s="4" t="inlineStr">
        <is>
          <t>Entities inside the numbers</t>
        </is>
      </c>
      <c r="D26"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6" s="27" t="inlineStr">
        <is>
          <t>Handled</t>
        </is>
      </c>
    </row>
    <row r="27">
      <c r="A27" s="4" t="n">
        <v>24</v>
      </c>
      <c r="B27" s="4" t="inlineStr">
        <is>
          <t>3</t>
        </is>
      </c>
      <c r="C27" s="4" t="inlineStr">
        <is>
          <t>Arithmetic</t>
        </is>
      </c>
      <c r="D27"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7" s="27" t="inlineStr">
        <is>
          <t>Pass</t>
        </is>
      </c>
    </row>
    <row r="28">
      <c r="A28" s="4" t="n">
        <v>25</v>
      </c>
      <c r="B28" s="4" t="inlineStr">
        <is>
          <t>3</t>
        </is>
      </c>
      <c r="C28" s="4" t="inlineStr">
        <is>
          <t>Harvard</t>
        </is>
      </c>
      <c r="D28" s="4" t="inlineStr">
        <is>
          <t>Added from the FY25 audited Financial Report supplied by Northeastern (finance.harvard.edu blocks automated access). S&amp;W $2,758.6M and benefits $755.9M are separate lines (benefits 27.4% of S&amp;W); total operating expenses $6,794.4M - depreciation $459.0M - interest $262.5M = core $6,072.8M; the nine natural-classification lines sum to the total in FY25 and FY24 (Note 17). S&amp;W share 45.4%; 24,819 students (CDS + Extension School degree students) -&gt; $111K S&amp;W per student, below Princeton ($128K) with a lower S&amp;W share. No hospital consolidated.</t>
        </is>
      </c>
      <c r="E28" s="27" t="inlineStr">
        <is>
          <t>Pass</t>
        </is>
      </c>
    </row>
    <row r="29">
      <c r="A29" s="4" t="n">
        <v>26</v>
      </c>
      <c r="B29" s="4" t="inlineStr">
        <is>
          <t>3</t>
        </is>
      </c>
      <c r="C29" s="4" t="inlineStr">
        <is>
          <t>Harvard student count</t>
        </is>
      </c>
      <c r="D29" s="4" t="inlineStr">
        <is>
          <t>Expenses include the Division of Continuing Education (Harvard Extension School) but the Common Data Set excludes it. Students on the slide = CDS 21,189 + Extension degree students 3,630 (621 undergraduate + 3,009 graduate, Harvard OIRA Fact Book 2025-26, fall 2024) = 24,819 -&gt; $111K S&amp;W per student. Alternatives (S3_Sensitivity E): CDS only 21,189 -&gt; $130K; Fact Book distinct total 24,519 -&gt; $113K; IPEDS fall 2023 30,386 (adds non-degree course takers) -&gt; $91K. Harvard's own report: 'approximately 7,000 undergraduate and 14,000 graduate students' (Note 1). No effect on Northeastern's ranking.</t>
        </is>
      </c>
      <c r="E29" s="27" t="inlineStr">
        <is>
          <t>Handled / caveat</t>
        </is>
      </c>
    </row>
    <row r="30">
      <c r="A30" s="4" t="n">
        <v>27</v>
      </c>
      <c r="B30" s="4" t="inlineStr">
        <is>
          <t>3</t>
        </is>
      </c>
      <c r="C30" s="4" t="inlineStr">
        <is>
          <t>Harvard FY23 calibration</t>
        </is>
      </c>
      <c r="D30" s="4" t="inlineStr">
        <is>
          <t>FY23 Financial Report (supplied by Northeastern): original slide S&amp;W $2,421,076K equals the audited FY23 salaries and wages line to the dollar; the original 'core opex' $5,911,797K equals audited FY23 total operating expenses to the dollar. On the stated definition FY23 core is $5,278,398K (total less depreciation $424,809K and interest $208,590K), so the original x value was 12.0% too high. Same finding as for the other schools. Original 21,400 students = the report's 'approximately 7,200 undergraduate and 14,200 graduate' (Note 1). S&amp;W grew 13.9% FY23 to FY25 ($2,421M to $2,759M).</t>
        </is>
      </c>
      <c r="E30" s="27" t="inlineStr">
        <is>
          <t>Pass / finding</t>
        </is>
      </c>
    </row>
    <row r="31">
      <c r="A31" s="4" t="n">
        <v>28</v>
      </c>
      <c r="B31" s="4" t="inlineStr">
        <is>
          <t>3</t>
        </is>
      </c>
      <c r="C31" s="4" t="inlineStr">
        <is>
          <t>Original chart construction</t>
        </is>
      </c>
      <c r="D31" s="4" t="inlineStr">
        <is>
          <t>The original plotted only the eight iso-lines; logos were hand-placed pictures, so positions did not come from data, and Stanford's x-value exceeded the axis maximum. Rebuilt with real data points.</t>
        </is>
      </c>
      <c r="E31" s="27"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Penn and Stanford salaries and wages (optional)</t>
        </is>
      </c>
      <c r="C4" s="4" t="inlineStr">
        <is>
          <t>Estimated at combined salaries+benefits / 1.35 (35% fringe rate, per Northeastern). Audited statements combine the two lines; Form 990s cover a narrower scope.</t>
        </is>
      </c>
      <c r="D4" s="4" t="inlineStr">
        <is>
          <t>If either finance office can supply consolidated S&amp;W, replace the light-blue estimate.</t>
        </is>
      </c>
    </row>
    <row r="5">
      <c r="A5" s="4" t="inlineStr">
        <is>
          <t>3</t>
        </is>
      </c>
      <c r="B5" s="4" t="inlineStr">
        <is>
          <t>Princeton Common Data Set 2024-25 (optional)</t>
        </is>
      </c>
      <c r="C5" s="4" t="inlineStr">
        <is>
          <t>ir.princeton.edu is behind a bot challenge; the Treasurer's report count (9,050) is used.</t>
        </is>
      </c>
      <c r="D5" s="4" t="inlineStr">
        <is>
          <t>Upload the CDS PDF if you want the same instrument as the other schools.</t>
        </is>
      </c>
    </row>
    <row r="6">
      <c r="A6" s="4" t="inlineStr">
        <is>
          <t>3</t>
        </is>
      </c>
      <c r="B6" s="4" t="inlineStr">
        <is>
          <t>IPEDS fall 2024 enrollment and FY24 finance files</t>
        </is>
      </c>
      <c r="C6" s="4" t="inlineStr">
        <is>
          <t>Not yet posted on the IPEDS data center.</t>
        </is>
      </c>
      <c r="D6" s="4" t="inlineStr">
        <is>
          <t>Re-check when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2026-09-29T23:16:14Z</dcterms:created>
  <dcterms:modified xmlns:dcterms="http://purl.org/dc/terms/" xmlns:xsi="http://www.w3.org/2001/XMLSchema-instance" xsi:type="dcterms:W3CDTF">2026-09-29T23:16:15Z</dcterms:modified>
</cp:coreProperties>
</file>