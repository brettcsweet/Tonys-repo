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1_Scorecard" sheetId="2" state="visible" r:id="rId2"/>
    <sheet xmlns:r="http://schemas.openxmlformats.org/officeDocument/2006/relationships" name="S2_Survey" sheetId="3" state="visible" r:id="rId3"/>
    <sheet xmlns:r="http://schemas.openxmlformats.org/officeDocument/2006/relationships" name="S3_FY25" sheetId="4" state="visible" r:id="rId4"/>
    <sheet xmlns:r="http://schemas.openxmlformats.org/officeDocument/2006/relationships" name="S3_Sensitivity" sheetId="5" state="visible" r:id="rId5"/>
    <sheet xmlns:r="http://schemas.openxmlformats.org/officeDocument/2006/relationships" name="S3_FY23_Recalc" sheetId="6" state="visible" r:id="rId6"/>
    <sheet xmlns:r="http://schemas.openxmlformats.org/officeDocument/2006/relationships" name="S3_Enrollment" sheetId="7" state="visible" r:id="rId7"/>
    <sheet xmlns:r="http://schemas.openxmlformats.org/officeDocument/2006/relationships" name="Evidence" sheetId="8" state="visible" r:id="rId8"/>
    <sheet xmlns:r="http://schemas.openxmlformats.org/officeDocument/2006/relationships" name="Checks" sheetId="9" state="visible" r:id="rId9"/>
    <sheet xmlns:r="http://schemas.openxmlformats.org/officeDocument/2006/relationships" name="Data_needed" sheetId="10" state="visible" r:id="rId10"/>
  </sheets>
  <definedNames/>
  <calcPr calcId="124519" fullCalcOnLoad="1"/>
</workbook>
</file>

<file path=xl/styles.xml><?xml version="1.0" encoding="utf-8"?>
<styleSheet xmlns="http://schemas.openxmlformats.org/spreadsheetml/2006/main">
  <numFmts count="5">
    <numFmt numFmtId="164" formatCode="&quot;$&quot;#,##0"/>
    <numFmt numFmtId="165" formatCode="0.000"/>
    <numFmt numFmtId="166" formatCode="0.0%"/>
    <numFmt numFmtId="167" formatCode="0.0"/>
    <numFmt numFmtId="168" formatCode="0.0000"/>
  </numFmts>
  <fonts count="9">
    <font>
      <name val="Calibri"/>
      <family val="2"/>
      <color theme="1"/>
      <sz val="11"/>
      <scheme val="minor"/>
    </font>
    <font>
      <name val="Lato"/>
      <b val="1"/>
      <color rgb="00C8102E"/>
      <sz val="14"/>
    </font>
    <font>
      <name val="Lato"/>
      <color rgb="006B6B70"/>
      <sz val="9"/>
    </font>
    <font>
      <name val="Lato"/>
      <b val="1"/>
      <color rgb="00000000"/>
      <sz val="10"/>
    </font>
    <font>
      <name val="Lato"/>
      <color rgb="00000000"/>
      <sz val="10"/>
    </font>
    <font>
      <name val="Lato"/>
      <b val="1"/>
      <sz val="10"/>
    </font>
    <font>
      <name val="Lato"/>
      <b val="1"/>
      <color rgb="00C8102E"/>
      <sz val="10"/>
    </font>
    <font>
      <name val="Lato"/>
      <color rgb="006B6B70"/>
      <sz val="10"/>
    </font>
    <font>
      <name val="Lato"/>
      <color rgb="00C8102E"/>
      <sz val="10"/>
    </font>
  </fonts>
  <fills count="2">
    <fill>
      <patternFill/>
    </fill>
    <fill>
      <patternFill patternType="gray125"/>
    </fill>
  </fills>
  <borders count="2">
    <border>
      <left/>
      <right/>
      <top/>
      <bottom/>
      <diagonal/>
    </border>
    <border>
      <bottom style="thin">
        <color rgb="0000000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1" applyAlignment="1" pivotButton="0" quotePrefix="0" xfId="0">
      <alignment vertical="bottom" wrapText="1"/>
    </xf>
    <xf numFmtId="0" fontId="3" fillId="0" borderId="1" pivotButton="0" quotePrefix="0" xfId="0"/>
    <xf numFmtId="0" fontId="0" fillId="0" borderId="1" pivotButton="0" quotePrefix="0" xfId="0"/>
    <xf numFmtId="164" fontId="3" fillId="0" borderId="0" pivotButton="0" quotePrefix="0" xfId="0"/>
    <xf numFmtId="0" fontId="4" fillId="0" borderId="0" pivotButton="0" quotePrefix="0" xfId="0"/>
    <xf numFmtId="1" fontId="3" fillId="0" borderId="0" pivotButton="0" quotePrefix="0" xfId="0"/>
    <xf numFmtId="164" fontId="4" fillId="0" borderId="0" pivotButton="0" quotePrefix="0" xfId="0"/>
    <xf numFmtId="165" fontId="3" fillId="0" borderId="0" pivotButton="0" quotePrefix="0" xfId="0"/>
    <xf numFmtId="0" fontId="6" fillId="0" borderId="0" pivotButton="0" quotePrefix="0" xfId="0"/>
    <xf numFmtId="164" fontId="6" fillId="0" borderId="0" pivotButton="0" quotePrefix="0" xfId="0"/>
    <xf numFmtId="9" fontId="4" fillId="0" borderId="0" pivotButton="0" quotePrefix="0" xfId="0"/>
    <xf numFmtId="1" fontId="4" fillId="0" borderId="0" pivotButton="0" quotePrefix="0" xfId="0"/>
    <xf numFmtId="0" fontId="7" fillId="0" borderId="0" pivotButton="0" quotePrefix="0" xfId="0"/>
    <xf numFmtId="9" fontId="6" fillId="0" borderId="0" pivotButton="0" quotePrefix="0" xfId="0"/>
    <xf numFmtId="3" fontId="4" fillId="0" borderId="0" pivotButton="0" quotePrefix="0" xfId="0"/>
    <xf numFmtId="166" fontId="4" fillId="0" borderId="0" pivotButton="0" quotePrefix="0" xfId="0"/>
    <xf numFmtId="2" fontId="4" fillId="0" borderId="0" pivotButton="0" quotePrefix="0" xfId="0"/>
    <xf numFmtId="0" fontId="8" fillId="0" borderId="0" pivotButton="0" quotePrefix="0" xfId="0"/>
    <xf numFmtId="166" fontId="3" fillId="0" borderId="0" pivotButton="0" quotePrefix="0" xfId="0"/>
    <xf numFmtId="9" fontId="3" fillId="0" borderId="0" pivotButton="0" quotePrefix="0" xfId="0"/>
    <xf numFmtId="167" fontId="4" fillId="0" borderId="0" pivotButton="0" quotePrefix="0" xfId="0"/>
    <xf numFmtId="168" fontId="4"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130" customWidth="1" min="2" max="2"/>
  </cols>
  <sheetData>
    <row r="1">
      <c r="A1" s="1" t="inlineStr">
        <is>
          <t>Peer slides: backup data, evidence and checks</t>
        </is>
      </c>
    </row>
    <row r="2">
      <c r="A2" s="2" t="inlineStr">
        <is>
          <t>Every derived number is a live formula. Sources and verbatim evidence are on the Evidence sheet.</t>
        </is>
      </c>
    </row>
    <row r="4">
      <c r="A4" s="3" t="inlineStr">
        <is>
          <t>Slide 1</t>
        </is>
      </c>
      <c r="B4" s="4" t="inlineStr">
        <is>
          <t>S1_Scorecard: College Scorecard institution-level file, release of June 10, 2026, same filters as the original slide (1,527 institutions).</t>
        </is>
      </c>
    </row>
    <row r="5">
      <c r="A5" s="3" t="inlineStr">
        <is>
          <t>Slide 2</t>
        </is>
      </c>
      <c r="B5" s="4" t="inlineStr">
        <is>
          <t>S2_Survey: Inside Higher Ed business-officer survey 2015-2026, re-read from the report PDFs; the original slide's values and the differences are shown.</t>
        </is>
      </c>
    </row>
    <row r="6">
      <c r="A6" s="3" t="inlineStr">
        <is>
          <t>Slide 3</t>
        </is>
      </c>
      <c r="B6" s="4" t="inlineStr">
        <is>
          <t>S3_FY25: FY25 audited statements (plus Form 990 / MD&amp;A where the audited statements combine salaries and benefits). S3_Sensitivity, S3_FY23_Recalc and S3_Enrollment test the assumptions.</t>
        </is>
      </c>
    </row>
    <row r="7">
      <c r="A7" s="3" t="inlineStr">
        <is>
          <t>Evidence</t>
        </is>
      </c>
      <c r="B7" s="4" t="inlineStr">
        <is>
          <t>Verbatim source rows and document links for each FY25 figure.</t>
        </is>
      </c>
    </row>
    <row r="8">
      <c r="A8" s="3" t="inlineStr">
        <is>
          <t>Checks</t>
        </is>
      </c>
      <c r="B8" s="4" t="inlineStr">
        <is>
          <t>Every test run and every disconnect found, with status.</t>
        </is>
      </c>
    </row>
    <row r="9">
      <c r="A9" s="3" t="inlineStr">
        <is>
          <t>Data_needed</t>
        </is>
      </c>
      <c r="B9" s="4" t="inlineStr">
        <is>
          <t>What is still open (Harvard FY25 report; Northeastern headcount confirmation; Penn / Stanford salaries and wages).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31"/>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20" customWidth="1" min="3" max="3"/>
    <col width="7" customWidth="1" min="4" max="4"/>
    <col width="9" customWidth="1" min="5" max="5"/>
    <col width="16" customWidth="1" min="6" max="6"/>
    <col width="20" customWidth="1" min="7" max="7"/>
    <col width="10" customWidth="1" min="8" max="8"/>
    <col width="18" customWidth="1" min="9" max="9"/>
    <col width="14" customWidth="1" min="10" max="10"/>
    <col width="14" customWidth="1" min="11" max="11"/>
    <col width="44" customWidth="1" min="13" max="13"/>
    <col width="28" customWidth="1" min="14" max="14"/>
  </cols>
  <sheetData>
    <row r="1">
      <c r="A1" s="1" t="inlineStr">
        <is>
          <t>Slide 1: net price vs median earnings 10 years after entry (College Scorecard, June 10, 2026 release)</t>
        </is>
      </c>
    </row>
    <row r="2">
      <c r="A2" s="2" t="inlineStr">
        <is>
          <t>Earnings: pooled AY2009-10 / 2010-11 entry cohorts measured CY2020-21, 2022 dollars. Net price: AY2023-24. Rank = 1 + number of institutions with higher earnings.</t>
        </is>
      </c>
    </row>
    <row r="4">
      <c r="A4" s="5" t="inlineStr">
        <is>
          <t>UNITID</t>
        </is>
      </c>
      <c r="B4" s="5" t="inlineStr">
        <is>
          <t>Institution</t>
        </is>
      </c>
      <c r="C4" s="5" t="inlineStr">
        <is>
          <t>City</t>
        </is>
      </c>
      <c r="D4" s="5" t="inlineStr">
        <is>
          <t>State</t>
        </is>
      </c>
      <c r="E4" s="5" t="inlineStr">
        <is>
          <t>Control</t>
        </is>
      </c>
      <c r="F4" s="5" t="inlineStr">
        <is>
          <t>Avg annual net price (NPT4)</t>
        </is>
      </c>
      <c r="G4" s="5" t="inlineStr">
        <is>
          <t>Median earnings, 10th yr after entry</t>
        </is>
      </c>
      <c r="H4" s="5" t="inlineStr">
        <is>
          <t>Rank by earnings</t>
        </is>
      </c>
      <c r="I4" s="5" t="inlineStr">
        <is>
          <t>Highlight</t>
        </is>
      </c>
      <c r="J4" s="5" t="inlineStr">
        <is>
          <t>Private net price</t>
        </is>
      </c>
      <c r="K4" s="5" t="inlineStr">
        <is>
          <t>Private earnings</t>
        </is>
      </c>
      <c r="M4" s="6" t="inlineStr">
        <is>
          <t>Summary (formulas)</t>
        </is>
      </c>
      <c r="N4" s="7" t="n"/>
    </row>
    <row r="5">
      <c r="A5" s="3" t="n">
        <v>166683</v>
      </c>
      <c r="B5" s="3" t="inlineStr">
        <is>
          <t>Massachusetts Institute of Technology</t>
        </is>
      </c>
      <c r="C5" s="3" t="inlineStr">
        <is>
          <t>Cambridge</t>
        </is>
      </c>
      <c r="D5" s="3" t="inlineStr">
        <is>
          <t>MA</t>
        </is>
      </c>
      <c r="E5" s="3" t="inlineStr">
        <is>
          <t>Private</t>
        </is>
      </c>
      <c r="F5" s="8" t="n">
        <v>20111</v>
      </c>
      <c r="G5" s="8" t="n">
        <v>143372</v>
      </c>
      <c r="H5" s="3">
        <f>COUNTIF($G$5:$G$1531,"&gt;"&amp;G5)+1</f>
        <v/>
      </c>
      <c r="I5" s="3" t="inlineStr">
        <is>
          <t>MIT</t>
        </is>
      </c>
      <c r="J5" s="8">
        <f>IF(E5="Private",F5,"")</f>
        <v/>
      </c>
      <c r="K5" s="8">
        <f>IF(E5="Private",G5,"")</f>
        <v/>
      </c>
      <c r="M5" s="9" t="inlineStr">
        <is>
          <t>Institutions in file after filters</t>
        </is>
      </c>
      <c r="N5" s="10">
        <f>COUNTA(B5:B1531)</f>
        <v/>
      </c>
    </row>
    <row r="6">
      <c r="A6" s="9" t="n">
        <v>115409</v>
      </c>
      <c r="B6" s="9" t="inlineStr">
        <is>
          <t>Harvey Mudd College</t>
        </is>
      </c>
      <c r="C6" s="9" t="inlineStr">
        <is>
          <t>Claremont</t>
        </is>
      </c>
      <c r="D6" s="9" t="inlineStr">
        <is>
          <t>CA</t>
        </is>
      </c>
      <c r="E6" s="9" t="inlineStr">
        <is>
          <t>Private</t>
        </is>
      </c>
      <c r="F6" s="11" t="n">
        <v>35924</v>
      </c>
      <c r="G6" s="11" t="n">
        <v>138687</v>
      </c>
      <c r="H6" s="9">
        <f>COUNTIF($G$5:$G$1531,"&gt;"&amp;G6)+1</f>
        <v/>
      </c>
      <c r="I6" s="9" t="inlineStr"/>
      <c r="J6" s="11">
        <f>IF(E6="Private",F6,"")</f>
        <v/>
      </c>
      <c r="K6" s="11">
        <f>IF(E6="Private",G6,"")</f>
        <v/>
      </c>
      <c r="M6" s="9" t="inlineStr">
        <is>
          <t xml:space="preserve">  Public</t>
        </is>
      </c>
      <c r="N6" s="10">
        <f>COUNTIF(E5:E1531,"Public")</f>
        <v/>
      </c>
    </row>
    <row r="7">
      <c r="A7" s="9" t="n">
        <v>110404</v>
      </c>
      <c r="B7" s="9" t="inlineStr">
        <is>
          <t>California Institute of Technology</t>
        </is>
      </c>
      <c r="C7" s="9" t="inlineStr">
        <is>
          <t>Pasadena</t>
        </is>
      </c>
      <c r="D7" s="9" t="inlineStr">
        <is>
          <t>CA</t>
        </is>
      </c>
      <c r="E7" s="9" t="inlineStr">
        <is>
          <t>Private</t>
        </is>
      </c>
      <c r="F7" s="11" t="n">
        <v>16075</v>
      </c>
      <c r="G7" s="11" t="n">
        <v>128566</v>
      </c>
      <c r="H7" s="9">
        <f>COUNTIF($G$5:$G$1531,"&gt;"&amp;G7)+1</f>
        <v/>
      </c>
      <c r="I7" s="9" t="inlineStr"/>
      <c r="J7" s="11">
        <f>IF(E7="Private",F7,"")</f>
        <v/>
      </c>
      <c r="K7" s="11">
        <f>IF(E7="Private",G7,"")</f>
        <v/>
      </c>
      <c r="M7" s="9" t="inlineStr">
        <is>
          <t xml:space="preserve">  Private</t>
        </is>
      </c>
      <c r="N7" s="10">
        <f>COUNTIF(E5:E1531,"Private")</f>
        <v/>
      </c>
    </row>
    <row r="8">
      <c r="A8" s="9" t="n">
        <v>243744</v>
      </c>
      <c r="B8" s="9" t="inlineStr">
        <is>
          <t>Stanford University</t>
        </is>
      </c>
      <c r="C8" s="9" t="inlineStr">
        <is>
          <t>Stanford</t>
        </is>
      </c>
      <c r="D8" s="9" t="inlineStr">
        <is>
          <t>CA</t>
        </is>
      </c>
      <c r="E8" s="9" t="inlineStr">
        <is>
          <t>Private</t>
        </is>
      </c>
      <c r="F8" s="11" t="n">
        <v>13807</v>
      </c>
      <c r="G8" s="11" t="n">
        <v>124080</v>
      </c>
      <c r="H8" s="9">
        <f>COUNTIF($G$5:$G$1531,"&gt;"&amp;G8)+1</f>
        <v/>
      </c>
      <c r="I8" s="9" t="inlineStr"/>
      <c r="J8" s="11">
        <f>IF(E8="Private",F8,"")</f>
        <v/>
      </c>
      <c r="K8" s="11">
        <f>IF(E8="Private",G8,"")</f>
        <v/>
      </c>
      <c r="M8" s="9" t="inlineStr">
        <is>
          <t>Northeastern rank</t>
        </is>
      </c>
      <c r="N8" s="10">
        <f>INDEX(H5:H1531,MATCH("Northeastern University",B5:B1531,0))</f>
        <v/>
      </c>
    </row>
    <row r="9">
      <c r="A9" s="9" t="n">
        <v>164739</v>
      </c>
      <c r="B9" s="9" t="inlineStr">
        <is>
          <t>Bentley University</t>
        </is>
      </c>
      <c r="C9" s="9" t="inlineStr">
        <is>
          <t>Waltham</t>
        </is>
      </c>
      <c r="D9" s="9" t="inlineStr">
        <is>
          <t>MA</t>
        </is>
      </c>
      <c r="E9" s="9" t="inlineStr">
        <is>
          <t>Private</t>
        </is>
      </c>
      <c r="F9" s="11" t="n">
        <v>37930</v>
      </c>
      <c r="G9" s="11" t="n">
        <v>120959</v>
      </c>
      <c r="H9" s="9">
        <f>COUNTIF($G$5:$G$1531,"&gt;"&amp;G9)+1</f>
        <v/>
      </c>
      <c r="I9" s="9" t="inlineStr"/>
      <c r="J9" s="11">
        <f>IF(E9="Private",F9,"")</f>
        <v/>
      </c>
      <c r="K9" s="11">
        <f>IF(E9="Private",G9,"")</f>
        <v/>
      </c>
      <c r="M9" s="9" t="inlineStr">
        <is>
          <t>Vanderbilt rank</t>
        </is>
      </c>
      <c r="N9" s="10">
        <f>INDEX(H5:H1531,MATCH("Vanderbilt University",B5:B1531,0))</f>
        <v/>
      </c>
    </row>
    <row r="10">
      <c r="A10" s="9" t="n">
        <v>211440</v>
      </c>
      <c r="B10" s="9" t="inlineStr">
        <is>
          <t>Carnegie Mellon University</t>
        </is>
      </c>
      <c r="C10" s="9" t="inlineStr">
        <is>
          <t>Pittsburgh</t>
        </is>
      </c>
      <c r="D10" s="9" t="inlineStr">
        <is>
          <t>PA</t>
        </is>
      </c>
      <c r="E10" s="9" t="inlineStr">
        <is>
          <t>Private</t>
        </is>
      </c>
      <c r="F10" s="11" t="n">
        <v>31944</v>
      </c>
      <c r="G10" s="11" t="n">
        <v>114862</v>
      </c>
      <c r="H10" s="9">
        <f>COUNTIF($G$5:$G$1531,"&gt;"&amp;G10)+1</f>
        <v/>
      </c>
      <c r="I10" s="9" t="inlineStr"/>
      <c r="J10" s="11">
        <f>IF(E10="Private",F10,"")</f>
        <v/>
      </c>
      <c r="K10" s="11">
        <f>IF(E10="Private",G10,"")</f>
        <v/>
      </c>
      <c r="M10" s="9" t="inlineStr">
        <is>
          <t>Boston University rank</t>
        </is>
      </c>
      <c r="N10" s="10">
        <f>INDEX(H5:H1531,MATCH("Boston University",B5:B1531,0))</f>
        <v/>
      </c>
    </row>
    <row r="11">
      <c r="A11" s="9" t="n">
        <v>215062</v>
      </c>
      <c r="B11" s="9" t="inlineStr">
        <is>
          <t>University of Pennsylvania</t>
        </is>
      </c>
      <c r="C11" s="9" t="inlineStr">
        <is>
          <t>Philadelphia</t>
        </is>
      </c>
      <c r="D11" s="9" t="inlineStr">
        <is>
          <t>PA</t>
        </is>
      </c>
      <c r="E11" s="9" t="inlineStr">
        <is>
          <t>Private</t>
        </is>
      </c>
      <c r="F11" s="11" t="n">
        <v>28699</v>
      </c>
      <c r="G11" s="11" t="n">
        <v>111371</v>
      </c>
      <c r="H11" s="9">
        <f>COUNTIF($G$5:$G$1531,"&gt;"&amp;G11)+1</f>
        <v/>
      </c>
      <c r="I11" s="9" t="inlineStr"/>
      <c r="J11" s="11">
        <f>IF(E11="Private",F11,"")</f>
        <v/>
      </c>
      <c r="K11" s="11">
        <f>IF(E11="Private",G11,"")</f>
        <v/>
      </c>
      <c r="M11" s="9" t="inlineStr">
        <is>
          <t>MIT rank</t>
        </is>
      </c>
      <c r="N11" s="10">
        <f>INDEX(H5:H1531,MATCH("Massachusetts Institute of Technology",B5:B1531,0))</f>
        <v/>
      </c>
    </row>
    <row r="12">
      <c r="A12" s="9" t="n">
        <v>186131</v>
      </c>
      <c r="B12" s="9" t="inlineStr">
        <is>
          <t>Princeton University</t>
        </is>
      </c>
      <c r="C12" s="9" t="inlineStr">
        <is>
          <t>Princeton</t>
        </is>
      </c>
      <c r="D12" s="9" t="inlineStr">
        <is>
          <t>NJ</t>
        </is>
      </c>
      <c r="E12" s="9" t="inlineStr">
        <is>
          <t>Private</t>
        </is>
      </c>
      <c r="F12" s="11" t="n">
        <v>6128</v>
      </c>
      <c r="G12" s="11" t="n">
        <v>110066</v>
      </c>
      <c r="H12" s="9">
        <f>COUNTIF($G$5:$G$1531,"&gt;"&amp;G12)+1</f>
        <v/>
      </c>
      <c r="I12" s="9" t="inlineStr"/>
      <c r="J12" s="11">
        <f>IF(E12="Private",F12,"")</f>
        <v/>
      </c>
      <c r="K12" s="11">
        <f>IF(E12="Private",G12,"")</f>
        <v/>
      </c>
      <c r="M12" s="9" t="inlineStr">
        <is>
          <t>Private trendline slope</t>
        </is>
      </c>
      <c r="N12" s="12">
        <f>SLOPE(K5:K1531,J5:J1531)</f>
        <v/>
      </c>
    </row>
    <row r="13">
      <c r="A13" s="9" t="n">
        <v>122931</v>
      </c>
      <c r="B13" s="9" t="inlineStr">
        <is>
          <t>Santa Clara University</t>
        </is>
      </c>
      <c r="C13" s="9" t="inlineStr">
        <is>
          <t>Santa Clara</t>
        </is>
      </c>
      <c r="D13" s="9" t="inlineStr">
        <is>
          <t>CA</t>
        </is>
      </c>
      <c r="E13" s="9" t="inlineStr">
        <is>
          <t>Private</t>
        </is>
      </c>
      <c r="F13" s="11" t="n">
        <v>50062</v>
      </c>
      <c r="G13" s="11" t="n">
        <v>109183</v>
      </c>
      <c r="H13" s="9">
        <f>COUNTIF($G$5:$G$1531,"&gt;"&amp;G13)+1</f>
        <v/>
      </c>
      <c r="I13" s="9" t="inlineStr"/>
      <c r="J13" s="11">
        <f>IF(E13="Private",F13,"")</f>
        <v/>
      </c>
      <c r="K13" s="11">
        <f>IF(E13="Private",G13,"")</f>
        <v/>
      </c>
      <c r="M13" s="9" t="inlineStr">
        <is>
          <t>Private trendline intercept</t>
        </is>
      </c>
      <c r="N13" s="8">
        <f>INTERCEPT(K5:K1531,J5:J1531)</f>
        <v/>
      </c>
    </row>
    <row r="14">
      <c r="A14" s="9" t="n">
        <v>186867</v>
      </c>
      <c r="B14" s="9" t="inlineStr">
        <is>
          <t>Stevens Institute of Technology</t>
        </is>
      </c>
      <c r="C14" s="9" t="inlineStr">
        <is>
          <t>Hoboken</t>
        </is>
      </c>
      <c r="D14" s="9" t="inlineStr">
        <is>
          <t>NJ</t>
        </is>
      </c>
      <c r="E14" s="9" t="inlineStr">
        <is>
          <t>Private</t>
        </is>
      </c>
      <c r="F14" s="11" t="n">
        <v>41346</v>
      </c>
      <c r="G14" s="11" t="n">
        <v>108772</v>
      </c>
      <c r="H14" s="9">
        <f>COUNTIF($G$5:$G$1531,"&gt;"&amp;G14)+1</f>
        <v/>
      </c>
      <c r="I14" s="9" t="inlineStr"/>
      <c r="J14" s="11">
        <f>IF(E14="Private",F14,"")</f>
        <v/>
      </c>
      <c r="K14" s="11">
        <f>IF(E14="Private",G14,"")</f>
        <v/>
      </c>
      <c r="M14" s="9" t="inlineStr">
        <is>
          <t>Private trendline r</t>
        </is>
      </c>
      <c r="N14" s="12">
        <f>CORREL(J5:J1531,K5:K1531)</f>
        <v/>
      </c>
    </row>
    <row r="15">
      <c r="A15" s="9" t="n">
        <v>213543</v>
      </c>
      <c r="B15" s="9" t="inlineStr">
        <is>
          <t>Lehigh University</t>
        </is>
      </c>
      <c r="C15" s="9" t="inlineStr">
        <is>
          <t>Bethlehem</t>
        </is>
      </c>
      <c r="D15" s="9" t="inlineStr">
        <is>
          <t>PA</t>
        </is>
      </c>
      <c r="E15" s="9" t="inlineStr">
        <is>
          <t>Private</t>
        </is>
      </c>
      <c r="F15" s="11" t="n">
        <v>36931</v>
      </c>
      <c r="G15" s="11" t="n">
        <v>105584</v>
      </c>
      <c r="H15" s="9">
        <f>COUNTIF($G$5:$G$1531,"&gt;"&amp;G15)+1</f>
        <v/>
      </c>
      <c r="I15" s="9" t="inlineStr"/>
      <c r="J15" s="11">
        <f>IF(E15="Private",F15,"")</f>
        <v/>
      </c>
      <c r="K15" s="11">
        <f>IF(E15="Private",G15,"")</f>
        <v/>
      </c>
      <c r="M15" s="9" t="inlineStr">
        <is>
          <t>Private trendline R-squared</t>
        </is>
      </c>
      <c r="N15" s="12">
        <f>RSQ(K5:K1531,J5:J1531)</f>
        <v/>
      </c>
    </row>
    <row r="16">
      <c r="A16" s="9" t="n">
        <v>112260</v>
      </c>
      <c r="B16" s="9" t="inlineStr">
        <is>
          <t>Claremont McKenna College</t>
        </is>
      </c>
      <c r="C16" s="9" t="inlineStr">
        <is>
          <t>Claremont</t>
        </is>
      </c>
      <c r="D16" s="9" t="inlineStr">
        <is>
          <t>CA</t>
        </is>
      </c>
      <c r="E16" s="9" t="inlineStr">
        <is>
          <t>Private</t>
        </is>
      </c>
      <c r="F16" s="11" t="n">
        <v>28849</v>
      </c>
      <c r="G16" s="11" t="n">
        <v>104736</v>
      </c>
      <c r="H16" s="9">
        <f>COUNTIF($G$5:$G$1531,"&gt;"&amp;G16)+1</f>
        <v/>
      </c>
      <c r="I16" s="9" t="inlineStr"/>
      <c r="J16" s="11">
        <f>IF(E16="Private",F16,"")</f>
        <v/>
      </c>
      <c r="K16" s="11">
        <f>IF(E16="Private",G16,"")</f>
        <v/>
      </c>
      <c r="M16" s="9" t="inlineStr">
        <is>
          <t>Northeastern earnings</t>
        </is>
      </c>
      <c r="N16" s="8">
        <f>INDEX(G5:G1531,MATCH("Northeastern University",B5:B1531,0))</f>
        <v/>
      </c>
    </row>
    <row r="17">
      <c r="A17" s="9" t="n">
        <v>190415</v>
      </c>
      <c r="B17" s="9" t="inlineStr">
        <is>
          <t>Cornell University</t>
        </is>
      </c>
      <c r="C17" s="9" t="inlineStr">
        <is>
          <t>Ithaca</t>
        </is>
      </c>
      <c r="D17" s="9" t="inlineStr">
        <is>
          <t>NY</t>
        </is>
      </c>
      <c r="E17" s="9" t="inlineStr">
        <is>
          <t>Private</t>
        </is>
      </c>
      <c r="F17" s="11" t="n">
        <v>28690</v>
      </c>
      <c r="G17" s="11" t="n">
        <v>104043</v>
      </c>
      <c r="H17" s="9">
        <f>COUNTIF($G$5:$G$1531,"&gt;"&amp;G17)+1</f>
        <v/>
      </c>
      <c r="I17" s="9" t="inlineStr"/>
      <c r="J17" s="11">
        <f>IF(E17="Private",F17,"")</f>
        <v/>
      </c>
      <c r="K17" s="11">
        <f>IF(E17="Private",G17,"")</f>
        <v/>
      </c>
      <c r="M17" s="9" t="inlineStr">
        <is>
          <t>Northeastern net price</t>
        </is>
      </c>
      <c r="N17" s="8">
        <f>INDEX(F5:F1531,MATCH("Northeastern University",B5:B1531,0))</f>
        <v/>
      </c>
    </row>
    <row r="18">
      <c r="A18" s="9" t="n">
        <v>164924</v>
      </c>
      <c r="B18" s="9" t="inlineStr">
        <is>
          <t>Boston College</t>
        </is>
      </c>
      <c r="C18" s="9" t="inlineStr">
        <is>
          <t>Chestnut Hill</t>
        </is>
      </c>
      <c r="D18" s="9" t="inlineStr">
        <is>
          <t>MA</t>
        </is>
      </c>
      <c r="E18" s="9" t="inlineStr">
        <is>
          <t>Private</t>
        </is>
      </c>
      <c r="F18" s="11" t="n">
        <v>41704</v>
      </c>
      <c r="G18" s="11" t="n">
        <v>103937</v>
      </c>
      <c r="H18" s="9">
        <f>COUNTIF($G$5:$G$1531,"&gt;"&amp;G18)+1</f>
        <v/>
      </c>
      <c r="I18" s="9" t="inlineStr"/>
      <c r="J18" s="11">
        <f>IF(E18="Private",F18,"")</f>
        <v/>
      </c>
      <c r="K18" s="11">
        <f>IF(E18="Private",G18,"")</f>
        <v/>
      </c>
      <c r="M18" s="9" t="inlineStr">
        <is>
          <t>Northeastern vs private trendline ($)</t>
        </is>
      </c>
      <c r="N18" s="8">
        <f>N16-(N13+N12*N17)</f>
        <v/>
      </c>
    </row>
    <row r="19">
      <c r="A19" s="9" t="n">
        <v>131496</v>
      </c>
      <c r="B19" s="9" t="inlineStr">
        <is>
          <t>Georgetown University</t>
        </is>
      </c>
      <c r="C19" s="9" t="inlineStr">
        <is>
          <t>Washington</t>
        </is>
      </c>
      <c r="D19" s="9" t="inlineStr">
        <is>
          <t>DC</t>
        </is>
      </c>
      <c r="E19" s="9" t="inlineStr">
        <is>
          <t>Private</t>
        </is>
      </c>
      <c r="F19" s="11" t="n">
        <v>40815</v>
      </c>
      <c r="G19" s="11" t="n">
        <v>103494</v>
      </c>
      <c r="H19" s="9">
        <f>COUNTIF($G$5:$G$1531,"&gt;"&amp;G19)+1</f>
        <v/>
      </c>
      <c r="I19" s="9" t="inlineStr"/>
      <c r="J19" s="11">
        <f>IF(E19="Private",F19,"")</f>
        <v/>
      </c>
      <c r="K19" s="11">
        <f>IF(E19="Private",G19,"")</f>
        <v/>
      </c>
    </row>
    <row r="20">
      <c r="A20" s="9" t="n">
        <v>168421</v>
      </c>
      <c r="B20" s="9" t="inlineStr">
        <is>
          <t>Worcester Polytechnic Institute</t>
        </is>
      </c>
      <c r="C20" s="9" t="inlineStr">
        <is>
          <t>Worcester</t>
        </is>
      </c>
      <c r="D20" s="9" t="inlineStr">
        <is>
          <t>MA</t>
        </is>
      </c>
      <c r="E20" s="9" t="inlineStr">
        <is>
          <t>Private</t>
        </is>
      </c>
      <c r="F20" s="11" t="n">
        <v>43071</v>
      </c>
      <c r="G20" s="11" t="n">
        <v>103470</v>
      </c>
      <c r="H20" s="9">
        <f>COUNTIF($G$5:$G$1531,"&gt;"&amp;G20)+1</f>
        <v/>
      </c>
      <c r="I20" s="9" t="inlineStr"/>
      <c r="J20" s="11">
        <f>IF(E20="Private",F20,"")</f>
        <v/>
      </c>
      <c r="K20" s="11">
        <f>IF(E20="Private",G20,"")</f>
        <v/>
      </c>
    </row>
    <row r="21">
      <c r="A21" s="9" t="n">
        <v>139755</v>
      </c>
      <c r="B21" s="9" t="inlineStr">
        <is>
          <t>Georgia Institute of Technology-Main Campus</t>
        </is>
      </c>
      <c r="C21" s="9" t="inlineStr">
        <is>
          <t>Atlanta</t>
        </is>
      </c>
      <c r="D21" s="9" t="inlineStr">
        <is>
          <t>GA</t>
        </is>
      </c>
      <c r="E21" s="9" t="inlineStr">
        <is>
          <t>Public</t>
        </is>
      </c>
      <c r="F21" s="11" t="n">
        <v>12116</v>
      </c>
      <c r="G21" s="11" t="n">
        <v>102772</v>
      </c>
      <c r="H21" s="9">
        <f>COUNTIF($G$5:$G$1531,"&gt;"&amp;G21)+1</f>
        <v/>
      </c>
      <c r="I21" s="9" t="inlineStr"/>
      <c r="J21" s="11">
        <f>IF(E21="Private",F21,"")</f>
        <v/>
      </c>
      <c r="K21" s="11">
        <f>IF(E21="Private",G21,"")</f>
        <v/>
      </c>
      <c r="M21" s="6" t="inlineStr">
        <is>
          <t>Prior release (Oct 10, 2023; 1,557 institutions), for reference</t>
        </is>
      </c>
      <c r="N21" s="7" t="n"/>
    </row>
    <row r="22">
      <c r="A22" s="9" t="n">
        <v>190150</v>
      </c>
      <c r="B22" s="9" t="inlineStr">
        <is>
          <t>Columbia University in the City of New York</t>
        </is>
      </c>
      <c r="C22" s="9" t="inlineStr">
        <is>
          <t>New York</t>
        </is>
      </c>
      <c r="D22" s="9" t="inlineStr">
        <is>
          <t>NY</t>
        </is>
      </c>
      <c r="E22" s="9" t="inlineStr">
        <is>
          <t>Private</t>
        </is>
      </c>
      <c r="F22" s="11" t="n">
        <v>21590</v>
      </c>
      <c r="G22" s="11" t="n">
        <v>102491</v>
      </c>
      <c r="H22" s="9">
        <f>COUNTIF($G$5:$G$1531,"&gt;"&amp;G22)+1</f>
        <v/>
      </c>
      <c r="I22" s="9" t="inlineStr"/>
      <c r="J22" s="11">
        <f>IF(E22="Private",F22,"")</f>
        <v/>
      </c>
      <c r="K22" s="11">
        <f>IF(E22="Private",G22,"")</f>
        <v/>
      </c>
      <c r="M22" s="9" t="inlineStr">
        <is>
          <t>Northeastern rank / earnings / net price</t>
        </is>
      </c>
      <c r="N22" s="9" t="inlineStr">
        <is>
          <t>38th; $88,842; $34,255</t>
        </is>
      </c>
    </row>
    <row r="23">
      <c r="A23" s="9" t="n">
        <v>194824</v>
      </c>
      <c r="B23" s="9" t="inlineStr">
        <is>
          <t>Rensselaer Polytechnic Institute</t>
        </is>
      </c>
      <c r="C23" s="9" t="inlineStr">
        <is>
          <t>Troy</t>
        </is>
      </c>
      <c r="D23" s="9" t="inlineStr">
        <is>
          <t>NY</t>
        </is>
      </c>
      <c r="E23" s="9" t="inlineStr">
        <is>
          <t>Private</t>
        </is>
      </c>
      <c r="F23" s="11" t="n">
        <v>36228</v>
      </c>
      <c r="G23" s="11" t="n">
        <v>102051</v>
      </c>
      <c r="H23" s="9">
        <f>COUNTIF($G$5:$G$1531,"&gt;"&amp;G23)+1</f>
        <v/>
      </c>
      <c r="I23" s="9" t="inlineStr"/>
      <c r="J23" s="11">
        <f>IF(E23="Private",F23,"")</f>
        <v/>
      </c>
      <c r="K23" s="11">
        <f>IF(E23="Private",G23,"")</f>
        <v/>
      </c>
      <c r="M23" s="9" t="inlineStr">
        <is>
          <t>Vanderbilt rank</t>
        </is>
      </c>
      <c r="N23" s="9" t="inlineStr">
        <is>
          <t>53rd ($84,415)</t>
        </is>
      </c>
    </row>
    <row r="24">
      <c r="A24" s="9" t="n">
        <v>166027</v>
      </c>
      <c r="B24" s="9" t="inlineStr">
        <is>
          <t>Harvard University</t>
        </is>
      </c>
      <c r="C24" s="9" t="inlineStr">
        <is>
          <t>Cambridge</t>
        </is>
      </c>
      <c r="D24" s="9" t="inlineStr">
        <is>
          <t>MA</t>
        </is>
      </c>
      <c r="E24" s="9" t="inlineStr">
        <is>
          <t>Private</t>
        </is>
      </c>
      <c r="F24" s="11" t="n">
        <v>19066</v>
      </c>
      <c r="G24" s="11" t="n">
        <v>101817</v>
      </c>
      <c r="H24" s="9">
        <f>COUNTIF($G$5:$G$1531,"&gt;"&amp;G24)+1</f>
        <v/>
      </c>
      <c r="I24" s="9" t="inlineStr"/>
      <c r="J24" s="11">
        <f>IF(E24="Private",F24,"")</f>
        <v/>
      </c>
      <c r="K24" s="11">
        <f>IF(E24="Private",G24,"")</f>
        <v/>
      </c>
      <c r="M24" s="9" t="inlineStr">
        <is>
          <t>Boston University rank</t>
        </is>
      </c>
      <c r="N24" s="9" t="inlineStr">
        <is>
          <t>75th ($80,582)</t>
        </is>
      </c>
    </row>
    <row r="25">
      <c r="A25" s="9" t="n">
        <v>130794</v>
      </c>
      <c r="B25" s="9" t="inlineStr">
        <is>
          <t>Yale University</t>
        </is>
      </c>
      <c r="C25" s="9" t="inlineStr">
        <is>
          <t>New Haven</t>
        </is>
      </c>
      <c r="D25" s="9" t="inlineStr">
        <is>
          <t>CT</t>
        </is>
      </c>
      <c r="E25" s="9" t="inlineStr">
        <is>
          <t>Private</t>
        </is>
      </c>
      <c r="F25" s="11" t="n">
        <v>23777</v>
      </c>
      <c r="G25" s="11" t="n">
        <v>100533</v>
      </c>
      <c r="H25" s="9">
        <f>COUNTIF($G$5:$G$1531,"&gt;"&amp;G25)+1</f>
        <v/>
      </c>
      <c r="I25" s="9" t="inlineStr"/>
      <c r="J25" s="11">
        <f>IF(E25="Private",F25,"")</f>
        <v/>
      </c>
      <c r="K25" s="11">
        <f>IF(E25="Private",G25,"")</f>
        <v/>
      </c>
      <c r="M25" s="9" t="inlineStr">
        <is>
          <t>MIT rank / net price</t>
        </is>
      </c>
      <c r="N25" s="9" t="inlineStr">
        <is>
          <t>2nd; $5,084 net price</t>
        </is>
      </c>
    </row>
    <row r="26">
      <c r="A26" s="9" t="n">
        <v>216597</v>
      </c>
      <c r="B26" s="9" t="inlineStr">
        <is>
          <t>Villanova University</t>
        </is>
      </c>
      <c r="C26" s="9" t="inlineStr">
        <is>
          <t>Villanova</t>
        </is>
      </c>
      <c r="D26" s="9" t="inlineStr">
        <is>
          <t>PA</t>
        </is>
      </c>
      <c r="E26" s="9" t="inlineStr">
        <is>
          <t>Private</t>
        </is>
      </c>
      <c r="F26" s="11" t="n">
        <v>43756</v>
      </c>
      <c r="G26" s="11" t="n">
        <v>100423</v>
      </c>
      <c r="H26" s="9">
        <f>COUNTIF($G$5:$G$1531,"&gt;"&amp;G26)+1</f>
        <v/>
      </c>
      <c r="I26" s="9" t="inlineStr"/>
      <c r="J26" s="11">
        <f>IF(E26="Private",F26,"")</f>
        <v/>
      </c>
      <c r="K26" s="11">
        <f>IF(E26="Private",G26,"")</f>
        <v/>
      </c>
      <c r="M26" s="9" t="inlineStr">
        <is>
          <t>Private trendline</t>
        </is>
      </c>
      <c r="N26" s="9" t="inlineStr">
        <is>
          <t>slope 1.035, intercept $29,753, r 0.49</t>
        </is>
      </c>
    </row>
    <row r="27">
      <c r="A27" s="9" t="n">
        <v>152080</v>
      </c>
      <c r="B27" s="9" t="inlineStr">
        <is>
          <t>University of Notre Dame</t>
        </is>
      </c>
      <c r="C27" s="9" t="inlineStr">
        <is>
          <t>Notre Dame</t>
        </is>
      </c>
      <c r="D27" s="9" t="inlineStr">
        <is>
          <t>IN</t>
        </is>
      </c>
      <c r="E27" s="9" t="inlineStr">
        <is>
          <t>Private</t>
        </is>
      </c>
      <c r="F27" s="11" t="n">
        <v>26780</v>
      </c>
      <c r="G27" s="11" t="n">
        <v>99980</v>
      </c>
      <c r="H27" s="9">
        <f>COUNTIF($G$5:$G$1531,"&gt;"&amp;G27)+1</f>
        <v/>
      </c>
      <c r="I27" s="9" t="inlineStr"/>
      <c r="J27" s="11">
        <f>IF(E27="Private",F27,"")</f>
        <v/>
      </c>
      <c r="K27" s="11">
        <f>IF(E27="Private",G27,"")</f>
        <v/>
      </c>
    </row>
    <row r="28">
      <c r="A28" s="9" t="n">
        <v>198419</v>
      </c>
      <c r="B28" s="9" t="inlineStr">
        <is>
          <t>Duke University</t>
        </is>
      </c>
      <c r="C28" s="9" t="inlineStr">
        <is>
          <t>Durham</t>
        </is>
      </c>
      <c r="D28" s="9" t="inlineStr">
        <is>
          <t>NC</t>
        </is>
      </c>
      <c r="E28" s="9" t="inlineStr">
        <is>
          <t>Private</t>
        </is>
      </c>
      <c r="F28" s="11" t="n">
        <v>29612</v>
      </c>
      <c r="G28" s="11" t="n">
        <v>97800</v>
      </c>
      <c r="H28" s="9">
        <f>COUNTIF($G$5:$G$1531,"&gt;"&amp;G28)+1</f>
        <v/>
      </c>
      <c r="I28" s="9" t="inlineStr"/>
      <c r="J28" s="11">
        <f>IF(E28="Private",F28,"")</f>
        <v/>
      </c>
      <c r="K28" s="11">
        <f>IF(E28="Private",G28,"")</f>
        <v/>
      </c>
    </row>
    <row r="29">
      <c r="A29" s="9" t="n">
        <v>182670</v>
      </c>
      <c r="B29" s="9" t="inlineStr">
        <is>
          <t>Dartmouth College</t>
        </is>
      </c>
      <c r="C29" s="9" t="inlineStr">
        <is>
          <t>Hanover</t>
        </is>
      </c>
      <c r="D29" s="9" t="inlineStr">
        <is>
          <t>NH</t>
        </is>
      </c>
      <c r="E29" s="9" t="inlineStr">
        <is>
          <t>Private</t>
        </is>
      </c>
      <c r="F29" s="11" t="n">
        <v>29519</v>
      </c>
      <c r="G29" s="11" t="n">
        <v>97434</v>
      </c>
      <c r="H29" s="9">
        <f>COUNTIF($G$5:$G$1531,"&gt;"&amp;G29)+1</f>
        <v/>
      </c>
      <c r="I29" s="9" t="inlineStr"/>
      <c r="J29" s="11">
        <f>IF(E29="Private",F29,"")</f>
        <v/>
      </c>
      <c r="K29" s="11">
        <f>IF(E29="Private",G29,"")</f>
        <v/>
      </c>
    </row>
    <row r="30">
      <c r="A30" s="9" t="n">
        <v>126775</v>
      </c>
      <c r="B30" s="9" t="inlineStr">
        <is>
          <t>Colorado School of Mines</t>
        </is>
      </c>
      <c r="C30" s="9" t="inlineStr">
        <is>
          <t>Golden</t>
        </is>
      </c>
      <c r="D30" s="9" t="inlineStr">
        <is>
          <t>CO</t>
        </is>
      </c>
      <c r="E30" s="9" t="inlineStr">
        <is>
          <t>Public</t>
        </is>
      </c>
      <c r="F30" s="11" t="n">
        <v>28690</v>
      </c>
      <c r="G30" s="11" t="n">
        <v>97335</v>
      </c>
      <c r="H30" s="9">
        <f>COUNTIF($G$5:$G$1531,"&gt;"&amp;G30)+1</f>
        <v/>
      </c>
      <c r="I30" s="9" t="inlineStr"/>
      <c r="J30" s="11">
        <f>IF(E30="Private",F30,"")</f>
        <v/>
      </c>
      <c r="K30" s="11">
        <f>IF(E30="Private",G30,"")</f>
        <v/>
      </c>
    </row>
    <row r="31">
      <c r="A31" s="9" t="n">
        <v>196291</v>
      </c>
      <c r="B31" s="9" t="inlineStr">
        <is>
          <t>SUNY Maritime College</t>
        </is>
      </c>
      <c r="C31" s="9" t="inlineStr">
        <is>
          <t>Throggs Neck</t>
        </is>
      </c>
      <c r="D31" s="9" t="inlineStr">
        <is>
          <t>NY</t>
        </is>
      </c>
      <c r="E31" s="9" t="inlineStr">
        <is>
          <t>Public</t>
        </is>
      </c>
      <c r="F31" s="11" t="n">
        <v>22367</v>
      </c>
      <c r="G31" s="11" t="n">
        <v>95951</v>
      </c>
      <c r="H31" s="9">
        <f>COUNTIF($G$5:$G$1531,"&gt;"&amp;G31)+1</f>
        <v/>
      </c>
      <c r="I31" s="9" t="inlineStr"/>
      <c r="J31" s="11">
        <f>IF(E31="Private",F31,"")</f>
        <v/>
      </c>
      <c r="K31" s="11">
        <f>IF(E31="Private",G31,"")</f>
        <v/>
      </c>
    </row>
    <row r="32">
      <c r="A32" s="9" t="n">
        <v>169983</v>
      </c>
      <c r="B32" s="9" t="inlineStr">
        <is>
          <t>Kettering University</t>
        </is>
      </c>
      <c r="C32" s="9" t="inlineStr">
        <is>
          <t>Flint</t>
        </is>
      </c>
      <c r="D32" s="9" t="inlineStr">
        <is>
          <t>MI</t>
        </is>
      </c>
      <c r="E32" s="9" t="inlineStr">
        <is>
          <t>Private</t>
        </is>
      </c>
      <c r="F32" s="11" t="n">
        <v>34660</v>
      </c>
      <c r="G32" s="11" t="n">
        <v>94823</v>
      </c>
      <c r="H32" s="9">
        <f>COUNTIF($G$5:$G$1531,"&gt;"&amp;G32)+1</f>
        <v/>
      </c>
      <c r="I32" s="9" t="inlineStr"/>
      <c r="J32" s="11">
        <f>IF(E32="Private",F32,"")</f>
        <v/>
      </c>
      <c r="K32" s="11">
        <f>IF(E32="Private",G32,"")</f>
        <v/>
      </c>
    </row>
    <row r="33">
      <c r="A33" s="9" t="n">
        <v>234207</v>
      </c>
      <c r="B33" s="9" t="inlineStr">
        <is>
          <t>Washington and Lee University</t>
        </is>
      </c>
      <c r="C33" s="9" t="inlineStr">
        <is>
          <t>Lexington</t>
        </is>
      </c>
      <c r="D33" s="9" t="inlineStr">
        <is>
          <t>VA</t>
        </is>
      </c>
      <c r="E33" s="9" t="inlineStr">
        <is>
          <t>Private</t>
        </is>
      </c>
      <c r="F33" s="11" t="n">
        <v>23781</v>
      </c>
      <c r="G33" s="11" t="n">
        <v>94810</v>
      </c>
      <c r="H33" s="9">
        <f>COUNTIF($G$5:$G$1531,"&gt;"&amp;G33)+1</f>
        <v/>
      </c>
      <c r="I33" s="9" t="inlineStr"/>
      <c r="J33" s="11">
        <f>IF(E33="Private",F33,"")</f>
        <v/>
      </c>
      <c r="K33" s="11">
        <f>IF(E33="Private",G33,"")</f>
        <v/>
      </c>
    </row>
    <row r="34">
      <c r="A34" s="9" t="n">
        <v>111188</v>
      </c>
      <c r="B34" s="9" t="inlineStr">
        <is>
          <t>Cal Poly Maritime Academy</t>
        </is>
      </c>
      <c r="C34" s="9" t="inlineStr">
        <is>
          <t>Vallejo</t>
        </is>
      </c>
      <c r="D34" s="9" t="inlineStr">
        <is>
          <t>CA</t>
        </is>
      </c>
      <c r="E34" s="9" t="inlineStr">
        <is>
          <t>Public</t>
        </is>
      </c>
      <c r="F34" s="11" t="n">
        <v>20555</v>
      </c>
      <c r="G34" s="11" t="n">
        <v>94784</v>
      </c>
      <c r="H34" s="9">
        <f>COUNTIF($G$5:$G$1531,"&gt;"&amp;G34)+1</f>
        <v/>
      </c>
      <c r="I34" s="9" t="inlineStr"/>
      <c r="J34" s="11">
        <f>IF(E34="Private",F34,"")</f>
        <v/>
      </c>
      <c r="K34" s="11">
        <f>IF(E34="Private",G34,"")</f>
        <v/>
      </c>
    </row>
    <row r="35">
      <c r="A35" s="9" t="n">
        <v>211291</v>
      </c>
      <c r="B35" s="9" t="inlineStr">
        <is>
          <t>Bucknell University</t>
        </is>
      </c>
      <c r="C35" s="9" t="inlineStr">
        <is>
          <t>Lewisburg</t>
        </is>
      </c>
      <c r="D35" s="9" t="inlineStr">
        <is>
          <t>PA</t>
        </is>
      </c>
      <c r="E35" s="9" t="inlineStr">
        <is>
          <t>Private</t>
        </is>
      </c>
      <c r="F35" s="11" t="n">
        <v>40766</v>
      </c>
      <c r="G35" s="11" t="n">
        <v>93807</v>
      </c>
      <c r="H35" s="9">
        <f>COUNTIF($G$5:$G$1531,"&gt;"&amp;G35)+1</f>
        <v/>
      </c>
      <c r="I35" s="9" t="inlineStr"/>
      <c r="J35" s="11">
        <f>IF(E35="Private",F35,"")</f>
        <v/>
      </c>
      <c r="K35" s="11">
        <f>IF(E35="Private",G35,"")</f>
        <v/>
      </c>
    </row>
    <row r="36">
      <c r="A36" s="9" t="n">
        <v>217156</v>
      </c>
      <c r="B36" s="9" t="inlineStr">
        <is>
          <t>Brown University</t>
        </is>
      </c>
      <c r="C36" s="9" t="inlineStr">
        <is>
          <t>Providence</t>
        </is>
      </c>
      <c r="D36" s="9" t="inlineStr">
        <is>
          <t>RI</t>
        </is>
      </c>
      <c r="E36" s="9" t="inlineStr">
        <is>
          <t>Private</t>
        </is>
      </c>
      <c r="F36" s="11" t="n">
        <v>25184</v>
      </c>
      <c r="G36" s="11" t="n">
        <v>93487</v>
      </c>
      <c r="H36" s="9">
        <f>COUNTIF($G$5:$G$1531,"&gt;"&amp;G36)+1</f>
        <v/>
      </c>
      <c r="I36" s="9" t="inlineStr"/>
      <c r="J36" s="11">
        <f>IF(E36="Private",F36,"")</f>
        <v/>
      </c>
      <c r="K36" s="11">
        <f>IF(E36="Private",G36,"")</f>
        <v/>
      </c>
    </row>
    <row r="37">
      <c r="A37" s="13" t="n">
        <v>167358</v>
      </c>
      <c r="B37" s="13" t="inlineStr">
        <is>
          <t>Northeastern University</t>
        </is>
      </c>
      <c r="C37" s="13" t="inlineStr">
        <is>
          <t>Boston</t>
        </is>
      </c>
      <c r="D37" s="13" t="inlineStr">
        <is>
          <t>MA</t>
        </is>
      </c>
      <c r="E37" s="13" t="inlineStr">
        <is>
          <t>Private</t>
        </is>
      </c>
      <c r="F37" s="14" t="n">
        <v>30915</v>
      </c>
      <c r="G37" s="14" t="n">
        <v>92538</v>
      </c>
      <c r="H37" s="13">
        <f>COUNTIF($G$5:$G$1531,"&gt;"&amp;G37)+1</f>
        <v/>
      </c>
      <c r="I37" s="13" t="inlineStr">
        <is>
          <t>Northeastern</t>
        </is>
      </c>
      <c r="J37" s="14">
        <f>IF(E37="Private",F37,"")</f>
        <v/>
      </c>
      <c r="K37" s="14">
        <f>IF(E37="Private",G37,"")</f>
        <v/>
      </c>
    </row>
    <row r="38">
      <c r="A38" s="9" t="n">
        <v>118888</v>
      </c>
      <c r="B38" s="9" t="inlineStr">
        <is>
          <t>Northeastern University Oakland</t>
        </is>
      </c>
      <c r="C38" s="9" t="inlineStr">
        <is>
          <t>Oakland</t>
        </is>
      </c>
      <c r="D38" s="9" t="inlineStr">
        <is>
          <t>CA</t>
        </is>
      </c>
      <c r="E38" s="9" t="inlineStr">
        <is>
          <t>Private</t>
        </is>
      </c>
      <c r="F38" s="11" t="n">
        <v>25181</v>
      </c>
      <c r="G38" s="11" t="n">
        <v>92538</v>
      </c>
      <c r="H38" s="9">
        <f>COUNTIF($G$5:$G$1531,"&gt;"&amp;G38)+1</f>
        <v/>
      </c>
      <c r="I38" s="9" t="inlineStr"/>
      <c r="J38" s="11">
        <f>IF(E38="Private",F38,"")</f>
        <v/>
      </c>
      <c r="K38" s="11">
        <f>IF(E38="Private",G38,"")</f>
        <v/>
      </c>
    </row>
    <row r="39">
      <c r="A39" s="9" t="n">
        <v>123961</v>
      </c>
      <c r="B39" s="9" t="inlineStr">
        <is>
          <t>University of Southern California</t>
        </is>
      </c>
      <c r="C39" s="9" t="inlineStr">
        <is>
          <t>Los Angeles</t>
        </is>
      </c>
      <c r="D39" s="9" t="inlineStr">
        <is>
          <t>CA</t>
        </is>
      </c>
      <c r="E39" s="9" t="inlineStr">
        <is>
          <t>Private</t>
        </is>
      </c>
      <c r="F39" s="11" t="n">
        <v>32740</v>
      </c>
      <c r="G39" s="11" t="n">
        <v>92498</v>
      </c>
      <c r="H39" s="9">
        <f>COUNTIF($G$5:$G$1531,"&gt;"&amp;G39)+1</f>
        <v/>
      </c>
      <c r="I39" s="9" t="inlineStr"/>
      <c r="J39" s="11">
        <f>IF(E39="Private",F39,"")</f>
        <v/>
      </c>
      <c r="K39" s="11">
        <f>IF(E39="Private",G39,"")</f>
        <v/>
      </c>
    </row>
    <row r="40">
      <c r="A40" s="9" t="n">
        <v>110635</v>
      </c>
      <c r="B40" s="9" t="inlineStr">
        <is>
          <t>University of California-Berkeley</t>
        </is>
      </c>
      <c r="C40" s="9" t="inlineStr">
        <is>
          <t>Berkeley</t>
        </is>
      </c>
      <c r="D40" s="9" t="inlineStr">
        <is>
          <t>CA</t>
        </is>
      </c>
      <c r="E40" s="9" t="inlineStr">
        <is>
          <t>Public</t>
        </is>
      </c>
      <c r="F40" s="11" t="n">
        <v>13481</v>
      </c>
      <c r="G40" s="11" t="n">
        <v>92446</v>
      </c>
      <c r="H40" s="9">
        <f>COUNTIF($G$5:$G$1531,"&gt;"&amp;G40)+1</f>
        <v/>
      </c>
      <c r="I40" s="9" t="inlineStr"/>
      <c r="J40" s="11">
        <f>IF(E40="Private",F40,"")</f>
        <v/>
      </c>
      <c r="K40" s="11">
        <f>IF(E40="Private",G40,"")</f>
        <v/>
      </c>
    </row>
    <row r="41">
      <c r="A41" s="9" t="n">
        <v>144050</v>
      </c>
      <c r="B41" s="9" t="inlineStr">
        <is>
          <t>University of Chicago</t>
        </is>
      </c>
      <c r="C41" s="9" t="inlineStr">
        <is>
          <t>Chicago</t>
        </is>
      </c>
      <c r="D41" s="9" t="inlineStr">
        <is>
          <t>IL</t>
        </is>
      </c>
      <c r="E41" s="9" t="inlineStr">
        <is>
          <t>Private</t>
        </is>
      </c>
      <c r="F41" s="11" t="n">
        <v>14860</v>
      </c>
      <c r="G41" s="11" t="n">
        <v>91885</v>
      </c>
      <c r="H41" s="9">
        <f>COUNTIF($G$5:$G$1531,"&gt;"&amp;G41)+1</f>
        <v/>
      </c>
      <c r="I41" s="9" t="inlineStr"/>
      <c r="J41" s="11">
        <f>IF(E41="Private",F41,"")</f>
        <v/>
      </c>
      <c r="K41" s="11">
        <f>IF(E41="Private",G41,"")</f>
        <v/>
      </c>
    </row>
    <row r="42">
      <c r="A42" s="3" t="n">
        <v>221999</v>
      </c>
      <c r="B42" s="3" t="inlineStr">
        <is>
          <t>Vanderbilt University</t>
        </is>
      </c>
      <c r="C42" s="3" t="inlineStr">
        <is>
          <t>Nashville</t>
        </is>
      </c>
      <c r="D42" s="3" t="inlineStr">
        <is>
          <t>TN</t>
        </is>
      </c>
      <c r="E42" s="3" t="inlineStr">
        <is>
          <t>Private</t>
        </is>
      </c>
      <c r="F42" s="8" t="n">
        <v>15846</v>
      </c>
      <c r="G42" s="8" t="n">
        <v>91565</v>
      </c>
      <c r="H42" s="3">
        <f>COUNTIF($G$5:$G$1531,"&gt;"&amp;G42)+1</f>
        <v/>
      </c>
      <c r="I42" s="3" t="inlineStr">
        <is>
          <t>Vanderbilt</t>
        </is>
      </c>
      <c r="J42" s="8">
        <f>IF(E42="Private",F42,"")</f>
        <v/>
      </c>
      <c r="K42" s="8">
        <f>IF(E42="Private",G42,"")</f>
        <v/>
      </c>
    </row>
    <row r="43">
      <c r="A43" s="9" t="n">
        <v>213385</v>
      </c>
      <c r="B43" s="9" t="inlineStr">
        <is>
          <t>Lafayette College</t>
        </is>
      </c>
      <c r="C43" s="9" t="inlineStr">
        <is>
          <t>Easton</t>
        </is>
      </c>
      <c r="D43" s="9" t="inlineStr">
        <is>
          <t>PA</t>
        </is>
      </c>
      <c r="E43" s="9" t="inlineStr">
        <is>
          <t>Private</t>
        </is>
      </c>
      <c r="F43" s="11" t="n">
        <v>34433</v>
      </c>
      <c r="G43" s="11" t="n">
        <v>91410</v>
      </c>
      <c r="H43" s="9">
        <f>COUNTIF($G$5:$G$1531,"&gt;"&amp;G43)+1</f>
        <v/>
      </c>
      <c r="I43" s="9" t="inlineStr"/>
      <c r="J43" s="11">
        <f>IF(E43="Private",F43,"")</f>
        <v/>
      </c>
      <c r="K43" s="11">
        <f>IF(E43="Private",G43,"")</f>
        <v/>
      </c>
    </row>
    <row r="44">
      <c r="A44" s="9" t="n">
        <v>131469</v>
      </c>
      <c r="B44" s="9" t="inlineStr">
        <is>
          <t>George Washington University</t>
        </is>
      </c>
      <c r="C44" s="9" t="inlineStr">
        <is>
          <t>Washington</t>
        </is>
      </c>
      <c r="D44" s="9" t="inlineStr">
        <is>
          <t>DC</t>
        </is>
      </c>
      <c r="E44" s="9" t="inlineStr">
        <is>
          <t>Private</t>
        </is>
      </c>
      <c r="F44" s="11" t="n">
        <v>36586</v>
      </c>
      <c r="G44" s="11" t="n">
        <v>90873</v>
      </c>
      <c r="H44" s="9">
        <f>COUNTIF($G$5:$G$1531,"&gt;"&amp;G44)+1</f>
        <v/>
      </c>
      <c r="I44" s="9" t="inlineStr"/>
      <c r="J44" s="11">
        <f>IF(E44="Private",F44,"")</f>
        <v/>
      </c>
      <c r="K44" s="11">
        <f>IF(E44="Private",G44,"")</f>
        <v/>
      </c>
    </row>
    <row r="45">
      <c r="A45" s="9" t="n">
        <v>130590</v>
      </c>
      <c r="B45" s="9" t="inlineStr">
        <is>
          <t>Trinity College</t>
        </is>
      </c>
      <c r="C45" s="9" t="inlineStr">
        <is>
          <t>Hartford</t>
        </is>
      </c>
      <c r="D45" s="9" t="inlineStr">
        <is>
          <t>CT</t>
        </is>
      </c>
      <c r="E45" s="9" t="inlineStr">
        <is>
          <t>Private</t>
        </is>
      </c>
      <c r="F45" s="11" t="n">
        <v>34832</v>
      </c>
      <c r="G45" s="11" t="n">
        <v>90779</v>
      </c>
      <c r="H45" s="9">
        <f>COUNTIF($G$5:$G$1531,"&gt;"&amp;G45)+1</f>
        <v/>
      </c>
      <c r="I45" s="9" t="inlineStr"/>
      <c r="J45" s="11">
        <f>IF(E45="Private",F45,"")</f>
        <v/>
      </c>
      <c r="K45" s="11">
        <f>IF(E45="Private",G45,"")</f>
        <v/>
      </c>
    </row>
    <row r="46">
      <c r="A46" s="9" t="n">
        <v>110422</v>
      </c>
      <c r="B46" s="9" t="inlineStr">
        <is>
          <t>California Polytechnic State University-San Luis Obispo</t>
        </is>
      </c>
      <c r="C46" s="9" t="inlineStr">
        <is>
          <t>San Luis Obispo</t>
        </is>
      </c>
      <c r="D46" s="9" t="inlineStr">
        <is>
          <t>CA</t>
        </is>
      </c>
      <c r="E46" s="9" t="inlineStr">
        <is>
          <t>Public</t>
        </is>
      </c>
      <c r="F46" s="11" t="n">
        <v>16665</v>
      </c>
      <c r="G46" s="11" t="n">
        <v>90768</v>
      </c>
      <c r="H46" s="9">
        <f>COUNTIF($G$5:$G$1531,"&gt;"&amp;G46)+1</f>
        <v/>
      </c>
      <c r="I46" s="9" t="inlineStr"/>
      <c r="J46" s="11">
        <f>IF(E46="Private",F46,"")</f>
        <v/>
      </c>
      <c r="K46" s="11">
        <f>IF(E46="Private",G46,"")</f>
        <v/>
      </c>
    </row>
    <row r="47">
      <c r="A47" s="9" t="n">
        <v>197027</v>
      </c>
      <c r="B47" s="9" t="inlineStr">
        <is>
          <t>United States Merchant Marine Academy</t>
        </is>
      </c>
      <c r="C47" s="9" t="inlineStr">
        <is>
          <t>Kings Point</t>
        </is>
      </c>
      <c r="D47" s="9" t="inlineStr">
        <is>
          <t>NY</t>
        </is>
      </c>
      <c r="E47" s="9" t="inlineStr">
        <is>
          <t>Public</t>
        </is>
      </c>
      <c r="F47" s="11" t="n">
        <v>6174</v>
      </c>
      <c r="G47" s="11" t="n">
        <v>90610</v>
      </c>
      <c r="H47" s="9">
        <f>COUNTIF($G$5:$G$1531,"&gt;"&amp;G47)+1</f>
        <v/>
      </c>
      <c r="I47" s="9" t="inlineStr"/>
      <c r="J47" s="11">
        <f>IF(E47="Private",F47,"")</f>
        <v/>
      </c>
      <c r="K47" s="11">
        <f>IF(E47="Private",G47,"")</f>
        <v/>
      </c>
    </row>
    <row r="48">
      <c r="A48" s="9" t="n">
        <v>166124</v>
      </c>
      <c r="B48" s="9" t="inlineStr">
        <is>
          <t>College of the Holy Cross</t>
        </is>
      </c>
      <c r="C48" s="9" t="inlineStr">
        <is>
          <t>Worcester</t>
        </is>
      </c>
      <c r="D48" s="9" t="inlineStr">
        <is>
          <t>MA</t>
        </is>
      </c>
      <c r="E48" s="9" t="inlineStr">
        <is>
          <t>Private</t>
        </is>
      </c>
      <c r="F48" s="11" t="n">
        <v>38782</v>
      </c>
      <c r="G48" s="11" t="n">
        <v>90543</v>
      </c>
      <c r="H48" s="9">
        <f>COUNTIF($G$5:$G$1531,"&gt;"&amp;G48)+1</f>
        <v/>
      </c>
      <c r="I48" s="9" t="inlineStr"/>
      <c r="J48" s="11">
        <f>IF(E48="Private",F48,"")</f>
        <v/>
      </c>
      <c r="K48" s="11">
        <f>IF(E48="Private",G48,"")</f>
        <v/>
      </c>
    </row>
    <row r="49">
      <c r="A49" s="9" t="n">
        <v>217165</v>
      </c>
      <c r="B49" s="9" t="inlineStr">
        <is>
          <t>Bryant University</t>
        </is>
      </c>
      <c r="C49" s="9" t="inlineStr">
        <is>
          <t>Smithfield</t>
        </is>
      </c>
      <c r="D49" s="9" t="inlineStr">
        <is>
          <t>RI</t>
        </is>
      </c>
      <c r="E49" s="9" t="inlineStr">
        <is>
          <t>Private</t>
        </is>
      </c>
      <c r="F49" s="11" t="n">
        <v>41219</v>
      </c>
      <c r="G49" s="11" t="n">
        <v>90008</v>
      </c>
      <c r="H49" s="9">
        <f>COUNTIF($G$5:$G$1531,"&gt;"&amp;G49)+1</f>
        <v/>
      </c>
      <c r="I49" s="9" t="inlineStr"/>
      <c r="J49" s="11">
        <f>IF(E49="Private",F49,"")</f>
        <v/>
      </c>
      <c r="K49" s="11">
        <f>IF(E49="Private",G49,"")</f>
        <v/>
      </c>
    </row>
    <row r="50">
      <c r="A50" s="9" t="n">
        <v>161299</v>
      </c>
      <c r="B50" s="9" t="inlineStr">
        <is>
          <t>Maine Maritime Academy</t>
        </is>
      </c>
      <c r="C50" s="9" t="inlineStr">
        <is>
          <t>Castine</t>
        </is>
      </c>
      <c r="D50" s="9" t="inlineStr">
        <is>
          <t>ME</t>
        </is>
      </c>
      <c r="E50" s="9" t="inlineStr">
        <is>
          <t>Public</t>
        </is>
      </c>
      <c r="F50" s="11" t="n">
        <v>23414</v>
      </c>
      <c r="G50" s="11" t="n">
        <v>89964</v>
      </c>
      <c r="H50" s="9">
        <f>COUNTIF($G$5:$G$1531,"&gt;"&amp;G50)+1</f>
        <v/>
      </c>
      <c r="I50" s="9" t="inlineStr"/>
      <c r="J50" s="11">
        <f>IF(E50="Private",F50,"")</f>
        <v/>
      </c>
      <c r="K50" s="11">
        <f>IF(E50="Private",G50,"")</f>
        <v/>
      </c>
    </row>
    <row r="51">
      <c r="A51" s="9" t="n">
        <v>122612</v>
      </c>
      <c r="B51" s="9" t="inlineStr">
        <is>
          <t>University of San Francisco</t>
        </is>
      </c>
      <c r="C51" s="9" t="inlineStr">
        <is>
          <t>San Francisco</t>
        </is>
      </c>
      <c r="D51" s="9" t="inlineStr">
        <is>
          <t>CA</t>
        </is>
      </c>
      <c r="E51" s="9" t="inlineStr">
        <is>
          <t>Private</t>
        </is>
      </c>
      <c r="F51" s="11" t="n">
        <v>41431</v>
      </c>
      <c r="G51" s="11" t="n">
        <v>89812</v>
      </c>
      <c r="H51" s="9">
        <f>COUNTIF($G$5:$G$1531,"&gt;"&amp;G51)+1</f>
        <v/>
      </c>
      <c r="I51" s="9" t="inlineStr"/>
      <c r="J51" s="11">
        <f>IF(E51="Private",F51,"")</f>
        <v/>
      </c>
      <c r="K51" s="11">
        <f>IF(E51="Private",G51,"")</f>
        <v/>
      </c>
    </row>
    <row r="52">
      <c r="A52" s="9" t="n">
        <v>227757</v>
      </c>
      <c r="B52" s="9" t="inlineStr">
        <is>
          <t>Rice University</t>
        </is>
      </c>
      <c r="C52" s="9" t="inlineStr">
        <is>
          <t>Houston</t>
        </is>
      </c>
      <c r="D52" s="9" t="inlineStr">
        <is>
          <t>TX</t>
        </is>
      </c>
      <c r="E52" s="9" t="inlineStr">
        <is>
          <t>Private</t>
        </is>
      </c>
      <c r="F52" s="11" t="n">
        <v>13370</v>
      </c>
      <c r="G52" s="11" t="n">
        <v>89718</v>
      </c>
      <c r="H52" s="9">
        <f>COUNTIF($G$5:$G$1531,"&gt;"&amp;G52)+1</f>
        <v/>
      </c>
      <c r="I52" s="9" t="inlineStr"/>
      <c r="J52" s="11">
        <f>IF(E52="Private",F52,"")</f>
        <v/>
      </c>
      <c r="K52" s="11">
        <f>IF(E52="Private",G52,"")</f>
        <v/>
      </c>
    </row>
    <row r="53">
      <c r="A53" s="9" t="n">
        <v>190044</v>
      </c>
      <c r="B53" s="9" t="inlineStr">
        <is>
          <t>Clarkson University</t>
        </is>
      </c>
      <c r="C53" s="9" t="inlineStr">
        <is>
          <t>Potsdam</t>
        </is>
      </c>
      <c r="D53" s="9" t="inlineStr">
        <is>
          <t>NY</t>
        </is>
      </c>
      <c r="E53" s="9" t="inlineStr">
        <is>
          <t>Private</t>
        </is>
      </c>
      <c r="F53" s="11" t="n">
        <v>30305</v>
      </c>
      <c r="G53" s="11" t="n">
        <v>89696</v>
      </c>
      <c r="H53" s="9">
        <f>COUNTIF($G$5:$G$1531,"&gt;"&amp;G53)+1</f>
        <v/>
      </c>
      <c r="I53" s="9" t="inlineStr"/>
      <c r="J53" s="11">
        <f>IF(E53="Private",F53,"")</f>
        <v/>
      </c>
      <c r="K53" s="11">
        <f>IF(E53="Private",G53,"")</f>
        <v/>
      </c>
    </row>
    <row r="54">
      <c r="A54" s="9" t="n">
        <v>147767</v>
      </c>
      <c r="B54" s="9" t="inlineStr">
        <is>
          <t>Northwestern University</t>
        </is>
      </c>
      <c r="C54" s="9" t="inlineStr">
        <is>
          <t>Evanston</t>
        </is>
      </c>
      <c r="D54" s="9" t="inlineStr">
        <is>
          <t>IL</t>
        </is>
      </c>
      <c r="E54" s="9" t="inlineStr">
        <is>
          <t>Private</t>
        </is>
      </c>
      <c r="F54" s="11" t="n">
        <v>29167</v>
      </c>
      <c r="G54" s="11" t="n">
        <v>89363</v>
      </c>
      <c r="H54" s="9">
        <f>COUNTIF($G$5:$G$1531,"&gt;"&amp;G54)+1</f>
        <v/>
      </c>
      <c r="I54" s="9" t="inlineStr"/>
      <c r="J54" s="11">
        <f>IF(E54="Private",F54,"")</f>
        <v/>
      </c>
      <c r="K54" s="11">
        <f>IF(E54="Private",G54,"")</f>
        <v/>
      </c>
    </row>
    <row r="55">
      <c r="A55" s="9" t="n">
        <v>239318</v>
      </c>
      <c r="B55" s="9" t="inlineStr">
        <is>
          <t>Milwaukee School of Engineering</t>
        </is>
      </c>
      <c r="C55" s="9" t="inlineStr">
        <is>
          <t>Milwaukee</t>
        </is>
      </c>
      <c r="D55" s="9" t="inlineStr">
        <is>
          <t>WI</t>
        </is>
      </c>
      <c r="E55" s="9" t="inlineStr">
        <is>
          <t>Private</t>
        </is>
      </c>
      <c r="F55" s="11" t="n">
        <v>22453</v>
      </c>
      <c r="G55" s="11" t="n">
        <v>89070</v>
      </c>
      <c r="H55" s="9">
        <f>COUNTIF($G$5:$G$1531,"&gt;"&amp;G55)+1</f>
        <v/>
      </c>
      <c r="I55" s="9" t="inlineStr"/>
      <c r="J55" s="11">
        <f>IF(E55="Private",F55,"")</f>
        <v/>
      </c>
      <c r="K55" s="11">
        <f>IF(E55="Private",G55,"")</f>
        <v/>
      </c>
    </row>
    <row r="56">
      <c r="A56" s="9" t="n">
        <v>129242</v>
      </c>
      <c r="B56" s="9" t="inlineStr">
        <is>
          <t>Fairfield University</t>
        </is>
      </c>
      <c r="C56" s="9" t="inlineStr">
        <is>
          <t>Fairfield</t>
        </is>
      </c>
      <c r="D56" s="9" t="inlineStr">
        <is>
          <t>CT</t>
        </is>
      </c>
      <c r="E56" s="9" t="inlineStr">
        <is>
          <t>Private</t>
        </is>
      </c>
      <c r="F56" s="11" t="n">
        <v>48095</v>
      </c>
      <c r="G56" s="11" t="n">
        <v>88794</v>
      </c>
      <c r="H56" s="9">
        <f>COUNTIF($G$5:$G$1531,"&gt;"&amp;G56)+1</f>
        <v/>
      </c>
      <c r="I56" s="9" t="inlineStr"/>
      <c r="J56" s="11">
        <f>IF(E56="Private",F56,"")</f>
        <v/>
      </c>
      <c r="K56" s="11">
        <f>IF(E56="Private",G56,"")</f>
        <v/>
      </c>
    </row>
    <row r="57">
      <c r="A57" s="9" t="n">
        <v>168342</v>
      </c>
      <c r="B57" s="9" t="inlineStr">
        <is>
          <t>Williams College</t>
        </is>
      </c>
      <c r="C57" s="9" t="inlineStr">
        <is>
          <t>Williamstown</t>
        </is>
      </c>
      <c r="D57" s="9" t="inlineStr">
        <is>
          <t>MA</t>
        </is>
      </c>
      <c r="E57" s="9" t="inlineStr">
        <is>
          <t>Private</t>
        </is>
      </c>
      <c r="F57" s="11" t="n">
        <v>17716</v>
      </c>
      <c r="G57" s="11" t="n">
        <v>88665</v>
      </c>
      <c r="H57" s="9">
        <f>COUNTIF($G$5:$G$1531,"&gt;"&amp;G57)+1</f>
        <v/>
      </c>
      <c r="I57" s="9" t="inlineStr"/>
      <c r="J57" s="11">
        <f>IF(E57="Private",F57,"")</f>
        <v/>
      </c>
      <c r="K57" s="11">
        <f>IF(E57="Private",G57,"")</f>
        <v/>
      </c>
    </row>
    <row r="58">
      <c r="A58" s="9" t="n">
        <v>196866</v>
      </c>
      <c r="B58" s="9" t="inlineStr">
        <is>
          <t>Union College</t>
        </is>
      </c>
      <c r="C58" s="9" t="inlineStr">
        <is>
          <t>Schenectady</t>
        </is>
      </c>
      <c r="D58" s="9" t="inlineStr">
        <is>
          <t>NY</t>
        </is>
      </c>
      <c r="E58" s="9" t="inlineStr">
        <is>
          <t>Private</t>
        </is>
      </c>
      <c r="F58" s="11" t="n">
        <v>34561</v>
      </c>
      <c r="G58" s="11" t="n">
        <v>88604</v>
      </c>
      <c r="H58" s="9">
        <f>COUNTIF($G$5:$G$1531,"&gt;"&amp;G58)+1</f>
        <v/>
      </c>
      <c r="I58" s="9" t="inlineStr"/>
      <c r="J58" s="11">
        <f>IF(E58="Private",F58,"")</f>
        <v/>
      </c>
      <c r="K58" s="11">
        <f>IF(E58="Private",G58,"")</f>
        <v/>
      </c>
    </row>
    <row r="59">
      <c r="A59" s="9" t="n">
        <v>201645</v>
      </c>
      <c r="B59" s="9" t="inlineStr">
        <is>
          <t>Case Western Reserve University</t>
        </is>
      </c>
      <c r="C59" s="9" t="inlineStr">
        <is>
          <t>Cleveland</t>
        </is>
      </c>
      <c r="D59" s="9" t="inlineStr">
        <is>
          <t>OH</t>
        </is>
      </c>
      <c r="E59" s="9" t="inlineStr">
        <is>
          <t>Private</t>
        </is>
      </c>
      <c r="F59" s="11" t="n">
        <v>41190</v>
      </c>
      <c r="G59" s="11" t="n">
        <v>87989</v>
      </c>
      <c r="H59" s="9">
        <f>COUNTIF($G$5:$G$1531,"&gt;"&amp;G59)+1</f>
        <v/>
      </c>
      <c r="I59" s="9" t="inlineStr"/>
      <c r="J59" s="11">
        <f>IF(E59="Private",F59,"")</f>
        <v/>
      </c>
      <c r="K59" s="11">
        <f>IF(E59="Private",G59,"")</f>
        <v/>
      </c>
    </row>
    <row r="60">
      <c r="A60" s="9" t="n">
        <v>162928</v>
      </c>
      <c r="B60" s="9" t="inlineStr">
        <is>
          <t>Johns Hopkins University</t>
        </is>
      </c>
      <c r="C60" s="9" t="inlineStr">
        <is>
          <t>Baltimore</t>
        </is>
      </c>
      <c r="D60" s="9" t="inlineStr">
        <is>
          <t>MD</t>
        </is>
      </c>
      <c r="E60" s="9" t="inlineStr">
        <is>
          <t>Private</t>
        </is>
      </c>
      <c r="F60" s="11" t="n">
        <v>18809</v>
      </c>
      <c r="G60" s="11" t="n">
        <v>87555</v>
      </c>
      <c r="H60" s="9">
        <f>COUNTIF($G$5:$G$1531,"&gt;"&amp;G60)+1</f>
        <v/>
      </c>
      <c r="I60" s="9" t="inlineStr"/>
      <c r="J60" s="11">
        <f>IF(E60="Private",F60,"")</f>
        <v/>
      </c>
      <c r="K60" s="11">
        <f>IF(E60="Private",G60,"")</f>
        <v/>
      </c>
    </row>
    <row r="61">
      <c r="A61" s="9" t="n">
        <v>217402</v>
      </c>
      <c r="B61" s="9" t="inlineStr">
        <is>
          <t>Providence College</t>
        </is>
      </c>
      <c r="C61" s="9" t="inlineStr">
        <is>
          <t>Providence</t>
        </is>
      </c>
      <c r="D61" s="9" t="inlineStr">
        <is>
          <t>RI</t>
        </is>
      </c>
      <c r="E61" s="9" t="inlineStr">
        <is>
          <t>Private</t>
        </is>
      </c>
      <c r="F61" s="11" t="n">
        <v>48523</v>
      </c>
      <c r="G61" s="11" t="n">
        <v>87054</v>
      </c>
      <c r="H61" s="9">
        <f>COUNTIF($G$5:$G$1531,"&gt;"&amp;G61)+1</f>
        <v/>
      </c>
      <c r="I61" s="9" t="inlineStr"/>
      <c r="J61" s="11">
        <f>IF(E61="Private",F61,"")</f>
        <v/>
      </c>
      <c r="K61" s="11">
        <f>IF(E61="Private",G61,"")</f>
        <v/>
      </c>
    </row>
    <row r="62">
      <c r="A62" s="9" t="n">
        <v>215770</v>
      </c>
      <c r="B62" s="9" t="inlineStr">
        <is>
          <t>Saint Joseph's University - Philadelphia</t>
        </is>
      </c>
      <c r="C62" s="9" t="inlineStr">
        <is>
          <t>Philadelphia</t>
        </is>
      </c>
      <c r="D62" s="9" t="inlineStr">
        <is>
          <t>PA</t>
        </is>
      </c>
      <c r="E62" s="9" t="inlineStr">
        <is>
          <t>Private</t>
        </is>
      </c>
      <c r="F62" s="11" t="n">
        <v>29689</v>
      </c>
      <c r="G62" s="11" t="n">
        <v>86881</v>
      </c>
      <c r="H62" s="9">
        <f>COUNTIF($G$5:$G$1531,"&gt;"&amp;G62)+1</f>
        <v/>
      </c>
      <c r="I62" s="9" t="inlineStr"/>
      <c r="J62" s="11">
        <f>IF(E62="Private",F62,"")</f>
        <v/>
      </c>
      <c r="K62" s="11">
        <f>IF(E62="Private",G62,"")</f>
        <v/>
      </c>
    </row>
    <row r="63">
      <c r="A63" s="9" t="n">
        <v>234076</v>
      </c>
      <c r="B63" s="9" t="inlineStr">
        <is>
          <t>University of Virginia-Main Campus</t>
        </is>
      </c>
      <c r="C63" s="9" t="inlineStr">
        <is>
          <t>Charlottesville</t>
        </is>
      </c>
      <c r="D63" s="9" t="inlineStr">
        <is>
          <t>VA</t>
        </is>
      </c>
      <c r="E63" s="9" t="inlineStr">
        <is>
          <t>Public</t>
        </is>
      </c>
      <c r="F63" s="11" t="n">
        <v>21565</v>
      </c>
      <c r="G63" s="11" t="n">
        <v>86863</v>
      </c>
      <c r="H63" s="9">
        <f>COUNTIF($G$5:$G$1531,"&gt;"&amp;G63)+1</f>
        <v/>
      </c>
      <c r="I63" s="9" t="inlineStr"/>
      <c r="J63" s="11">
        <f>IF(E63="Private",F63,"")</f>
        <v/>
      </c>
      <c r="K63" s="11">
        <f>IF(E63="Private",G63,"")</f>
        <v/>
      </c>
    </row>
    <row r="64">
      <c r="A64" s="9" t="n">
        <v>122436</v>
      </c>
      <c r="B64" s="9" t="inlineStr">
        <is>
          <t>University of San Diego</t>
        </is>
      </c>
      <c r="C64" s="9" t="inlineStr">
        <is>
          <t>San Diego</t>
        </is>
      </c>
      <c r="D64" s="9" t="inlineStr">
        <is>
          <t>CA</t>
        </is>
      </c>
      <c r="E64" s="9" t="inlineStr">
        <is>
          <t>Private</t>
        </is>
      </c>
      <c r="F64" s="11" t="n">
        <v>30365</v>
      </c>
      <c r="G64" s="11" t="n">
        <v>86522</v>
      </c>
      <c r="H64" s="9">
        <f>COUNTIF($G$5:$G$1531,"&gt;"&amp;G64)+1</f>
        <v/>
      </c>
      <c r="I64" s="9" t="inlineStr"/>
      <c r="J64" s="11">
        <f>IF(E64="Private",F64,"")</f>
        <v/>
      </c>
      <c r="K64" s="11">
        <f>IF(E64="Private",G64,"")</f>
        <v/>
      </c>
    </row>
    <row r="65">
      <c r="A65" s="9" t="n">
        <v>192703</v>
      </c>
      <c r="B65" s="9" t="inlineStr">
        <is>
          <t>Manhattan University</t>
        </is>
      </c>
      <c r="C65" s="9" t="inlineStr">
        <is>
          <t>Riverdale</t>
        </is>
      </c>
      <c r="D65" s="9" t="inlineStr">
        <is>
          <t>NY</t>
        </is>
      </c>
      <c r="E65" s="9" t="inlineStr">
        <is>
          <t>Private</t>
        </is>
      </c>
      <c r="F65" s="11" t="n">
        <v>27256</v>
      </c>
      <c r="G65" s="11" t="n">
        <v>86316</v>
      </c>
      <c r="H65" s="9">
        <f>COUNTIF($G$5:$G$1531,"&gt;"&amp;G65)+1</f>
        <v/>
      </c>
      <c r="I65" s="9" t="inlineStr"/>
      <c r="J65" s="11">
        <f>IF(E65="Private",F65,"")</f>
        <v/>
      </c>
      <c r="K65" s="11">
        <f>IF(E65="Private",G65,"")</f>
        <v/>
      </c>
    </row>
    <row r="66">
      <c r="A66" s="9" t="n">
        <v>179867</v>
      </c>
      <c r="B66" s="9" t="inlineStr">
        <is>
          <t>Washington University in St Louis</t>
        </is>
      </c>
      <c r="C66" s="9" t="inlineStr">
        <is>
          <t>St. Louis</t>
        </is>
      </c>
      <c r="D66" s="9" t="inlineStr">
        <is>
          <t>MO</t>
        </is>
      </c>
      <c r="E66" s="9" t="inlineStr">
        <is>
          <t>Private</t>
        </is>
      </c>
      <c r="F66" s="11" t="n">
        <v>21786</v>
      </c>
      <c r="G66" s="11" t="n">
        <v>86182</v>
      </c>
      <c r="H66" s="9">
        <f>COUNTIF($G$5:$G$1531,"&gt;"&amp;G66)+1</f>
        <v/>
      </c>
      <c r="I66" s="9" t="inlineStr"/>
      <c r="J66" s="11">
        <f>IF(E66="Private",F66,"")</f>
        <v/>
      </c>
      <c r="K66" s="11">
        <f>IF(E66="Private",G66,"")</f>
        <v/>
      </c>
    </row>
    <row r="67">
      <c r="A67" s="9" t="n">
        <v>191241</v>
      </c>
      <c r="B67" s="9" t="inlineStr">
        <is>
          <t>Fordham University</t>
        </is>
      </c>
      <c r="C67" s="9" t="inlineStr">
        <is>
          <t>Bronx</t>
        </is>
      </c>
      <c r="D67" s="9" t="inlineStr">
        <is>
          <t>NY</t>
        </is>
      </c>
      <c r="E67" s="9" t="inlineStr">
        <is>
          <t>Private</t>
        </is>
      </c>
      <c r="F67" s="11" t="n">
        <v>44338</v>
      </c>
      <c r="G67" s="11" t="n">
        <v>85569</v>
      </c>
      <c r="H67" s="9">
        <f>COUNTIF($G$5:$G$1531,"&gt;"&amp;G67)+1</f>
        <v/>
      </c>
      <c r="I67" s="9" t="inlineStr"/>
      <c r="J67" s="11">
        <f>IF(E67="Private",F67,"")</f>
        <v/>
      </c>
      <c r="K67" s="11">
        <f>IF(E67="Private",G67,"")</f>
        <v/>
      </c>
    </row>
    <row r="68">
      <c r="A68" s="9" t="n">
        <v>190099</v>
      </c>
      <c r="B68" s="9" t="inlineStr">
        <is>
          <t>Colgate University</t>
        </is>
      </c>
      <c r="C68" s="9" t="inlineStr">
        <is>
          <t>Hamilton</t>
        </is>
      </c>
      <c r="D68" s="9" t="inlineStr">
        <is>
          <t>NY</t>
        </is>
      </c>
      <c r="E68" s="9" t="inlineStr">
        <is>
          <t>Private</t>
        </is>
      </c>
      <c r="F68" s="11" t="n">
        <v>28786</v>
      </c>
      <c r="G68" s="11" t="n">
        <v>85139</v>
      </c>
      <c r="H68" s="9">
        <f>COUNTIF($G$5:$G$1531,"&gt;"&amp;G68)+1</f>
        <v/>
      </c>
      <c r="I68" s="9" t="inlineStr"/>
      <c r="J68" s="11">
        <f>IF(E68="Private",F68,"")</f>
        <v/>
      </c>
      <c r="K68" s="11">
        <f>IF(E68="Private",G68,"")</f>
        <v/>
      </c>
    </row>
    <row r="69">
      <c r="A69" s="9" t="n">
        <v>162061</v>
      </c>
      <c r="B69" s="9" t="inlineStr">
        <is>
          <t>Capitol Technology University</t>
        </is>
      </c>
      <c r="C69" s="9" t="inlineStr">
        <is>
          <t>Laurel</t>
        </is>
      </c>
      <c r="D69" s="9" t="inlineStr">
        <is>
          <t>MD</t>
        </is>
      </c>
      <c r="E69" s="9" t="inlineStr">
        <is>
          <t>Private</t>
        </is>
      </c>
      <c r="F69" s="11" t="n">
        <v>22102</v>
      </c>
      <c r="G69" s="11" t="n">
        <v>85035</v>
      </c>
      <c r="H69" s="9">
        <f>COUNTIF($G$5:$G$1531,"&gt;"&amp;G69)+1</f>
        <v/>
      </c>
      <c r="I69" s="9" t="inlineStr"/>
      <c r="J69" s="11">
        <f>IF(E69="Private",F69,"")</f>
        <v/>
      </c>
      <c r="K69" s="11">
        <f>IF(E69="Private",G69,"")</f>
        <v/>
      </c>
    </row>
    <row r="70">
      <c r="A70" s="9" t="n">
        <v>110680</v>
      </c>
      <c r="B70" s="9" t="inlineStr">
        <is>
          <t>University of California-San Diego</t>
        </is>
      </c>
      <c r="C70" s="9" t="inlineStr">
        <is>
          <t>La Jolla</t>
        </is>
      </c>
      <c r="D70" s="9" t="inlineStr">
        <is>
          <t>CA</t>
        </is>
      </c>
      <c r="E70" s="9" t="inlineStr">
        <is>
          <t>Public</t>
        </is>
      </c>
      <c r="F70" s="11" t="n">
        <v>12470</v>
      </c>
      <c r="G70" s="11" t="n">
        <v>84943</v>
      </c>
      <c r="H70" s="9">
        <f>COUNTIF($G$5:$G$1531,"&gt;"&amp;G70)+1</f>
        <v/>
      </c>
      <c r="I70" s="9" t="inlineStr"/>
      <c r="J70" s="11">
        <f>IF(E70="Private",F70,"")</f>
        <v/>
      </c>
      <c r="K70" s="11">
        <f>IF(E70="Private",G70,"")</f>
        <v/>
      </c>
    </row>
    <row r="71">
      <c r="A71" s="9" t="n">
        <v>168218</v>
      </c>
      <c r="B71" s="9" t="inlineStr">
        <is>
          <t>Wellesley College</t>
        </is>
      </c>
      <c r="C71" s="9" t="inlineStr">
        <is>
          <t>Wellesley</t>
        </is>
      </c>
      <c r="D71" s="9" t="inlineStr">
        <is>
          <t>MA</t>
        </is>
      </c>
      <c r="E71" s="9" t="inlineStr">
        <is>
          <t>Private</t>
        </is>
      </c>
      <c r="F71" s="11" t="n">
        <v>25496</v>
      </c>
      <c r="G71" s="11" t="n">
        <v>84803</v>
      </c>
      <c r="H71" s="9">
        <f>COUNTIF($G$5:$G$1531,"&gt;"&amp;G71)+1</f>
        <v/>
      </c>
      <c r="I71" s="9" t="inlineStr"/>
      <c r="J71" s="11">
        <f>IF(E71="Private",F71,"")</f>
        <v/>
      </c>
      <c r="K71" s="11">
        <f>IF(E71="Private",G71,"")</f>
        <v/>
      </c>
    </row>
    <row r="72">
      <c r="A72" s="9" t="n">
        <v>113698</v>
      </c>
      <c r="B72" s="9" t="inlineStr">
        <is>
          <t>Dominican University of California</t>
        </is>
      </c>
      <c r="C72" s="9" t="inlineStr">
        <is>
          <t>San Rafael</t>
        </is>
      </c>
      <c r="D72" s="9" t="inlineStr">
        <is>
          <t>CA</t>
        </is>
      </c>
      <c r="E72" s="9" t="inlineStr">
        <is>
          <t>Private</t>
        </is>
      </c>
      <c r="F72" s="11" t="n">
        <v>35333</v>
      </c>
      <c r="G72" s="11" t="n">
        <v>84713</v>
      </c>
      <c r="H72" s="9">
        <f>COUNTIF($G$5:$G$1531,"&gt;"&amp;G72)+1</f>
        <v/>
      </c>
      <c r="I72" s="9" t="inlineStr"/>
      <c r="J72" s="11">
        <f>IF(E72="Private",F72,"")</f>
        <v/>
      </c>
      <c r="K72" s="11">
        <f>IF(E72="Private",G72,"")</f>
        <v/>
      </c>
    </row>
    <row r="73">
      <c r="A73" s="9" t="n">
        <v>212054</v>
      </c>
      <c r="B73" s="9" t="inlineStr">
        <is>
          <t>Drexel University</t>
        </is>
      </c>
      <c r="C73" s="9" t="inlineStr">
        <is>
          <t>Philadelphia</t>
        </is>
      </c>
      <c r="D73" s="9" t="inlineStr">
        <is>
          <t>PA</t>
        </is>
      </c>
      <c r="E73" s="9" t="inlineStr">
        <is>
          <t>Private</t>
        </is>
      </c>
      <c r="F73" s="11" t="n">
        <v>38509</v>
      </c>
      <c r="G73" s="11" t="n">
        <v>84648</v>
      </c>
      <c r="H73" s="9">
        <f>COUNTIF($G$5:$G$1531,"&gt;"&amp;G73)+1</f>
        <v/>
      </c>
      <c r="I73" s="9" t="inlineStr"/>
      <c r="J73" s="11">
        <f>IF(E73="Private",F73,"")</f>
        <v/>
      </c>
      <c r="K73" s="11">
        <f>IF(E73="Private",G73,"")</f>
        <v/>
      </c>
    </row>
    <row r="74">
      <c r="A74" s="9" t="n">
        <v>185828</v>
      </c>
      <c r="B74" s="9" t="inlineStr">
        <is>
          <t>New Jersey Institute of Technology</t>
        </is>
      </c>
      <c r="C74" s="9" t="inlineStr">
        <is>
          <t>Newark</t>
        </is>
      </c>
      <c r="D74" s="9" t="inlineStr">
        <is>
          <t>NJ</t>
        </is>
      </c>
      <c r="E74" s="9" t="inlineStr">
        <is>
          <t>Public</t>
        </is>
      </c>
      <c r="F74" s="11" t="n">
        <v>16504</v>
      </c>
      <c r="G74" s="11" t="n">
        <v>84276</v>
      </c>
      <c r="H74" s="9">
        <f>COUNTIF($G$5:$G$1531,"&gt;"&amp;G74)+1</f>
        <v/>
      </c>
      <c r="I74" s="9" t="inlineStr"/>
      <c r="J74" s="11">
        <f>IF(E74="Private",F74,"")</f>
        <v/>
      </c>
      <c r="K74" s="11">
        <f>IF(E74="Private",G74,"")</f>
        <v/>
      </c>
    </row>
    <row r="75">
      <c r="A75" s="9" t="n">
        <v>104586</v>
      </c>
      <c r="B75" s="9" t="inlineStr">
        <is>
          <t>Embry-Riddle Aeronautical University-Prescott</t>
        </is>
      </c>
      <c r="C75" s="9" t="inlineStr">
        <is>
          <t>Prescott</t>
        </is>
      </c>
      <c r="D75" s="9" t="inlineStr">
        <is>
          <t>AZ</t>
        </is>
      </c>
      <c r="E75" s="9" t="inlineStr">
        <is>
          <t>Private</t>
        </is>
      </c>
      <c r="F75" s="11" t="n">
        <v>40287</v>
      </c>
      <c r="G75" s="11" t="n">
        <v>84131</v>
      </c>
      <c r="H75" s="9">
        <f>COUNTIF($G$5:$G$1531,"&gt;"&amp;G75)+1</f>
        <v/>
      </c>
      <c r="I75" s="9" t="inlineStr"/>
      <c r="J75" s="11">
        <f>IF(E75="Private",F75,"")</f>
        <v/>
      </c>
      <c r="K75" s="11">
        <f>IF(E75="Private",G75,"")</f>
        <v/>
      </c>
    </row>
    <row r="76">
      <c r="A76" s="9" t="n">
        <v>426314</v>
      </c>
      <c r="B76" s="9" t="inlineStr">
        <is>
          <t>Embry-Riddle Aeronautical University-Worldwide</t>
        </is>
      </c>
      <c r="C76" s="9" t="inlineStr">
        <is>
          <t>Daytona Beach</t>
        </is>
      </c>
      <c r="D76" s="9" t="inlineStr">
        <is>
          <t>FL</t>
        </is>
      </c>
      <c r="E76" s="9" t="inlineStr">
        <is>
          <t>Private</t>
        </is>
      </c>
      <c r="F76" s="11" t="n">
        <v>18725</v>
      </c>
      <c r="G76" s="11" t="n">
        <v>84131</v>
      </c>
      <c r="H76" s="9">
        <f>COUNTIF($G$5:$G$1531,"&gt;"&amp;G76)+1</f>
        <v/>
      </c>
      <c r="I76" s="9" t="inlineStr"/>
      <c r="J76" s="11">
        <f>IF(E76="Private",F76,"")</f>
        <v/>
      </c>
      <c r="K76" s="11">
        <f>IF(E76="Private",G76,"")</f>
        <v/>
      </c>
    </row>
    <row r="77">
      <c r="A77" s="9" t="n">
        <v>133553</v>
      </c>
      <c r="B77" s="9" t="inlineStr">
        <is>
          <t>Embry-Riddle Aeronautical University-Daytona Beach</t>
        </is>
      </c>
      <c r="C77" s="9" t="inlineStr">
        <is>
          <t>Daytona Beach</t>
        </is>
      </c>
      <c r="D77" s="9" t="inlineStr">
        <is>
          <t>FL</t>
        </is>
      </c>
      <c r="E77" s="9" t="inlineStr">
        <is>
          <t>Private</t>
        </is>
      </c>
      <c r="F77" s="11" t="n">
        <v>41272</v>
      </c>
      <c r="G77" s="11" t="n">
        <v>84131</v>
      </c>
      <c r="H77" s="9">
        <f>COUNTIF($G$5:$G$1531,"&gt;"&amp;G77)+1</f>
        <v/>
      </c>
      <c r="I77" s="9" t="inlineStr"/>
      <c r="J77" s="11">
        <f>IF(E77="Private",F77,"")</f>
        <v/>
      </c>
      <c r="K77" s="11">
        <f>IF(E77="Private",G77,"")</f>
        <v/>
      </c>
    </row>
    <row r="78">
      <c r="A78" s="9" t="n">
        <v>190372</v>
      </c>
      <c r="B78" s="9" t="inlineStr">
        <is>
          <t>The Cooper Union for the Advancement of Science and Art</t>
        </is>
      </c>
      <c r="C78" s="9" t="inlineStr">
        <is>
          <t>New York</t>
        </is>
      </c>
      <c r="D78" s="9" t="inlineStr">
        <is>
          <t>NY</t>
        </is>
      </c>
      <c r="E78" s="9" t="inlineStr">
        <is>
          <t>Private</t>
        </is>
      </c>
      <c r="F78" s="11" t="n">
        <v>13269</v>
      </c>
      <c r="G78" s="11" t="n">
        <v>83847</v>
      </c>
      <c r="H78" s="9">
        <f>COUNTIF($G$5:$G$1531,"&gt;"&amp;G78)+1</f>
        <v/>
      </c>
      <c r="I78" s="9" t="inlineStr"/>
      <c r="J78" s="11">
        <f>IF(E78="Private",F78,"")</f>
        <v/>
      </c>
      <c r="K78" s="11">
        <f>IF(E78="Private",G78,"")</f>
        <v/>
      </c>
    </row>
    <row r="79">
      <c r="A79" s="9" t="n">
        <v>130226</v>
      </c>
      <c r="B79" s="9" t="inlineStr">
        <is>
          <t>Quinnipiac University</t>
        </is>
      </c>
      <c r="C79" s="9" t="inlineStr">
        <is>
          <t>Hamden</t>
        </is>
      </c>
      <c r="D79" s="9" t="inlineStr">
        <is>
          <t>CT</t>
        </is>
      </c>
      <c r="E79" s="9" t="inlineStr">
        <is>
          <t>Private</t>
        </is>
      </c>
      <c r="F79" s="11" t="n">
        <v>40675</v>
      </c>
      <c r="G79" s="11" t="n">
        <v>83759</v>
      </c>
      <c r="H79" s="9">
        <f>COUNTIF($G$5:$G$1531,"&gt;"&amp;G79)+1</f>
        <v/>
      </c>
      <c r="I79" s="9" t="inlineStr"/>
      <c r="J79" s="11">
        <f>IF(E79="Private",F79,"")</f>
        <v/>
      </c>
      <c r="K79" s="11">
        <f>IF(E79="Private",G79,"")</f>
        <v/>
      </c>
    </row>
    <row r="80">
      <c r="A80" s="9" t="n">
        <v>170976</v>
      </c>
      <c r="B80" s="9" t="inlineStr">
        <is>
          <t>University of Michigan-Ann Arbor</t>
        </is>
      </c>
      <c r="C80" s="9" t="inlineStr">
        <is>
          <t>Ann Arbor</t>
        </is>
      </c>
      <c r="D80" s="9" t="inlineStr">
        <is>
          <t>MI</t>
        </is>
      </c>
      <c r="E80" s="9" t="inlineStr">
        <is>
          <t>Public</t>
        </is>
      </c>
      <c r="F80" s="11" t="n">
        <v>13138</v>
      </c>
      <c r="G80" s="11" t="n">
        <v>83648</v>
      </c>
      <c r="H80" s="9">
        <f>COUNTIF($G$5:$G$1531,"&gt;"&amp;G80)+1</f>
        <v/>
      </c>
      <c r="I80" s="9" t="inlineStr"/>
      <c r="J80" s="11">
        <f>IF(E80="Private",F80,"")</f>
        <v/>
      </c>
      <c r="K80" s="11">
        <f>IF(E80="Private",G80,"")</f>
        <v/>
      </c>
    </row>
    <row r="81">
      <c r="A81" s="3" t="n">
        <v>164988</v>
      </c>
      <c r="B81" s="3" t="inlineStr">
        <is>
          <t>Boston University</t>
        </is>
      </c>
      <c r="C81" s="3" t="inlineStr">
        <is>
          <t>Boston</t>
        </is>
      </c>
      <c r="D81" s="3" t="inlineStr">
        <is>
          <t>MA</t>
        </is>
      </c>
      <c r="E81" s="3" t="inlineStr">
        <is>
          <t>Private</t>
        </is>
      </c>
      <c r="F81" s="8" t="n">
        <v>24402</v>
      </c>
      <c r="G81" s="8" t="n">
        <v>83238</v>
      </c>
      <c r="H81" s="3">
        <f>COUNTIF($G$5:$G$1531,"&gt;"&amp;G81)+1</f>
        <v/>
      </c>
      <c r="I81" s="3" t="inlineStr">
        <is>
          <t>Boston University</t>
        </is>
      </c>
      <c r="J81" s="8">
        <f>IF(E81="Private",F81,"")</f>
        <v/>
      </c>
      <c r="K81" s="8">
        <f>IF(E81="Private",G81,"")</f>
        <v/>
      </c>
    </row>
    <row r="82">
      <c r="A82" s="9" t="n">
        <v>168148</v>
      </c>
      <c r="B82" s="9" t="inlineStr">
        <is>
          <t>Tufts University</t>
        </is>
      </c>
      <c r="C82" s="9" t="inlineStr">
        <is>
          <t>Medford</t>
        </is>
      </c>
      <c r="D82" s="9" t="inlineStr">
        <is>
          <t>MA</t>
        </is>
      </c>
      <c r="E82" s="9" t="inlineStr">
        <is>
          <t>Private</t>
        </is>
      </c>
      <c r="F82" s="11" t="n">
        <v>39998</v>
      </c>
      <c r="G82" s="11" t="n">
        <v>83214</v>
      </c>
      <c r="H82" s="9">
        <f>COUNTIF($G$5:$G$1531,"&gt;"&amp;G82)+1</f>
        <v/>
      </c>
      <c r="I82" s="9" t="inlineStr"/>
      <c r="J82" s="11">
        <f>IF(E82="Private",F82,"")</f>
        <v/>
      </c>
      <c r="K82" s="11">
        <f>IF(E82="Private",G82,"")</f>
        <v/>
      </c>
    </row>
    <row r="83">
      <c r="A83" s="9" t="n">
        <v>178411</v>
      </c>
      <c r="B83" s="9" t="inlineStr">
        <is>
          <t>Missouri University of Science and Technology</t>
        </is>
      </c>
      <c r="C83" s="9" t="inlineStr">
        <is>
          <t>Rolla</t>
        </is>
      </c>
      <c r="D83" s="9" t="inlineStr">
        <is>
          <t>MO</t>
        </is>
      </c>
      <c r="E83" s="9" t="inlineStr">
        <is>
          <t>Public</t>
        </is>
      </c>
      <c r="F83" s="11" t="n">
        <v>16298</v>
      </c>
      <c r="G83" s="11" t="n">
        <v>82957</v>
      </c>
      <c r="H83" s="9">
        <f>COUNTIF($G$5:$G$1531,"&gt;"&amp;G83)+1</f>
        <v/>
      </c>
      <c r="I83" s="9" t="inlineStr"/>
      <c r="J83" s="11">
        <f>IF(E83="Private",F83,"")</f>
        <v/>
      </c>
      <c r="K83" s="11">
        <f>IF(E83="Private",G83,"")</f>
        <v/>
      </c>
    </row>
    <row r="84">
      <c r="A84" s="9" t="n">
        <v>121150</v>
      </c>
      <c r="B84" s="9" t="inlineStr">
        <is>
          <t>Pepperdine University</t>
        </is>
      </c>
      <c r="C84" s="9" t="inlineStr">
        <is>
          <t>Malibu</t>
        </is>
      </c>
      <c r="D84" s="9" t="inlineStr">
        <is>
          <t>CA</t>
        </is>
      </c>
      <c r="E84" s="9" t="inlineStr">
        <is>
          <t>Private</t>
        </is>
      </c>
      <c r="F84" s="11" t="n">
        <v>58098</v>
      </c>
      <c r="G84" s="11" t="n">
        <v>82939</v>
      </c>
      <c r="H84" s="9">
        <f>COUNTIF($G$5:$G$1531,"&gt;"&amp;G84)+1</f>
        <v/>
      </c>
      <c r="I84" s="9" t="inlineStr"/>
      <c r="J84" s="11">
        <f>IF(E84="Private",F84,"")</f>
        <v/>
      </c>
      <c r="K84" s="11">
        <f>IF(E84="Private",G84,"")</f>
        <v/>
      </c>
    </row>
    <row r="85">
      <c r="A85" s="9" t="n">
        <v>163286</v>
      </c>
      <c r="B85" s="9" t="inlineStr">
        <is>
          <t>University of Maryland-College Park</t>
        </is>
      </c>
      <c r="C85" s="9" t="inlineStr">
        <is>
          <t>College Park</t>
        </is>
      </c>
      <c r="D85" s="9" t="inlineStr">
        <is>
          <t>MD</t>
        </is>
      </c>
      <c r="E85" s="9" t="inlineStr">
        <is>
          <t>Public</t>
        </is>
      </c>
      <c r="F85" s="11" t="n">
        <v>15678</v>
      </c>
      <c r="G85" s="11" t="n">
        <v>82860</v>
      </c>
      <c r="H85" s="9">
        <f>COUNTIF($G$5:$G$1531,"&gt;"&amp;G85)+1</f>
        <v/>
      </c>
      <c r="I85" s="9" t="inlineStr"/>
      <c r="J85" s="11">
        <f>IF(E85="Private",F85,"")</f>
        <v/>
      </c>
      <c r="K85" s="11">
        <f>IF(E85="Private",G85,"")</f>
        <v/>
      </c>
    </row>
    <row r="86">
      <c r="A86" s="9" t="n">
        <v>209825</v>
      </c>
      <c r="B86" s="9" t="inlineStr">
        <is>
          <t>University of Portland</t>
        </is>
      </c>
      <c r="C86" s="9" t="inlineStr">
        <is>
          <t>Portland</t>
        </is>
      </c>
      <c r="D86" s="9" t="inlineStr">
        <is>
          <t>OR</t>
        </is>
      </c>
      <c r="E86" s="9" t="inlineStr">
        <is>
          <t>Private</t>
        </is>
      </c>
      <c r="F86" s="11" t="n">
        <v>28210</v>
      </c>
      <c r="G86" s="11" t="n">
        <v>82804</v>
      </c>
      <c r="H86" s="9">
        <f>COUNTIF($G$5:$G$1531,"&gt;"&amp;G86)+1</f>
        <v/>
      </c>
      <c r="I86" s="9" t="inlineStr"/>
      <c r="J86" s="11">
        <f>IF(E86="Private",F86,"")</f>
        <v/>
      </c>
      <c r="K86" s="11">
        <f>IF(E86="Private",G86,"")</f>
        <v/>
      </c>
    </row>
    <row r="87">
      <c r="A87" s="9" t="n">
        <v>161004</v>
      </c>
      <c r="B87" s="9" t="inlineStr">
        <is>
          <t>Bowdoin College</t>
        </is>
      </c>
      <c r="C87" s="9" t="inlineStr">
        <is>
          <t>Brunswick</t>
        </is>
      </c>
      <c r="D87" s="9" t="inlineStr">
        <is>
          <t>ME</t>
        </is>
      </c>
      <c r="E87" s="9" t="inlineStr">
        <is>
          <t>Private</t>
        </is>
      </c>
      <c r="F87" s="11" t="n">
        <v>14398</v>
      </c>
      <c r="G87" s="11" t="n">
        <v>82735</v>
      </c>
      <c r="H87" s="9">
        <f>COUNTIF($G$5:$G$1531,"&gt;"&amp;G87)+1</f>
        <v/>
      </c>
      <c r="I87" s="9" t="inlineStr"/>
      <c r="J87" s="11">
        <f>IF(E87="Private",F87,"")</f>
        <v/>
      </c>
      <c r="K87" s="11">
        <f>IF(E87="Private",G87,"")</f>
        <v/>
      </c>
    </row>
    <row r="88">
      <c r="A88" s="9" t="n">
        <v>168227</v>
      </c>
      <c r="B88" s="9" t="inlineStr">
        <is>
          <t>Wentworth Institute of Technology</t>
        </is>
      </c>
      <c r="C88" s="9" t="inlineStr">
        <is>
          <t>Boston</t>
        </is>
      </c>
      <c r="D88" s="9" t="inlineStr">
        <is>
          <t>MA</t>
        </is>
      </c>
      <c r="E88" s="9" t="inlineStr">
        <is>
          <t>Private</t>
        </is>
      </c>
      <c r="F88" s="11" t="n">
        <v>34170</v>
      </c>
      <c r="G88" s="11" t="n">
        <v>82721</v>
      </c>
      <c r="H88" s="9">
        <f>COUNTIF($G$5:$G$1531,"&gt;"&amp;G88)+1</f>
        <v/>
      </c>
      <c r="I88" s="9" t="inlineStr"/>
      <c r="J88" s="11">
        <f>IF(E88="Private",F88,"")</f>
        <v/>
      </c>
      <c r="K88" s="11">
        <f>IF(E88="Private",G88,"")</f>
        <v/>
      </c>
    </row>
    <row r="89">
      <c r="A89" s="9" t="n">
        <v>163046</v>
      </c>
      <c r="B89" s="9" t="inlineStr">
        <is>
          <t>Loyola University Maryland</t>
        </is>
      </c>
      <c r="C89" s="9" t="inlineStr">
        <is>
          <t>Baltimore</t>
        </is>
      </c>
      <c r="D89" s="9" t="inlineStr">
        <is>
          <t>MD</t>
        </is>
      </c>
      <c r="E89" s="9" t="inlineStr">
        <is>
          <t>Private</t>
        </is>
      </c>
      <c r="F89" s="11" t="n">
        <v>30574</v>
      </c>
      <c r="G89" s="11" t="n">
        <v>82652</v>
      </c>
      <c r="H89" s="9">
        <f>COUNTIF($G$5:$G$1531,"&gt;"&amp;G89)+1</f>
        <v/>
      </c>
      <c r="I89" s="9" t="inlineStr"/>
      <c r="J89" s="11">
        <f>IF(E89="Private",F89,"")</f>
        <v/>
      </c>
      <c r="K89" s="11">
        <f>IF(E89="Private",G89,"")</f>
        <v/>
      </c>
    </row>
    <row r="90">
      <c r="A90" s="9" t="n">
        <v>145725</v>
      </c>
      <c r="B90" s="9" t="inlineStr">
        <is>
          <t>Illinois Institute of Technology</t>
        </is>
      </c>
      <c r="C90" s="9" t="inlineStr">
        <is>
          <t>Chicago</t>
        </is>
      </c>
      <c r="D90" s="9" t="inlineStr">
        <is>
          <t>IL</t>
        </is>
      </c>
      <c r="E90" s="9" t="inlineStr">
        <is>
          <t>Private</t>
        </is>
      </c>
      <c r="F90" s="11" t="n">
        <v>18425</v>
      </c>
      <c r="G90" s="11" t="n">
        <v>82592</v>
      </c>
      <c r="H90" s="9">
        <f>COUNTIF($G$5:$G$1531,"&gt;"&amp;G90)+1</f>
        <v/>
      </c>
      <c r="I90" s="9" t="inlineStr"/>
      <c r="J90" s="11">
        <f>IF(E90="Private",F90,"")</f>
        <v/>
      </c>
      <c r="K90" s="11">
        <f>IF(E90="Private",G90,"")</f>
        <v/>
      </c>
    </row>
    <row r="91">
      <c r="A91" s="9" t="n">
        <v>110662</v>
      </c>
      <c r="B91" s="9" t="inlineStr">
        <is>
          <t>University of California-Los Angeles</t>
        </is>
      </c>
      <c r="C91" s="9" t="inlineStr">
        <is>
          <t>Los Angeles</t>
        </is>
      </c>
      <c r="D91" s="9" t="inlineStr">
        <is>
          <t>CA</t>
        </is>
      </c>
      <c r="E91" s="9" t="inlineStr">
        <is>
          <t>Public</t>
        </is>
      </c>
      <c r="F91" s="11" t="n">
        <v>12548</v>
      </c>
      <c r="G91" s="11" t="n">
        <v>82511</v>
      </c>
      <c r="H91" s="9">
        <f>COUNTIF($G$5:$G$1531,"&gt;"&amp;G91)+1</f>
        <v/>
      </c>
      <c r="I91" s="9" t="inlineStr"/>
      <c r="J91" s="11">
        <f>IF(E91="Private",F91,"")</f>
        <v/>
      </c>
      <c r="K91" s="11">
        <f>IF(E91="Private",G91,"")</f>
        <v/>
      </c>
    </row>
    <row r="92">
      <c r="A92" s="9" t="n">
        <v>193900</v>
      </c>
      <c r="B92" s="9" t="inlineStr">
        <is>
          <t>New York University</t>
        </is>
      </c>
      <c r="C92" s="9" t="inlineStr">
        <is>
          <t>New York</t>
        </is>
      </c>
      <c r="D92" s="9" t="inlineStr">
        <is>
          <t>NY</t>
        </is>
      </c>
      <c r="E92" s="9" t="inlineStr">
        <is>
          <t>Private</t>
        </is>
      </c>
      <c r="F92" s="11" t="n">
        <v>37050</v>
      </c>
      <c r="G92" s="11" t="n">
        <v>82509</v>
      </c>
      <c r="H92" s="9">
        <f>COUNTIF($G$5:$G$1531,"&gt;"&amp;G92)+1</f>
        <v/>
      </c>
      <c r="I92" s="9" t="inlineStr"/>
      <c r="J92" s="11">
        <f>IF(E92="Private",F92,"")</f>
        <v/>
      </c>
      <c r="K92" s="11">
        <f>IF(E92="Private",G92,"")</f>
        <v/>
      </c>
    </row>
    <row r="93">
      <c r="A93" s="9" t="n">
        <v>166692</v>
      </c>
      <c r="B93" s="9" t="inlineStr">
        <is>
          <t>Massachusetts Maritime Academy</t>
        </is>
      </c>
      <c r="C93" s="9" t="inlineStr">
        <is>
          <t>Buzzards Bay</t>
        </is>
      </c>
      <c r="D93" s="9" t="inlineStr">
        <is>
          <t>MA</t>
        </is>
      </c>
      <c r="E93" s="9" t="inlineStr">
        <is>
          <t>Public</t>
        </is>
      </c>
      <c r="F93" s="11" t="n">
        <v>21582</v>
      </c>
      <c r="G93" s="11" t="n">
        <v>82392</v>
      </c>
      <c r="H93" s="9">
        <f>COUNTIF($G$5:$G$1531,"&gt;"&amp;G93)+1</f>
        <v/>
      </c>
      <c r="I93" s="9" t="inlineStr"/>
      <c r="J93" s="11">
        <f>IF(E93="Private",F93,"")</f>
        <v/>
      </c>
      <c r="K93" s="11">
        <f>IF(E93="Private",G93,"")</f>
        <v/>
      </c>
    </row>
    <row r="94">
      <c r="A94" s="9" t="n">
        <v>233921</v>
      </c>
      <c r="B94" s="9" t="inlineStr">
        <is>
          <t>Virginia Polytechnic Institute and State University</t>
        </is>
      </c>
      <c r="C94" s="9" t="inlineStr">
        <is>
          <t>Blacksburg</t>
        </is>
      </c>
      <c r="D94" s="9" t="inlineStr">
        <is>
          <t>VA</t>
        </is>
      </c>
      <c r="E94" s="9" t="inlineStr">
        <is>
          <t>Public</t>
        </is>
      </c>
      <c r="F94" s="11" t="n">
        <v>24953</v>
      </c>
      <c r="G94" s="11" t="n">
        <v>81698</v>
      </c>
      <c r="H94" s="9">
        <f>COUNTIF($G$5:$G$1531,"&gt;"&amp;G94)+1</f>
        <v/>
      </c>
      <c r="I94" s="9" t="inlineStr"/>
      <c r="J94" s="11">
        <f>IF(E94="Private",F94,"")</f>
        <v/>
      </c>
      <c r="K94" s="11">
        <f>IF(E94="Private",G94,"")</f>
        <v/>
      </c>
    </row>
    <row r="95">
      <c r="A95" s="9" t="n">
        <v>198385</v>
      </c>
      <c r="B95" s="9" t="inlineStr">
        <is>
          <t>Davidson College</t>
        </is>
      </c>
      <c r="C95" s="9" t="inlineStr">
        <is>
          <t>Davidson</t>
        </is>
      </c>
      <c r="D95" s="9" t="inlineStr">
        <is>
          <t>NC</t>
        </is>
      </c>
      <c r="E95" s="9" t="inlineStr">
        <is>
          <t>Private</t>
        </is>
      </c>
      <c r="F95" s="11" t="n">
        <v>17379</v>
      </c>
      <c r="G95" s="11" t="n">
        <v>81400</v>
      </c>
      <c r="H95" s="9">
        <f>COUNTIF($G$5:$G$1531,"&gt;"&amp;G95)+1</f>
        <v/>
      </c>
      <c r="I95" s="9" t="inlineStr"/>
      <c r="J95" s="11">
        <f>IF(E95="Private",F95,"")</f>
        <v/>
      </c>
      <c r="K95" s="11">
        <f>IF(E95="Private",G95,"")</f>
        <v/>
      </c>
    </row>
    <row r="96">
      <c r="A96" s="9" t="n">
        <v>145637</v>
      </c>
      <c r="B96" s="9" t="inlineStr">
        <is>
          <t>University of Illinois Urbana-Champaign</t>
        </is>
      </c>
      <c r="C96" s="9" t="inlineStr">
        <is>
          <t>Champaign</t>
        </is>
      </c>
      <c r="D96" s="9" t="inlineStr">
        <is>
          <t>IL</t>
        </is>
      </c>
      <c r="E96" s="9" t="inlineStr">
        <is>
          <t>Public</t>
        </is>
      </c>
      <c r="F96" s="11" t="n">
        <v>14355</v>
      </c>
      <c r="G96" s="11" t="n">
        <v>81054</v>
      </c>
      <c r="H96" s="9">
        <f>COUNTIF($G$5:$G$1531,"&gt;"&amp;G96)+1</f>
        <v/>
      </c>
      <c r="I96" s="9" t="inlineStr"/>
      <c r="J96" s="11">
        <f>IF(E96="Private",F96,"")</f>
        <v/>
      </c>
      <c r="K96" s="11">
        <f>IF(E96="Private",G96,"")</f>
        <v/>
      </c>
    </row>
    <row r="97">
      <c r="A97" s="9" t="n">
        <v>204635</v>
      </c>
      <c r="B97" s="9" t="inlineStr">
        <is>
          <t>Ohio Northern University</t>
        </is>
      </c>
      <c r="C97" s="9" t="inlineStr">
        <is>
          <t>Ada</t>
        </is>
      </c>
      <c r="D97" s="9" t="inlineStr">
        <is>
          <t>OH</t>
        </is>
      </c>
      <c r="E97" s="9" t="inlineStr">
        <is>
          <t>Private</t>
        </is>
      </c>
      <c r="F97" s="11" t="n">
        <v>24478</v>
      </c>
      <c r="G97" s="11" t="n">
        <v>80928</v>
      </c>
      <c r="H97" s="9">
        <f>COUNTIF($G$5:$G$1531,"&gt;"&amp;G97)+1</f>
        <v/>
      </c>
      <c r="I97" s="9" t="inlineStr"/>
      <c r="J97" s="11">
        <f>IF(E97="Private",F97,"")</f>
        <v/>
      </c>
      <c r="K97" s="11">
        <f>IF(E97="Private",G97,"")</f>
        <v/>
      </c>
    </row>
    <row r="98">
      <c r="A98" s="9" t="n">
        <v>110644</v>
      </c>
      <c r="B98" s="9" t="inlineStr">
        <is>
          <t>University of California-Davis</t>
        </is>
      </c>
      <c r="C98" s="9" t="inlineStr">
        <is>
          <t>Davis</t>
        </is>
      </c>
      <c r="D98" s="9" t="inlineStr">
        <is>
          <t>CA</t>
        </is>
      </c>
      <c r="E98" s="9" t="inlineStr">
        <is>
          <t>Public</t>
        </is>
      </c>
      <c r="F98" s="11" t="n">
        <v>14741</v>
      </c>
      <c r="G98" s="11" t="n">
        <v>80838</v>
      </c>
      <c r="H98" s="9">
        <f>COUNTIF($G$5:$G$1531,"&gt;"&amp;G98)+1</f>
        <v/>
      </c>
      <c r="I98" s="9" t="inlineStr"/>
      <c r="J98" s="11">
        <f>IF(E98="Private",F98,"")</f>
        <v/>
      </c>
      <c r="K98" s="11">
        <f>IF(E98="Private",G98,"")</f>
        <v/>
      </c>
    </row>
    <row r="99">
      <c r="A99" s="9" t="n">
        <v>110653</v>
      </c>
      <c r="B99" s="9" t="inlineStr">
        <is>
          <t>University of California-Irvine</t>
        </is>
      </c>
      <c r="C99" s="9" t="inlineStr">
        <is>
          <t>Irvine</t>
        </is>
      </c>
      <c r="D99" s="9" t="inlineStr">
        <is>
          <t>CA</t>
        </is>
      </c>
      <c r="E99" s="9" t="inlineStr">
        <is>
          <t>Public</t>
        </is>
      </c>
      <c r="F99" s="11" t="n">
        <v>14251</v>
      </c>
      <c r="G99" s="11" t="n">
        <v>80735</v>
      </c>
      <c r="H99" s="9">
        <f>COUNTIF($G$5:$G$1531,"&gt;"&amp;G99)+1</f>
        <v/>
      </c>
      <c r="I99" s="9" t="inlineStr"/>
      <c r="J99" s="11">
        <f>IF(E99="Private",F99,"")</f>
        <v/>
      </c>
      <c r="K99" s="11">
        <f>IF(E99="Private",G99,"")</f>
        <v/>
      </c>
    </row>
    <row r="100">
      <c r="A100" s="9" t="n">
        <v>196079</v>
      </c>
      <c r="B100" s="9" t="inlineStr">
        <is>
          <t>Binghamton University</t>
        </is>
      </c>
      <c r="C100" s="9" t="inlineStr">
        <is>
          <t>Vestal</t>
        </is>
      </c>
      <c r="D100" s="9" t="inlineStr">
        <is>
          <t>NY</t>
        </is>
      </c>
      <c r="E100" s="9" t="inlineStr">
        <is>
          <t>Public</t>
        </is>
      </c>
      <c r="F100" s="11" t="n">
        <v>21620</v>
      </c>
      <c r="G100" s="11" t="n">
        <v>80596</v>
      </c>
      <c r="H100" s="9">
        <f>COUNTIF($G$5:$G$1531,"&gt;"&amp;G100)+1</f>
        <v/>
      </c>
      <c r="I100" s="9" t="inlineStr"/>
      <c r="J100" s="11">
        <f>IF(E100="Private",F100,"")</f>
        <v/>
      </c>
      <c r="K100" s="11">
        <f>IF(E100="Private",G100,"")</f>
        <v/>
      </c>
    </row>
    <row r="101">
      <c r="A101" s="9" t="n">
        <v>189097</v>
      </c>
      <c r="B101" s="9" t="inlineStr">
        <is>
          <t>Barnard College</t>
        </is>
      </c>
      <c r="C101" s="9" t="inlineStr">
        <is>
          <t>New York</t>
        </is>
      </c>
      <c r="D101" s="9" t="inlineStr">
        <is>
          <t>NY</t>
        </is>
      </c>
      <c r="E101" s="9" t="inlineStr">
        <is>
          <t>Private</t>
        </is>
      </c>
      <c r="F101" s="11" t="n">
        <v>28800</v>
      </c>
      <c r="G101" s="11" t="n">
        <v>80516</v>
      </c>
      <c r="H101" s="9">
        <f>COUNTIF($G$5:$G$1531,"&gt;"&amp;G101)+1</f>
        <v/>
      </c>
      <c r="I101" s="9" t="inlineStr"/>
      <c r="J101" s="11">
        <f>IF(E101="Private",F101,"")</f>
        <v/>
      </c>
      <c r="K101" s="11">
        <f>IF(E101="Private",G101,"")</f>
        <v/>
      </c>
    </row>
    <row r="102">
      <c r="A102" s="9" t="n">
        <v>161086</v>
      </c>
      <c r="B102" s="9" t="inlineStr">
        <is>
          <t>Colby College</t>
        </is>
      </c>
      <c r="C102" s="9" t="inlineStr">
        <is>
          <t>Waterville</t>
        </is>
      </c>
      <c r="D102" s="9" t="inlineStr">
        <is>
          <t>ME</t>
        </is>
      </c>
      <c r="E102" s="9" t="inlineStr">
        <is>
          <t>Private</t>
        </is>
      </c>
      <c r="F102" s="11" t="n">
        <v>17180</v>
      </c>
      <c r="G102" s="11" t="n">
        <v>80490</v>
      </c>
      <c r="H102" s="9">
        <f>COUNTIF($G$5:$G$1531,"&gt;"&amp;G102)+1</f>
        <v/>
      </c>
      <c r="I102" s="9" t="inlineStr"/>
      <c r="J102" s="11">
        <f>IF(E102="Private",F102,"")</f>
        <v/>
      </c>
      <c r="K102" s="11">
        <f>IF(E102="Private",G102,"")</f>
        <v/>
      </c>
    </row>
    <row r="103">
      <c r="A103" s="9" t="n">
        <v>216287</v>
      </c>
      <c r="B103" s="9" t="inlineStr">
        <is>
          <t>Swarthmore College</t>
        </is>
      </c>
      <c r="C103" s="9" t="inlineStr">
        <is>
          <t>Swarthmore</t>
        </is>
      </c>
      <c r="D103" s="9" t="inlineStr">
        <is>
          <t>PA</t>
        </is>
      </c>
      <c r="E103" s="9" t="inlineStr">
        <is>
          <t>Private</t>
        </is>
      </c>
      <c r="F103" s="11" t="n">
        <v>23149</v>
      </c>
      <c r="G103" s="11" t="n">
        <v>80257</v>
      </c>
      <c r="H103" s="9">
        <f>COUNTIF($G$5:$G$1531,"&gt;"&amp;G103)+1</f>
        <v/>
      </c>
      <c r="I103" s="9" t="inlineStr"/>
      <c r="J103" s="11">
        <f>IF(E103="Private",F103,"")</f>
        <v/>
      </c>
      <c r="K103" s="11">
        <f>IF(E103="Private",G103,"")</f>
        <v/>
      </c>
    </row>
    <row r="104">
      <c r="A104" s="9" t="n">
        <v>139658</v>
      </c>
      <c r="B104" s="9" t="inlineStr">
        <is>
          <t>Emory University</t>
        </is>
      </c>
      <c r="C104" s="9" t="inlineStr">
        <is>
          <t>Atlanta</t>
        </is>
      </c>
      <c r="D104" s="9" t="inlineStr">
        <is>
          <t>GA</t>
        </is>
      </c>
      <c r="E104" s="9" t="inlineStr">
        <is>
          <t>Private</t>
        </is>
      </c>
      <c r="F104" s="11" t="n">
        <v>22585</v>
      </c>
      <c r="G104" s="11" t="n">
        <v>80137</v>
      </c>
      <c r="H104" s="9">
        <f>COUNTIF($G$5:$G$1531,"&gt;"&amp;G104)+1</f>
        <v/>
      </c>
      <c r="I104" s="9" t="inlineStr"/>
      <c r="J104" s="11">
        <f>IF(E104="Private",F104,"")</f>
        <v/>
      </c>
      <c r="K104" s="11">
        <f>IF(E104="Private",G104,"")</f>
        <v/>
      </c>
    </row>
    <row r="105">
      <c r="A105" s="9" t="n">
        <v>212911</v>
      </c>
      <c r="B105" s="9" t="inlineStr">
        <is>
          <t>Haverford College</t>
        </is>
      </c>
      <c r="C105" s="9" t="inlineStr">
        <is>
          <t>Haverford</t>
        </is>
      </c>
      <c r="D105" s="9" t="inlineStr">
        <is>
          <t>PA</t>
        </is>
      </c>
      <c r="E105" s="9" t="inlineStr">
        <is>
          <t>Private</t>
        </is>
      </c>
      <c r="F105" s="11" t="n">
        <v>25314</v>
      </c>
      <c r="G105" s="11" t="n">
        <v>79966</v>
      </c>
      <c r="H105" s="9">
        <f>COUNTIF($G$5:$G$1531,"&gt;"&amp;G105)+1</f>
        <v/>
      </c>
      <c r="I105" s="9" t="inlineStr"/>
      <c r="J105" s="11">
        <f>IF(E105="Private",F105,"")</f>
        <v/>
      </c>
      <c r="K105" s="11">
        <f>IF(E105="Private",G105,"")</f>
        <v/>
      </c>
    </row>
    <row r="106">
      <c r="A106" s="9" t="n">
        <v>196413</v>
      </c>
      <c r="B106" s="9" t="inlineStr">
        <is>
          <t>Syracuse University</t>
        </is>
      </c>
      <c r="C106" s="9" t="inlineStr">
        <is>
          <t>Syracuse</t>
        </is>
      </c>
      <c r="D106" s="9" t="inlineStr">
        <is>
          <t>NY</t>
        </is>
      </c>
      <c r="E106" s="9" t="inlineStr">
        <is>
          <t>Private</t>
        </is>
      </c>
      <c r="F106" s="11" t="n">
        <v>38793</v>
      </c>
      <c r="G106" s="11" t="n">
        <v>79164</v>
      </c>
      <c r="H106" s="9">
        <f>COUNTIF($G$5:$G$1531,"&gt;"&amp;G106)+1</f>
        <v/>
      </c>
      <c r="I106" s="9" t="inlineStr"/>
      <c r="J106" s="11">
        <f>IF(E106="Private",F106,"")</f>
        <v/>
      </c>
      <c r="K106" s="11">
        <f>IF(E106="Private",G106,"")</f>
        <v/>
      </c>
    </row>
    <row r="107">
      <c r="A107" s="9" t="n">
        <v>195030</v>
      </c>
      <c r="B107" s="9" t="inlineStr">
        <is>
          <t>University of Rochester</t>
        </is>
      </c>
      <c r="C107" s="9" t="inlineStr">
        <is>
          <t>Rochester</t>
        </is>
      </c>
      <c r="D107" s="9" t="inlineStr">
        <is>
          <t>NY</t>
        </is>
      </c>
      <c r="E107" s="9" t="inlineStr">
        <is>
          <t>Private</t>
        </is>
      </c>
      <c r="F107" s="11" t="n">
        <v>29278</v>
      </c>
      <c r="G107" s="11" t="n">
        <v>79042</v>
      </c>
      <c r="H107" s="9">
        <f>COUNTIF($G$5:$G$1531,"&gt;"&amp;G107)+1</f>
        <v/>
      </c>
      <c r="I107" s="9" t="inlineStr"/>
      <c r="J107" s="11">
        <f>IF(E107="Private",F107,"")</f>
        <v/>
      </c>
      <c r="K107" s="11">
        <f>IF(E107="Private",G107,"")</f>
        <v/>
      </c>
    </row>
    <row r="108">
      <c r="A108" s="9" t="n">
        <v>122755</v>
      </c>
      <c r="B108" s="9" t="inlineStr">
        <is>
          <t>San Jose State University</t>
        </is>
      </c>
      <c r="C108" s="9" t="inlineStr">
        <is>
          <t>San Jose</t>
        </is>
      </c>
      <c r="D108" s="9" t="inlineStr">
        <is>
          <t>CA</t>
        </is>
      </c>
      <c r="E108" s="9" t="inlineStr">
        <is>
          <t>Public</t>
        </is>
      </c>
      <c r="F108" s="11" t="n">
        <v>13760</v>
      </c>
      <c r="G108" s="11" t="n">
        <v>78988</v>
      </c>
      <c r="H108" s="9">
        <f>COUNTIF($G$5:$G$1531,"&gt;"&amp;G108)+1</f>
        <v/>
      </c>
      <c r="I108" s="9" t="inlineStr"/>
      <c r="J108" s="11">
        <f>IF(E108="Private",F108,"")</f>
        <v/>
      </c>
      <c r="K108" s="11">
        <f>IF(E108="Private",G108,"")</f>
        <v/>
      </c>
    </row>
    <row r="109">
      <c r="A109" s="9" t="n">
        <v>235316</v>
      </c>
      <c r="B109" s="9" t="inlineStr">
        <is>
          <t>Gonzaga University</t>
        </is>
      </c>
      <c r="C109" s="9" t="inlineStr">
        <is>
          <t>Spokane</t>
        </is>
      </c>
      <c r="D109" s="9" t="inlineStr">
        <is>
          <t>WA</t>
        </is>
      </c>
      <c r="E109" s="9" t="inlineStr">
        <is>
          <t>Private</t>
        </is>
      </c>
      <c r="F109" s="11" t="n">
        <v>35119</v>
      </c>
      <c r="G109" s="11" t="n">
        <v>78892</v>
      </c>
      <c r="H109" s="9">
        <f>COUNTIF($G$5:$G$1531,"&gt;"&amp;G109)+1</f>
        <v/>
      </c>
      <c r="I109" s="9" t="inlineStr"/>
      <c r="J109" s="11">
        <f>IF(E109="Private",F109,"")</f>
        <v/>
      </c>
      <c r="K109" s="11">
        <f>IF(E109="Private",G109,"")</f>
        <v/>
      </c>
    </row>
    <row r="110">
      <c r="A110" s="9" t="n">
        <v>123554</v>
      </c>
      <c r="B110" s="9" t="inlineStr">
        <is>
          <t>Saint Mary's College of California</t>
        </is>
      </c>
      <c r="C110" s="9" t="inlineStr">
        <is>
          <t>Moraga</t>
        </is>
      </c>
      <c r="D110" s="9" t="inlineStr">
        <is>
          <t>CA</t>
        </is>
      </c>
      <c r="E110" s="9" t="inlineStr">
        <is>
          <t>Private</t>
        </is>
      </c>
      <c r="F110" s="11" t="n">
        <v>30378</v>
      </c>
      <c r="G110" s="11" t="n">
        <v>78812</v>
      </c>
      <c r="H110" s="9">
        <f>COUNTIF($G$5:$G$1531,"&gt;"&amp;G110)+1</f>
        <v/>
      </c>
      <c r="I110" s="9" t="inlineStr"/>
      <c r="J110" s="11">
        <f>IF(E110="Private",F110,"")</f>
        <v/>
      </c>
      <c r="K110" s="11">
        <f>IF(E110="Private",G110,"")</f>
        <v/>
      </c>
    </row>
    <row r="111">
      <c r="A111" s="9" t="n">
        <v>209065</v>
      </c>
      <c r="B111" s="9" t="inlineStr">
        <is>
          <t>Linfield University</t>
        </is>
      </c>
      <c r="C111" s="9" t="inlineStr">
        <is>
          <t>McMinnville</t>
        </is>
      </c>
      <c r="D111" s="9" t="inlineStr">
        <is>
          <t>OR</t>
        </is>
      </c>
      <c r="E111" s="9" t="inlineStr">
        <is>
          <t>Private</t>
        </is>
      </c>
      <c r="F111" s="11" t="n">
        <v>26536</v>
      </c>
      <c r="G111" s="11" t="n">
        <v>78638</v>
      </c>
      <c r="H111" s="9">
        <f>COUNTIF($G$5:$G$1531,"&gt;"&amp;G111)+1</f>
        <v/>
      </c>
      <c r="I111" s="9" t="inlineStr"/>
      <c r="J111" s="11">
        <f>IF(E111="Private",F111,"")</f>
        <v/>
      </c>
      <c r="K111" s="11">
        <f>IF(E111="Private",G111,"")</f>
        <v/>
      </c>
    </row>
    <row r="112">
      <c r="A112" s="9" t="n">
        <v>377555</v>
      </c>
      <c r="B112" s="9" t="inlineStr">
        <is>
          <t>University of Washington-Bothell Campus</t>
        </is>
      </c>
      <c r="C112" s="9" t="inlineStr">
        <is>
          <t>Bothell</t>
        </is>
      </c>
      <c r="D112" s="9" t="inlineStr">
        <is>
          <t>WA</t>
        </is>
      </c>
      <c r="E112" s="9" t="inlineStr">
        <is>
          <t>Public</t>
        </is>
      </c>
      <c r="F112" s="11" t="n">
        <v>12319</v>
      </c>
      <c r="G112" s="11" t="n">
        <v>78466</v>
      </c>
      <c r="H112" s="9">
        <f>COUNTIF($G$5:$G$1531,"&gt;"&amp;G112)+1</f>
        <v/>
      </c>
      <c r="I112" s="9" t="inlineStr"/>
      <c r="J112" s="11">
        <f>IF(E112="Private",F112,"")</f>
        <v/>
      </c>
      <c r="K112" s="11">
        <f>IF(E112="Private",G112,"")</f>
        <v/>
      </c>
    </row>
    <row r="113">
      <c r="A113" s="9" t="n">
        <v>236948</v>
      </c>
      <c r="B113" s="9" t="inlineStr">
        <is>
          <t>University of Washington-Seattle Campus</t>
        </is>
      </c>
      <c r="C113" s="9" t="inlineStr">
        <is>
          <t>Seattle</t>
        </is>
      </c>
      <c r="D113" s="9" t="inlineStr">
        <is>
          <t>WA</t>
        </is>
      </c>
      <c r="E113" s="9" t="inlineStr">
        <is>
          <t>Public</t>
        </is>
      </c>
      <c r="F113" s="11" t="n">
        <v>14091</v>
      </c>
      <c r="G113" s="11" t="n">
        <v>78466</v>
      </c>
      <c r="H113" s="9">
        <f>COUNTIF($G$5:$G$1531,"&gt;"&amp;G113)+1</f>
        <v/>
      </c>
      <c r="I113" s="9" t="inlineStr"/>
      <c r="J113" s="11">
        <f>IF(E113="Private",F113,"")</f>
        <v/>
      </c>
      <c r="K113" s="11">
        <f>IF(E113="Private",G113,"")</f>
        <v/>
      </c>
    </row>
    <row r="114">
      <c r="A114" s="9" t="n">
        <v>377564</v>
      </c>
      <c r="B114" s="9" t="inlineStr">
        <is>
          <t>University of Washington-Tacoma Campus</t>
        </is>
      </c>
      <c r="C114" s="9" t="inlineStr">
        <is>
          <t>Tacoma</t>
        </is>
      </c>
      <c r="D114" s="9" t="inlineStr">
        <is>
          <t>WA</t>
        </is>
      </c>
      <c r="E114" s="9" t="inlineStr">
        <is>
          <t>Public</t>
        </is>
      </c>
      <c r="F114" s="11" t="n">
        <v>10163</v>
      </c>
      <c r="G114" s="11" t="n">
        <v>78466</v>
      </c>
      <c r="H114" s="9">
        <f>COUNTIF($G$5:$G$1531,"&gt;"&amp;G114)+1</f>
        <v/>
      </c>
      <c r="I114" s="9" t="inlineStr"/>
      <c r="J114" s="11">
        <f>IF(E114="Private",F114,"")</f>
        <v/>
      </c>
      <c r="K114" s="11">
        <f>IF(E114="Private",G114,"")</f>
        <v/>
      </c>
    </row>
    <row r="115">
      <c r="A115" s="9" t="n">
        <v>120883</v>
      </c>
      <c r="B115" s="9" t="inlineStr">
        <is>
          <t>University of the Pacific</t>
        </is>
      </c>
      <c r="C115" s="9" t="inlineStr">
        <is>
          <t>Stockton</t>
        </is>
      </c>
      <c r="D115" s="9" t="inlineStr">
        <is>
          <t>CA</t>
        </is>
      </c>
      <c r="E115" s="9" t="inlineStr">
        <is>
          <t>Private</t>
        </is>
      </c>
      <c r="F115" s="11" t="n">
        <v>25447</v>
      </c>
      <c r="G115" s="11" t="n">
        <v>78445</v>
      </c>
      <c r="H115" s="9">
        <f>COUNTIF($G$5:$G$1531,"&gt;"&amp;G115)+1</f>
        <v/>
      </c>
      <c r="I115" s="9" t="inlineStr"/>
      <c r="J115" s="11">
        <f>IF(E115="Private",F115,"")</f>
        <v/>
      </c>
      <c r="K115" s="11">
        <f>IF(E115="Private",G115,"")</f>
        <v/>
      </c>
    </row>
    <row r="116">
      <c r="A116" s="9" t="n">
        <v>191515</v>
      </c>
      <c r="B116" s="9" t="inlineStr">
        <is>
          <t>Hamilton College</t>
        </is>
      </c>
      <c r="C116" s="9" t="inlineStr">
        <is>
          <t>Clinton</t>
        </is>
      </c>
      <c r="D116" s="9" t="inlineStr">
        <is>
          <t>NY</t>
        </is>
      </c>
      <c r="E116" s="9" t="inlineStr">
        <is>
          <t>Private</t>
        </is>
      </c>
      <c r="F116" s="11" t="n">
        <v>28985</v>
      </c>
      <c r="G116" s="11" t="n">
        <v>78411</v>
      </c>
      <c r="H116" s="9">
        <f>COUNTIF($G$5:$G$1531,"&gt;"&amp;G116)+1</f>
        <v/>
      </c>
      <c r="I116" s="9" t="inlineStr"/>
      <c r="J116" s="11">
        <f>IF(E116="Private",F116,"")</f>
        <v/>
      </c>
      <c r="K116" s="11">
        <f>IF(E116="Private",G116,"")</f>
        <v/>
      </c>
    </row>
    <row r="117">
      <c r="A117" s="9" t="n">
        <v>228246</v>
      </c>
      <c r="B117" s="9" t="inlineStr">
        <is>
          <t>Southern Methodist University</t>
        </is>
      </c>
      <c r="C117" s="9" t="inlineStr">
        <is>
          <t>Dallas</t>
        </is>
      </c>
      <c r="D117" s="9" t="inlineStr">
        <is>
          <t>TX</t>
        </is>
      </c>
      <c r="E117" s="9" t="inlineStr">
        <is>
          <t>Private</t>
        </is>
      </c>
      <c r="F117" s="11" t="n">
        <v>40892</v>
      </c>
      <c r="G117" s="11" t="n">
        <v>78354</v>
      </c>
      <c r="H117" s="9">
        <f>COUNTIF($G$5:$G$1531,"&gt;"&amp;G117)+1</f>
        <v/>
      </c>
      <c r="I117" s="9" t="inlineStr"/>
      <c r="J117" s="11">
        <f>IF(E117="Private",F117,"")</f>
        <v/>
      </c>
      <c r="K117" s="11">
        <f>IF(E117="Private",G117,"")</f>
        <v/>
      </c>
    </row>
    <row r="118">
      <c r="A118" s="9" t="n">
        <v>117946</v>
      </c>
      <c r="B118" s="9" t="inlineStr">
        <is>
          <t>Loyola Marymount University</t>
        </is>
      </c>
      <c r="C118" s="9" t="inlineStr">
        <is>
          <t>Los Angeles</t>
        </is>
      </c>
      <c r="D118" s="9" t="inlineStr">
        <is>
          <t>CA</t>
        </is>
      </c>
      <c r="E118" s="9" t="inlineStr">
        <is>
          <t>Private</t>
        </is>
      </c>
      <c r="F118" s="11" t="n">
        <v>48381</v>
      </c>
      <c r="G118" s="11" t="n">
        <v>78349</v>
      </c>
      <c r="H118" s="9">
        <f>COUNTIF($G$5:$G$1531,"&gt;"&amp;G118)+1</f>
        <v/>
      </c>
      <c r="I118" s="9" t="inlineStr"/>
      <c r="J118" s="11">
        <f>IF(E118="Private",F118,"")</f>
        <v/>
      </c>
      <c r="K118" s="11">
        <f>IF(E118="Private",G118,"")</f>
        <v/>
      </c>
    </row>
    <row r="119">
      <c r="A119" s="9" t="n">
        <v>239105</v>
      </c>
      <c r="B119" s="9" t="inlineStr">
        <is>
          <t>Marquette University</t>
        </is>
      </c>
      <c r="C119" s="9" t="inlineStr">
        <is>
          <t>Milwaukee</t>
        </is>
      </c>
      <c r="D119" s="9" t="inlineStr">
        <is>
          <t>WI</t>
        </is>
      </c>
      <c r="E119" s="9" t="inlineStr">
        <is>
          <t>Private</t>
        </is>
      </c>
      <c r="F119" s="11" t="n">
        <v>31487</v>
      </c>
      <c r="G119" s="11" t="n">
        <v>78257</v>
      </c>
      <c r="H119" s="9">
        <f>COUNTIF($G$5:$G$1531,"&gt;"&amp;G119)+1</f>
        <v/>
      </c>
      <c r="I119" s="9" t="inlineStr"/>
      <c r="J119" s="11">
        <f>IF(E119="Private",F119,"")</f>
        <v/>
      </c>
      <c r="K119" s="11">
        <f>IF(E119="Private",G119,"")</f>
        <v/>
      </c>
    </row>
    <row r="120">
      <c r="A120" s="9" t="n">
        <v>171128</v>
      </c>
      <c r="B120" s="9" t="inlineStr">
        <is>
          <t>Michigan Technological University</t>
        </is>
      </c>
      <c r="C120" s="9" t="inlineStr">
        <is>
          <t>Houghton</t>
        </is>
      </c>
      <c r="D120" s="9" t="inlineStr">
        <is>
          <t>MI</t>
        </is>
      </c>
      <c r="E120" s="9" t="inlineStr">
        <is>
          <t>Public</t>
        </is>
      </c>
      <c r="F120" s="11" t="n">
        <v>14182</v>
      </c>
      <c r="G120" s="11" t="n">
        <v>78198</v>
      </c>
      <c r="H120" s="9">
        <f>COUNTIF($G$5:$G$1531,"&gt;"&amp;G120)+1</f>
        <v/>
      </c>
      <c r="I120" s="9" t="inlineStr"/>
      <c r="J120" s="11">
        <f>IF(E120="Private",F120,"")</f>
        <v/>
      </c>
      <c r="K120" s="11">
        <f>IF(E120="Private",G120,"")</f>
        <v/>
      </c>
    </row>
    <row r="121">
      <c r="A121" s="9" t="n">
        <v>199847</v>
      </c>
      <c r="B121" s="9" t="inlineStr">
        <is>
          <t>Wake Forest University</t>
        </is>
      </c>
      <c r="C121" s="9" t="inlineStr">
        <is>
          <t>Winston-Salem</t>
        </is>
      </c>
      <c r="D121" s="9" t="inlineStr">
        <is>
          <t>NC</t>
        </is>
      </c>
      <c r="E121" s="9" t="inlineStr">
        <is>
          <t>Private</t>
        </is>
      </c>
      <c r="F121" s="11" t="n">
        <v>28719</v>
      </c>
      <c r="G121" s="11" t="n">
        <v>78158</v>
      </c>
      <c r="H121" s="9">
        <f>COUNTIF($G$5:$G$1531,"&gt;"&amp;G121)+1</f>
        <v/>
      </c>
      <c r="I121" s="9" t="inlineStr"/>
      <c r="J121" s="11">
        <f>IF(E121="Private",F121,"")</f>
        <v/>
      </c>
      <c r="K121" s="11">
        <f>IF(E121="Private",G121,"")</f>
        <v/>
      </c>
    </row>
    <row r="122">
      <c r="A122" s="9" t="n">
        <v>192819</v>
      </c>
      <c r="B122" s="9" t="inlineStr">
        <is>
          <t>Marist University</t>
        </is>
      </c>
      <c r="C122" s="9" t="inlineStr">
        <is>
          <t>Poughkeepsie</t>
        </is>
      </c>
      <c r="D122" s="9" t="inlineStr">
        <is>
          <t>NY</t>
        </is>
      </c>
      <c r="E122" s="9" t="inlineStr">
        <is>
          <t>Private</t>
        </is>
      </c>
      <c r="F122" s="11" t="n">
        <v>41544</v>
      </c>
      <c r="G122" s="11" t="n">
        <v>77819</v>
      </c>
      <c r="H122" s="9">
        <f>COUNTIF($G$5:$G$1531,"&gt;"&amp;G122)+1</f>
        <v/>
      </c>
      <c r="I122" s="9" t="inlineStr"/>
      <c r="J122" s="11">
        <f>IF(E122="Private",F122,"")</f>
        <v/>
      </c>
      <c r="K122" s="11">
        <f>IF(E122="Private",G122,"")</f>
        <v/>
      </c>
    </row>
    <row r="123">
      <c r="A123" s="9" t="n">
        <v>193292</v>
      </c>
      <c r="B123" s="9" t="inlineStr">
        <is>
          <t>Molloy University</t>
        </is>
      </c>
      <c r="C123" s="9" t="inlineStr">
        <is>
          <t>Rockville Centre</t>
        </is>
      </c>
      <c r="D123" s="9" t="inlineStr">
        <is>
          <t>NY</t>
        </is>
      </c>
      <c r="E123" s="9" t="inlineStr">
        <is>
          <t>Private</t>
        </is>
      </c>
      <c r="F123" s="11" t="n">
        <v>24347</v>
      </c>
      <c r="G123" s="11" t="n">
        <v>77789</v>
      </c>
      <c r="H123" s="9">
        <f>COUNTIF($G$5:$G$1531,"&gt;"&amp;G123)+1</f>
        <v/>
      </c>
      <c r="I123" s="9" t="inlineStr"/>
      <c r="J123" s="11">
        <f>IF(E123="Private",F123,"")</f>
        <v/>
      </c>
      <c r="K123" s="11">
        <f>IF(E123="Private",G123,"")</f>
        <v/>
      </c>
    </row>
    <row r="124">
      <c r="A124" s="9" t="n">
        <v>121345</v>
      </c>
      <c r="B124" s="9" t="inlineStr">
        <is>
          <t>Pomona College</t>
        </is>
      </c>
      <c r="C124" s="9" t="inlineStr">
        <is>
          <t>Claremont</t>
        </is>
      </c>
      <c r="D124" s="9" t="inlineStr">
        <is>
          <t>CA</t>
        </is>
      </c>
      <c r="E124" s="9" t="inlineStr">
        <is>
          <t>Private</t>
        </is>
      </c>
      <c r="F124" s="11" t="n">
        <v>19285</v>
      </c>
      <c r="G124" s="11" t="n">
        <v>77779</v>
      </c>
      <c r="H124" s="9">
        <f>COUNTIF($G$5:$G$1531,"&gt;"&amp;G124)+1</f>
        <v/>
      </c>
      <c r="I124" s="9" t="inlineStr"/>
      <c r="J124" s="11">
        <f>IF(E124="Private",F124,"")</f>
        <v/>
      </c>
      <c r="K124" s="11">
        <f>IF(E124="Private",G124,"")</f>
        <v/>
      </c>
    </row>
    <row r="125">
      <c r="A125" s="9" t="n">
        <v>167996</v>
      </c>
      <c r="B125" s="9" t="inlineStr">
        <is>
          <t>Stonehill College</t>
        </is>
      </c>
      <c r="C125" s="9" t="inlineStr">
        <is>
          <t>Easton</t>
        </is>
      </c>
      <c r="D125" s="9" t="inlineStr">
        <is>
          <t>MA</t>
        </is>
      </c>
      <c r="E125" s="9" t="inlineStr">
        <is>
          <t>Private</t>
        </is>
      </c>
      <c r="F125" s="11" t="n">
        <v>33016</v>
      </c>
      <c r="G125" s="11" t="n">
        <v>77745</v>
      </c>
      <c r="H125" s="9">
        <f>COUNTIF($G$5:$G$1531,"&gt;"&amp;G125)+1</f>
        <v/>
      </c>
      <c r="I125" s="9" t="inlineStr"/>
      <c r="J125" s="11">
        <f>IF(E125="Private",F125,"")</f>
        <v/>
      </c>
      <c r="K125" s="11">
        <f>IF(E125="Private",G125,"")</f>
        <v/>
      </c>
    </row>
    <row r="126">
      <c r="A126" s="9" t="n">
        <v>164465</v>
      </c>
      <c r="B126" s="9" t="inlineStr">
        <is>
          <t>Amherst College</t>
        </is>
      </c>
      <c r="C126" s="9" t="inlineStr">
        <is>
          <t>Amherst</t>
        </is>
      </c>
      <c r="D126" s="9" t="inlineStr">
        <is>
          <t>MA</t>
        </is>
      </c>
      <c r="E126" s="9" t="inlineStr">
        <is>
          <t>Private</t>
        </is>
      </c>
      <c r="F126" s="11" t="n">
        <v>23367</v>
      </c>
      <c r="G126" s="11" t="n">
        <v>77644</v>
      </c>
      <c r="H126" s="9">
        <f>COUNTIF($G$5:$G$1531,"&gt;"&amp;G126)+1</f>
        <v/>
      </c>
      <c r="I126" s="9" t="inlineStr"/>
      <c r="J126" s="11">
        <f>IF(E126="Private",F126,"")</f>
        <v/>
      </c>
      <c r="K126" s="11">
        <f>IF(E126="Private",G126,"")</f>
        <v/>
      </c>
    </row>
    <row r="127">
      <c r="A127" s="9" t="n">
        <v>123165</v>
      </c>
      <c r="B127" s="9" t="inlineStr">
        <is>
          <t>Scripps College</t>
        </is>
      </c>
      <c r="C127" s="9" t="inlineStr">
        <is>
          <t>Claremont</t>
        </is>
      </c>
      <c r="D127" s="9" t="inlineStr">
        <is>
          <t>CA</t>
        </is>
      </c>
      <c r="E127" s="9" t="inlineStr">
        <is>
          <t>Private</t>
        </is>
      </c>
      <c r="F127" s="11" t="n">
        <v>36294</v>
      </c>
      <c r="G127" s="11" t="n">
        <v>77539</v>
      </c>
      <c r="H127" s="9">
        <f>COUNTIF($G$5:$G$1531,"&gt;"&amp;G127)+1</f>
        <v/>
      </c>
      <c r="I127" s="9" t="inlineStr"/>
      <c r="J127" s="11">
        <f>IF(E127="Private",F127,"")</f>
        <v/>
      </c>
      <c r="K127" s="11">
        <f>IF(E127="Private",G127,"")</f>
        <v/>
      </c>
    </row>
    <row r="128">
      <c r="A128" s="9" t="n">
        <v>216366</v>
      </c>
      <c r="B128" s="9" t="inlineStr">
        <is>
          <t>Thomas Jefferson University</t>
        </is>
      </c>
      <c r="C128" s="9" t="inlineStr">
        <is>
          <t>Philadelphia</t>
        </is>
      </c>
      <c r="D128" s="9" t="inlineStr">
        <is>
          <t>PA</t>
        </is>
      </c>
      <c r="E128" s="9" t="inlineStr">
        <is>
          <t>Private</t>
        </is>
      </c>
      <c r="F128" s="11" t="n">
        <v>28928</v>
      </c>
      <c r="G128" s="11" t="n">
        <v>77449</v>
      </c>
      <c r="H128" s="9">
        <f>COUNTIF($G$5:$G$1531,"&gt;"&amp;G128)+1</f>
        <v/>
      </c>
      <c r="I128" s="9" t="inlineStr"/>
      <c r="J128" s="11">
        <f>IF(E128="Private",F128,"")</f>
        <v/>
      </c>
      <c r="K128" s="11">
        <f>IF(E128="Private",G128,"")</f>
        <v/>
      </c>
    </row>
    <row r="129">
      <c r="A129" s="9" t="n">
        <v>131159</v>
      </c>
      <c r="B129" s="9" t="inlineStr">
        <is>
          <t>American University</t>
        </is>
      </c>
      <c r="C129" s="9" t="inlineStr">
        <is>
          <t>Washington</t>
        </is>
      </c>
      <c r="D129" s="9" t="inlineStr">
        <is>
          <t>DC</t>
        </is>
      </c>
      <c r="E129" s="9" t="inlineStr">
        <is>
          <t>Private</t>
        </is>
      </c>
      <c r="F129" s="11" t="n">
        <v>41943</v>
      </c>
      <c r="G129" s="11" t="n">
        <v>77370</v>
      </c>
      <c r="H129" s="9">
        <f>COUNTIF($G$5:$G$1531,"&gt;"&amp;G129)+1</f>
        <v/>
      </c>
      <c r="I129" s="9" t="inlineStr"/>
      <c r="J129" s="11">
        <f>IF(E129="Private",F129,"")</f>
        <v/>
      </c>
      <c r="K129" s="11">
        <f>IF(E129="Private",G129,"")</f>
        <v/>
      </c>
    </row>
    <row r="130">
      <c r="A130" s="9" t="n">
        <v>234085</v>
      </c>
      <c r="B130" s="9" t="inlineStr">
        <is>
          <t>Virginia Military Institute</t>
        </is>
      </c>
      <c r="C130" s="9" t="inlineStr">
        <is>
          <t>Lexington</t>
        </is>
      </c>
      <c r="D130" s="9" t="inlineStr">
        <is>
          <t>VA</t>
        </is>
      </c>
      <c r="E130" s="9" t="inlineStr">
        <is>
          <t>Public</t>
        </is>
      </c>
      <c r="F130" s="11" t="n">
        <v>17113</v>
      </c>
      <c r="G130" s="11" t="n">
        <v>77369</v>
      </c>
      <c r="H130" s="9">
        <f>COUNTIF($G$5:$G$1531,"&gt;"&amp;G130)+1</f>
        <v/>
      </c>
      <c r="I130" s="9" t="inlineStr"/>
      <c r="J130" s="11">
        <f>IF(E130="Private",F130,"")</f>
        <v/>
      </c>
      <c r="K130" s="11">
        <f>IF(E130="Private",G130,"")</f>
        <v/>
      </c>
    </row>
    <row r="131">
      <c r="A131" s="9" t="n">
        <v>150163</v>
      </c>
      <c r="B131" s="9" t="inlineStr">
        <is>
          <t>Butler University</t>
        </is>
      </c>
      <c r="C131" s="9" t="inlineStr">
        <is>
          <t>Indianapolis</t>
        </is>
      </c>
      <c r="D131" s="9" t="inlineStr">
        <is>
          <t>IN</t>
        </is>
      </c>
      <c r="E131" s="9" t="inlineStr">
        <is>
          <t>Private</t>
        </is>
      </c>
      <c r="F131" s="11" t="n">
        <v>36041</v>
      </c>
      <c r="G131" s="11" t="n">
        <v>77235</v>
      </c>
      <c r="H131" s="9">
        <f>COUNTIF($G$5:$G$1531,"&gt;"&amp;G131)+1</f>
        <v/>
      </c>
      <c r="I131" s="9" t="inlineStr"/>
      <c r="J131" s="11">
        <f>IF(E131="Private",F131,"")</f>
        <v/>
      </c>
      <c r="K131" s="11">
        <f>IF(E131="Private",G131,"")</f>
        <v/>
      </c>
    </row>
    <row r="132">
      <c r="A132" s="9" t="n">
        <v>165015</v>
      </c>
      <c r="B132" s="9" t="inlineStr">
        <is>
          <t>Brandeis University</t>
        </is>
      </c>
      <c r="C132" s="9" t="inlineStr">
        <is>
          <t>Waltham</t>
        </is>
      </c>
      <c r="D132" s="9" t="inlineStr">
        <is>
          <t>MA</t>
        </is>
      </c>
      <c r="E132" s="9" t="inlineStr">
        <is>
          <t>Private</t>
        </is>
      </c>
      <c r="F132" s="11" t="n">
        <v>35736</v>
      </c>
      <c r="G132" s="11" t="n">
        <v>77231</v>
      </c>
      <c r="H132" s="9">
        <f>COUNTIF($G$5:$G$1531,"&gt;"&amp;G132)+1</f>
        <v/>
      </c>
      <c r="I132" s="9" t="inlineStr"/>
      <c r="J132" s="11">
        <f>IF(E132="Private",F132,"")</f>
        <v/>
      </c>
      <c r="K132" s="11">
        <f>IF(E132="Private",G132,"")</f>
        <v/>
      </c>
    </row>
    <row r="133">
      <c r="A133" s="9" t="n">
        <v>476975</v>
      </c>
      <c r="B133" s="9" t="inlineStr">
        <is>
          <t>Colorado State University Global</t>
        </is>
      </c>
      <c r="C133" s="9" t="inlineStr">
        <is>
          <t>Denver</t>
        </is>
      </c>
      <c r="D133" s="9" t="inlineStr">
        <is>
          <t>CO</t>
        </is>
      </c>
      <c r="E133" s="9" t="inlineStr">
        <is>
          <t>Public</t>
        </is>
      </c>
      <c r="F133" s="11" t="n">
        <v>16510</v>
      </c>
      <c r="G133" s="11" t="n">
        <v>76813</v>
      </c>
      <c r="H133" s="9">
        <f>COUNTIF($G$5:$G$1531,"&gt;"&amp;G133)+1</f>
        <v/>
      </c>
      <c r="I133" s="9" t="inlineStr"/>
      <c r="J133" s="11">
        <f>IF(E133="Private",F133,"")</f>
        <v/>
      </c>
      <c r="K133" s="11">
        <f>IF(E133="Private",G133,"")</f>
        <v/>
      </c>
    </row>
    <row r="134">
      <c r="A134" s="9" t="n">
        <v>174792</v>
      </c>
      <c r="B134" s="9" t="inlineStr">
        <is>
          <t>Saint Johns University</t>
        </is>
      </c>
      <c r="C134" s="9" t="inlineStr">
        <is>
          <t>Collegeville</t>
        </is>
      </c>
      <c r="D134" s="9" t="inlineStr">
        <is>
          <t>MN</t>
        </is>
      </c>
      <c r="E134" s="9" t="inlineStr">
        <is>
          <t>Private</t>
        </is>
      </c>
      <c r="F134" s="11" t="n">
        <v>25672</v>
      </c>
      <c r="G134" s="11" t="n">
        <v>76786</v>
      </c>
      <c r="H134" s="9">
        <f>COUNTIF($G$5:$G$1531,"&gt;"&amp;G134)+1</f>
        <v/>
      </c>
      <c r="I134" s="9" t="inlineStr"/>
      <c r="J134" s="11">
        <f>IF(E134="Private",F134,"")</f>
        <v/>
      </c>
      <c r="K134" s="11">
        <f>IF(E134="Private",G134,"")</f>
        <v/>
      </c>
    </row>
    <row r="135">
      <c r="A135" s="9" t="n">
        <v>195003</v>
      </c>
      <c r="B135" s="9" t="inlineStr">
        <is>
          <t>Rochester Institute of Technology</t>
        </is>
      </c>
      <c r="C135" s="9" t="inlineStr">
        <is>
          <t>Rochester</t>
        </is>
      </c>
      <c r="D135" s="9" t="inlineStr">
        <is>
          <t>NY</t>
        </is>
      </c>
      <c r="E135" s="9" t="inlineStr">
        <is>
          <t>Private</t>
        </is>
      </c>
      <c r="F135" s="11" t="n">
        <v>34906</v>
      </c>
      <c r="G135" s="11" t="n">
        <v>76571</v>
      </c>
      <c r="H135" s="9">
        <f>COUNTIF($G$5:$G$1531,"&gt;"&amp;G135)+1</f>
        <v/>
      </c>
      <c r="I135" s="9" t="inlineStr"/>
      <c r="J135" s="11">
        <f>IF(E135="Private",F135,"")</f>
        <v/>
      </c>
      <c r="K135" s="11">
        <f>IF(E135="Private",G135,"")</f>
        <v/>
      </c>
    </row>
    <row r="136">
      <c r="A136" s="9" t="n">
        <v>187967</v>
      </c>
      <c r="B136" s="9" t="inlineStr">
        <is>
          <t>New Mexico Institute of Mining and Technology</t>
        </is>
      </c>
      <c r="C136" s="9" t="inlineStr">
        <is>
          <t>Socorro</t>
        </is>
      </c>
      <c r="D136" s="9" t="inlineStr">
        <is>
          <t>NM</t>
        </is>
      </c>
      <c r="E136" s="9" t="inlineStr">
        <is>
          <t>Public</t>
        </is>
      </c>
      <c r="F136" s="11" t="n">
        <v>9873</v>
      </c>
      <c r="G136" s="11" t="n">
        <v>76489</v>
      </c>
      <c r="H136" s="9">
        <f>COUNTIF($G$5:$G$1531,"&gt;"&amp;G136)+1</f>
        <v/>
      </c>
      <c r="I136" s="9" t="inlineStr"/>
      <c r="J136" s="11">
        <f>IF(E136="Private",F136,"")</f>
        <v/>
      </c>
      <c r="K136" s="11">
        <f>IF(E136="Private",G136,"")</f>
        <v/>
      </c>
    </row>
    <row r="137">
      <c r="A137" s="9" t="n">
        <v>232186</v>
      </c>
      <c r="B137" s="9" t="inlineStr">
        <is>
          <t>George Mason University</t>
        </is>
      </c>
      <c r="C137" s="9" t="inlineStr">
        <is>
          <t>Fairfax</t>
        </is>
      </c>
      <c r="D137" s="9" t="inlineStr">
        <is>
          <t>VA</t>
        </is>
      </c>
      <c r="E137" s="9" t="inlineStr">
        <is>
          <t>Public</t>
        </is>
      </c>
      <c r="F137" s="11" t="n">
        <v>17915</v>
      </c>
      <c r="G137" s="11" t="n">
        <v>76343</v>
      </c>
      <c r="H137" s="9">
        <f>COUNTIF($G$5:$G$1531,"&gt;"&amp;G137)+1</f>
        <v/>
      </c>
      <c r="I137" s="9" t="inlineStr"/>
      <c r="J137" s="11">
        <f>IF(E137="Private",F137,"")</f>
        <v/>
      </c>
      <c r="K137" s="11">
        <f>IF(E137="Private",G137,"")</f>
        <v/>
      </c>
    </row>
    <row r="138">
      <c r="A138" s="9" t="n">
        <v>230959</v>
      </c>
      <c r="B138" s="9" t="inlineStr">
        <is>
          <t>Middlebury College</t>
        </is>
      </c>
      <c r="C138" s="9" t="inlineStr">
        <is>
          <t>Middlebury</t>
        </is>
      </c>
      <c r="D138" s="9" t="inlineStr">
        <is>
          <t>VT</t>
        </is>
      </c>
      <c r="E138" s="9" t="inlineStr">
        <is>
          <t>Private</t>
        </is>
      </c>
      <c r="F138" s="11" t="n">
        <v>31483</v>
      </c>
      <c r="G138" s="11" t="n">
        <v>76310</v>
      </c>
      <c r="H138" s="9">
        <f>COUNTIF($G$5:$G$1531,"&gt;"&amp;G138)+1</f>
        <v/>
      </c>
      <c r="I138" s="9" t="inlineStr"/>
      <c r="J138" s="11">
        <f>IF(E138="Private",F138,"")</f>
        <v/>
      </c>
      <c r="K138" s="11">
        <f>IF(E138="Private",G138,"")</f>
        <v/>
      </c>
    </row>
    <row r="139">
      <c r="A139" s="9" t="n">
        <v>233374</v>
      </c>
      <c r="B139" s="9" t="inlineStr">
        <is>
          <t>University of Richmond</t>
        </is>
      </c>
      <c r="C139" s="9" t="inlineStr">
        <is>
          <t>University of Richmond</t>
        </is>
      </c>
      <c r="D139" s="9" t="inlineStr">
        <is>
          <t>VA</t>
        </is>
      </c>
      <c r="E139" s="9" t="inlineStr">
        <is>
          <t>Private</t>
        </is>
      </c>
      <c r="F139" s="11" t="n">
        <v>31309</v>
      </c>
      <c r="G139" s="11" t="n">
        <v>76178</v>
      </c>
      <c r="H139" s="9">
        <f>COUNTIF($G$5:$G$1531,"&gt;"&amp;G139)+1</f>
        <v/>
      </c>
      <c r="I139" s="9" t="inlineStr"/>
      <c r="J139" s="11">
        <f>IF(E139="Private",F139,"")</f>
        <v/>
      </c>
      <c r="K139" s="11">
        <f>IF(E139="Private",G139,"")</f>
        <v/>
      </c>
    </row>
    <row r="140">
      <c r="A140" s="9" t="n">
        <v>212577</v>
      </c>
      <c r="B140" s="9" t="inlineStr">
        <is>
          <t>Franklin and Marshall College</t>
        </is>
      </c>
      <c r="C140" s="9" t="inlineStr">
        <is>
          <t>Lancaster</t>
        </is>
      </c>
      <c r="D140" s="9" t="inlineStr">
        <is>
          <t>PA</t>
        </is>
      </c>
      <c r="E140" s="9" t="inlineStr">
        <is>
          <t>Private</t>
        </is>
      </c>
      <c r="F140" s="11" t="n">
        <v>36425</v>
      </c>
      <c r="G140" s="11" t="n">
        <v>76124</v>
      </c>
      <c r="H140" s="9">
        <f>COUNTIF($G$5:$G$1531,"&gt;"&amp;G140)+1</f>
        <v/>
      </c>
      <c r="I140" s="9" t="inlineStr"/>
      <c r="J140" s="11">
        <f>IF(E140="Private",F140,"")</f>
        <v/>
      </c>
      <c r="K140" s="11">
        <f>IF(E140="Private",G140,"")</f>
        <v/>
      </c>
    </row>
    <row r="141">
      <c r="A141" s="9" t="n">
        <v>195474</v>
      </c>
      <c r="B141" s="9" t="inlineStr">
        <is>
          <t>Siena University</t>
        </is>
      </c>
      <c r="C141" s="9" t="inlineStr">
        <is>
          <t>Loudonville</t>
        </is>
      </c>
      <c r="D141" s="9" t="inlineStr">
        <is>
          <t>NY</t>
        </is>
      </c>
      <c r="E141" s="9" t="inlineStr">
        <is>
          <t>Private</t>
        </is>
      </c>
      <c r="F141" s="11" t="n">
        <v>33733</v>
      </c>
      <c r="G141" s="11" t="n">
        <v>76079</v>
      </c>
      <c r="H141" s="9">
        <f>COUNTIF($G$5:$G$1531,"&gt;"&amp;G141)+1</f>
        <v/>
      </c>
      <c r="I141" s="9" t="inlineStr"/>
      <c r="J141" s="11">
        <f>IF(E141="Private",F141,"")</f>
        <v/>
      </c>
      <c r="K141" s="11">
        <f>IF(E141="Private",G141,"")</f>
        <v/>
      </c>
    </row>
    <row r="142">
      <c r="A142" s="9" t="n">
        <v>190512</v>
      </c>
      <c r="B142" s="9" t="inlineStr">
        <is>
          <t>CUNY Bernard M Baruch College</t>
        </is>
      </c>
      <c r="C142" s="9" t="inlineStr">
        <is>
          <t>New York</t>
        </is>
      </c>
      <c r="D142" s="9" t="inlineStr">
        <is>
          <t>NY</t>
        </is>
      </c>
      <c r="E142" s="9" t="inlineStr">
        <is>
          <t>Public</t>
        </is>
      </c>
      <c r="F142" s="11" t="n">
        <v>3033</v>
      </c>
      <c r="G142" s="11" t="n">
        <v>75971</v>
      </c>
      <c r="H142" s="9">
        <f>COUNTIF($G$5:$G$1531,"&gt;"&amp;G142)+1</f>
        <v/>
      </c>
      <c r="I142" s="9" t="inlineStr"/>
      <c r="J142" s="11">
        <f>IF(E142="Private",F142,"")</f>
        <v/>
      </c>
      <c r="K142" s="11">
        <f>IF(E142="Private",G142,"")</f>
        <v/>
      </c>
    </row>
    <row r="143">
      <c r="A143" s="9" t="n">
        <v>120254</v>
      </c>
      <c r="B143" s="9" t="inlineStr">
        <is>
          <t>Occidental College</t>
        </is>
      </c>
      <c r="C143" s="9" t="inlineStr">
        <is>
          <t>Los Angeles</t>
        </is>
      </c>
      <c r="D143" s="9" t="inlineStr">
        <is>
          <t>CA</t>
        </is>
      </c>
      <c r="E143" s="9" t="inlineStr">
        <is>
          <t>Private</t>
        </is>
      </c>
      <c r="F143" s="11" t="n">
        <v>38263</v>
      </c>
      <c r="G143" s="11" t="n">
        <v>75951</v>
      </c>
      <c r="H143" s="9">
        <f>COUNTIF($G$5:$G$1531,"&gt;"&amp;G143)+1</f>
        <v/>
      </c>
      <c r="I143" s="9" t="inlineStr"/>
      <c r="J143" s="11">
        <f>IF(E143="Private",F143,"")</f>
        <v/>
      </c>
      <c r="K143" s="11">
        <f>IF(E143="Private",G143,"")</f>
        <v/>
      </c>
    </row>
    <row r="144">
      <c r="A144" s="9" t="n">
        <v>230038</v>
      </c>
      <c r="B144" s="9" t="inlineStr">
        <is>
          <t>Brigham Young University</t>
        </is>
      </c>
      <c r="C144" s="9" t="inlineStr">
        <is>
          <t>Provo</t>
        </is>
      </c>
      <c r="D144" s="9" t="inlineStr">
        <is>
          <t>UT</t>
        </is>
      </c>
      <c r="E144" s="9" t="inlineStr">
        <is>
          <t>Private</t>
        </is>
      </c>
      <c r="F144" s="11" t="n">
        <v>15564</v>
      </c>
      <c r="G144" s="11" t="n">
        <v>75790</v>
      </c>
      <c r="H144" s="9">
        <f>COUNTIF($G$5:$G$1531,"&gt;"&amp;G144)+1</f>
        <v/>
      </c>
      <c r="I144" s="9" t="inlineStr"/>
      <c r="J144" s="11">
        <f>IF(E144="Private",F144,"")</f>
        <v/>
      </c>
      <c r="K144" s="11">
        <f>IF(E144="Private",G144,"")</f>
        <v/>
      </c>
    </row>
    <row r="145">
      <c r="A145" s="9" t="n">
        <v>213011</v>
      </c>
      <c r="B145" s="9" t="inlineStr">
        <is>
          <t>Immaculata University</t>
        </is>
      </c>
      <c r="C145" s="9" t="inlineStr">
        <is>
          <t>Immaculata</t>
        </is>
      </c>
      <c r="D145" s="9" t="inlineStr">
        <is>
          <t>PA</t>
        </is>
      </c>
      <c r="E145" s="9" t="inlineStr">
        <is>
          <t>Private</t>
        </is>
      </c>
      <c r="F145" s="11" t="n">
        <v>24258</v>
      </c>
      <c r="G145" s="11" t="n">
        <v>75701</v>
      </c>
      <c r="H145" s="9">
        <f>COUNTIF($G$5:$G$1531,"&gt;"&amp;G145)+1</f>
        <v/>
      </c>
      <c r="I145" s="9" t="inlineStr"/>
      <c r="J145" s="11">
        <f>IF(E145="Private",F145,"")</f>
        <v/>
      </c>
      <c r="K145" s="11">
        <f>IF(E145="Private",G145,"")</f>
        <v/>
      </c>
    </row>
    <row r="146">
      <c r="A146" s="9" t="n">
        <v>166850</v>
      </c>
      <c r="B146" s="9" t="inlineStr">
        <is>
          <t>Merrimack College</t>
        </is>
      </c>
      <c r="C146" s="9" t="inlineStr">
        <is>
          <t>North Andover</t>
        </is>
      </c>
      <c r="D146" s="9" t="inlineStr">
        <is>
          <t>MA</t>
        </is>
      </c>
      <c r="E146" s="9" t="inlineStr">
        <is>
          <t>Private</t>
        </is>
      </c>
      <c r="F146" s="11" t="n">
        <v>37927</v>
      </c>
      <c r="G146" s="11" t="n">
        <v>75584</v>
      </c>
      <c r="H146" s="9">
        <f>COUNTIF($G$5:$G$1531,"&gt;"&amp;G146)+1</f>
        <v/>
      </c>
      <c r="I146" s="9" t="inlineStr"/>
      <c r="J146" s="11">
        <f>IF(E146="Private",F146,"")</f>
        <v/>
      </c>
      <c r="K146" s="11">
        <f>IF(E146="Private",G146,"")</f>
        <v/>
      </c>
    </row>
    <row r="147">
      <c r="A147" s="9" t="n">
        <v>202480</v>
      </c>
      <c r="B147" s="9" t="inlineStr">
        <is>
          <t>University of Dayton</t>
        </is>
      </c>
      <c r="C147" s="9" t="inlineStr">
        <is>
          <t>Dayton</t>
        </is>
      </c>
      <c r="D147" s="9" t="inlineStr">
        <is>
          <t>OH</t>
        </is>
      </c>
      <c r="E147" s="9" t="inlineStr">
        <is>
          <t>Private</t>
        </is>
      </c>
      <c r="F147" s="11" t="n">
        <v>29533</v>
      </c>
      <c r="G147" s="11" t="n">
        <v>75537</v>
      </c>
      <c r="H147" s="9">
        <f>COUNTIF($G$5:$G$1531,"&gt;"&amp;G147)+1</f>
        <v/>
      </c>
      <c r="I147" s="9" t="inlineStr"/>
      <c r="J147" s="11">
        <f>IF(E147="Private",F147,"")</f>
        <v/>
      </c>
      <c r="K147" s="11">
        <f>IF(E147="Private",G147,"")</f>
        <v/>
      </c>
    </row>
    <row r="148">
      <c r="A148" s="9" t="n">
        <v>173258</v>
      </c>
      <c r="B148" s="9" t="inlineStr">
        <is>
          <t>Carleton College</t>
        </is>
      </c>
      <c r="C148" s="9" t="inlineStr">
        <is>
          <t>Northfield</t>
        </is>
      </c>
      <c r="D148" s="9" t="inlineStr">
        <is>
          <t>MN</t>
        </is>
      </c>
      <c r="E148" s="9" t="inlineStr">
        <is>
          <t>Private</t>
        </is>
      </c>
      <c r="F148" s="11" t="n">
        <v>25407</v>
      </c>
      <c r="G148" s="11" t="n">
        <v>75525</v>
      </c>
      <c r="H148" s="9">
        <f>COUNTIF($G$5:$G$1531,"&gt;"&amp;G148)+1</f>
        <v/>
      </c>
      <c r="I148" s="9" t="inlineStr"/>
      <c r="J148" s="11">
        <f>IF(E148="Private",F148,"")</f>
        <v/>
      </c>
      <c r="K148" s="11">
        <f>IF(E148="Private",G148,"")</f>
        <v/>
      </c>
    </row>
    <row r="149">
      <c r="A149" s="9" t="n">
        <v>188429</v>
      </c>
      <c r="B149" s="9" t="inlineStr">
        <is>
          <t>Adelphi University</t>
        </is>
      </c>
      <c r="C149" s="9" t="inlineStr">
        <is>
          <t>Garden City</t>
        </is>
      </c>
      <c r="D149" s="9" t="inlineStr">
        <is>
          <t>NY</t>
        </is>
      </c>
      <c r="E149" s="9" t="inlineStr">
        <is>
          <t>Private</t>
        </is>
      </c>
      <c r="F149" s="11" t="n">
        <v>30783</v>
      </c>
      <c r="G149" s="11" t="n">
        <v>75482</v>
      </c>
      <c r="H149" s="9">
        <f>COUNTIF($G$5:$G$1531,"&gt;"&amp;G149)+1</f>
        <v/>
      </c>
      <c r="I149" s="9" t="inlineStr"/>
      <c r="J149" s="11">
        <f>IF(E149="Private",F149,"")</f>
        <v/>
      </c>
      <c r="K149" s="11">
        <f>IF(E149="Private",G149,"")</f>
        <v/>
      </c>
    </row>
    <row r="150">
      <c r="A150" s="9" t="n">
        <v>135726</v>
      </c>
      <c r="B150" s="9" t="inlineStr">
        <is>
          <t>University of Miami</t>
        </is>
      </c>
      <c r="C150" s="9" t="inlineStr">
        <is>
          <t>Coral Gables</t>
        </is>
      </c>
      <c r="D150" s="9" t="inlineStr">
        <is>
          <t>FL</t>
        </is>
      </c>
      <c r="E150" s="9" t="inlineStr">
        <is>
          <t>Private</t>
        </is>
      </c>
      <c r="F150" s="11" t="n">
        <v>37244</v>
      </c>
      <c r="G150" s="11" t="n">
        <v>75328</v>
      </c>
      <c r="H150" s="9">
        <f>COUNTIF($G$5:$G$1531,"&gt;"&amp;G150)+1</f>
        <v/>
      </c>
      <c r="I150" s="9" t="inlineStr"/>
      <c r="J150" s="11">
        <f>IF(E150="Private",F150,"")</f>
        <v/>
      </c>
      <c r="K150" s="11">
        <f>IF(E150="Private",G150,"")</f>
        <v/>
      </c>
    </row>
    <row r="151">
      <c r="A151" s="9" t="n">
        <v>236595</v>
      </c>
      <c r="B151" s="9" t="inlineStr">
        <is>
          <t>Seattle University</t>
        </is>
      </c>
      <c r="C151" s="9" t="inlineStr">
        <is>
          <t>Seattle</t>
        </is>
      </c>
      <c r="D151" s="9" t="inlineStr">
        <is>
          <t>WA</t>
        </is>
      </c>
      <c r="E151" s="9" t="inlineStr">
        <is>
          <t>Private</t>
        </is>
      </c>
      <c r="F151" s="11" t="n">
        <v>34662</v>
      </c>
      <c r="G151" s="11" t="n">
        <v>75272</v>
      </c>
      <c r="H151" s="9">
        <f>COUNTIF($G$5:$G$1531,"&gt;"&amp;G151)+1</f>
        <v/>
      </c>
      <c r="I151" s="9" t="inlineStr"/>
      <c r="J151" s="11">
        <f>IF(E151="Private",F151,"")</f>
        <v/>
      </c>
      <c r="K151" s="11">
        <f>IF(E151="Private",G151,"")</f>
        <v/>
      </c>
    </row>
    <row r="152">
      <c r="A152" s="9" t="n">
        <v>211273</v>
      </c>
      <c r="B152" s="9" t="inlineStr">
        <is>
          <t>Bryn Mawr College</t>
        </is>
      </c>
      <c r="C152" s="9" t="inlineStr">
        <is>
          <t>Bryn Mawr</t>
        </is>
      </c>
      <c r="D152" s="9" t="inlineStr">
        <is>
          <t>PA</t>
        </is>
      </c>
      <c r="E152" s="9" t="inlineStr">
        <is>
          <t>Private</t>
        </is>
      </c>
      <c r="F152" s="11" t="n">
        <v>31759</v>
      </c>
      <c r="G152" s="11" t="n">
        <v>75217</v>
      </c>
      <c r="H152" s="9">
        <f>COUNTIF($G$5:$G$1531,"&gt;"&amp;G152)+1</f>
        <v/>
      </c>
      <c r="I152" s="9" t="inlineStr"/>
      <c r="J152" s="11">
        <f>IF(E152="Private",F152,"")</f>
        <v/>
      </c>
      <c r="K152" s="11">
        <f>IF(E152="Private",G152,"")</f>
        <v/>
      </c>
    </row>
    <row r="153">
      <c r="A153" s="9" t="n">
        <v>228778</v>
      </c>
      <c r="B153" s="9" t="inlineStr">
        <is>
          <t>The University of Texas at Austin</t>
        </is>
      </c>
      <c r="C153" s="9" t="inlineStr">
        <is>
          <t>Austin</t>
        </is>
      </c>
      <c r="D153" s="9" t="inlineStr">
        <is>
          <t>TX</t>
        </is>
      </c>
      <c r="E153" s="9" t="inlineStr">
        <is>
          <t>Public</t>
        </is>
      </c>
      <c r="F153" s="11" t="n">
        <v>19857</v>
      </c>
      <c r="G153" s="11" t="n">
        <v>75121</v>
      </c>
      <c r="H153" s="9">
        <f>COUNTIF($G$5:$G$1531,"&gt;"&amp;G153)+1</f>
        <v/>
      </c>
      <c r="I153" s="9" t="inlineStr"/>
      <c r="J153" s="11">
        <f>IF(E153="Private",F153,"")</f>
        <v/>
      </c>
      <c r="K153" s="11">
        <f>IF(E153="Private",G153,"")</f>
        <v/>
      </c>
    </row>
    <row r="154">
      <c r="A154" s="9" t="n">
        <v>130253</v>
      </c>
      <c r="B154" s="9" t="inlineStr">
        <is>
          <t>Sacred Heart University</t>
        </is>
      </c>
      <c r="C154" s="9" t="inlineStr">
        <is>
          <t>Fairfield</t>
        </is>
      </c>
      <c r="D154" s="9" t="inlineStr">
        <is>
          <t>CT</t>
        </is>
      </c>
      <c r="E154" s="9" t="inlineStr">
        <is>
          <t>Private</t>
        </is>
      </c>
      <c r="F154" s="11" t="n">
        <v>46174</v>
      </c>
      <c r="G154" s="11" t="n">
        <v>75059</v>
      </c>
      <c r="H154" s="9">
        <f>COUNTIF($G$5:$G$1531,"&gt;"&amp;G154)+1</f>
        <v/>
      </c>
      <c r="I154" s="9" t="inlineStr"/>
      <c r="J154" s="11">
        <f>IF(E154="Private",F154,"")</f>
        <v/>
      </c>
      <c r="K154" s="11">
        <f>IF(E154="Private",G154,"")</f>
        <v/>
      </c>
    </row>
    <row r="155">
      <c r="A155" s="9" t="n">
        <v>128902</v>
      </c>
      <c r="B155" s="9" t="inlineStr">
        <is>
          <t>Connecticut College</t>
        </is>
      </c>
      <c r="C155" s="9" t="inlineStr">
        <is>
          <t>New London</t>
        </is>
      </c>
      <c r="D155" s="9" t="inlineStr">
        <is>
          <t>CT</t>
        </is>
      </c>
      <c r="E155" s="9" t="inlineStr">
        <is>
          <t>Private</t>
        </is>
      </c>
      <c r="F155" s="11" t="n">
        <v>36175</v>
      </c>
      <c r="G155" s="11" t="n">
        <v>75001</v>
      </c>
      <c r="H155" s="9">
        <f>COUNTIF($G$5:$G$1531,"&gt;"&amp;G155)+1</f>
        <v/>
      </c>
      <c r="I155" s="9" t="inlineStr"/>
      <c r="J155" s="11">
        <f>IF(E155="Private",F155,"")</f>
        <v/>
      </c>
      <c r="K155" s="11">
        <f>IF(E155="Private",G155,"")</f>
        <v/>
      </c>
    </row>
    <row r="156">
      <c r="A156" s="9" t="n">
        <v>110705</v>
      </c>
      <c r="B156" s="9" t="inlineStr">
        <is>
          <t>University of California-Santa Barbara</t>
        </is>
      </c>
      <c r="C156" s="9" t="inlineStr">
        <is>
          <t>Santa Barbara</t>
        </is>
      </c>
      <c r="D156" s="9" t="inlineStr">
        <is>
          <t>CA</t>
        </is>
      </c>
      <c r="E156" s="9" t="inlineStr">
        <is>
          <t>Public</t>
        </is>
      </c>
      <c r="F156" s="11" t="n">
        <v>16109</v>
      </c>
      <c r="G156" s="11" t="n">
        <v>74915</v>
      </c>
      <c r="H156" s="9">
        <f>COUNTIF($G$5:$G$1531,"&gt;"&amp;G156)+1</f>
        <v/>
      </c>
      <c r="I156" s="9" t="inlineStr"/>
      <c r="J156" s="11">
        <f>IF(E156="Private",F156,"")</f>
        <v/>
      </c>
      <c r="K156" s="11">
        <f>IF(E156="Private",G156,"")</f>
        <v/>
      </c>
    </row>
    <row r="157">
      <c r="A157" s="9" t="n">
        <v>164562</v>
      </c>
      <c r="B157" s="9" t="inlineStr">
        <is>
          <t>Assumption University</t>
        </is>
      </c>
      <c r="C157" s="9" t="inlineStr">
        <is>
          <t>Worcester</t>
        </is>
      </c>
      <c r="D157" s="9" t="inlineStr">
        <is>
          <t>MA</t>
        </is>
      </c>
      <c r="E157" s="9" t="inlineStr">
        <is>
          <t>Private</t>
        </is>
      </c>
      <c r="F157" s="11" t="n">
        <v>29498</v>
      </c>
      <c r="G157" s="11" t="n">
        <v>74895</v>
      </c>
      <c r="H157" s="9">
        <f>COUNTIF($G$5:$G$1531,"&gt;"&amp;G157)+1</f>
        <v/>
      </c>
      <c r="I157" s="9" t="inlineStr"/>
      <c r="J157" s="11">
        <f>IF(E157="Private",F157,"")</f>
        <v/>
      </c>
      <c r="K157" s="11">
        <f>IF(E157="Private",G157,"")</f>
        <v/>
      </c>
    </row>
    <row r="158">
      <c r="A158" s="9" t="n">
        <v>212106</v>
      </c>
      <c r="B158" s="9" t="inlineStr">
        <is>
          <t>Duquesne University</t>
        </is>
      </c>
      <c r="C158" s="9" t="inlineStr">
        <is>
          <t>Pittsburgh</t>
        </is>
      </c>
      <c r="D158" s="9" t="inlineStr">
        <is>
          <t>PA</t>
        </is>
      </c>
      <c r="E158" s="9" t="inlineStr">
        <is>
          <t>Private</t>
        </is>
      </c>
      <c r="F158" s="11" t="n">
        <v>37730</v>
      </c>
      <c r="G158" s="11" t="n">
        <v>74742</v>
      </c>
      <c r="H158" s="9">
        <f>COUNTIF($G$5:$G$1531,"&gt;"&amp;G158)+1</f>
        <v/>
      </c>
      <c r="I158" s="9" t="inlineStr"/>
      <c r="J158" s="11">
        <f>IF(E158="Private",F158,"")</f>
        <v/>
      </c>
      <c r="K158" s="11">
        <f>IF(E158="Private",G158,"")</f>
        <v/>
      </c>
    </row>
    <row r="159">
      <c r="A159" s="9" t="n">
        <v>215929</v>
      </c>
      <c r="B159" s="9" t="inlineStr">
        <is>
          <t>University of Scranton</t>
        </is>
      </c>
      <c r="C159" s="9" t="inlineStr">
        <is>
          <t>Scranton</t>
        </is>
      </c>
      <c r="D159" s="9" t="inlineStr">
        <is>
          <t>PA</t>
        </is>
      </c>
      <c r="E159" s="9" t="inlineStr">
        <is>
          <t>Private</t>
        </is>
      </c>
      <c r="F159" s="11" t="n">
        <v>32568</v>
      </c>
      <c r="G159" s="11" t="n">
        <v>74652</v>
      </c>
      <c r="H159" s="9">
        <f>COUNTIF($G$5:$G$1531,"&gt;"&amp;G159)+1</f>
        <v/>
      </c>
      <c r="I159" s="9" t="inlineStr"/>
      <c r="J159" s="11">
        <f>IF(E159="Private",F159,"")</f>
        <v/>
      </c>
      <c r="K159" s="11">
        <f>IF(E159="Private",G159,"")</f>
        <v/>
      </c>
    </row>
    <row r="160">
      <c r="A160" s="9" t="n">
        <v>198516</v>
      </c>
      <c r="B160" s="9" t="inlineStr">
        <is>
          <t>Elon University</t>
        </is>
      </c>
      <c r="C160" s="9" t="inlineStr">
        <is>
          <t>Elon</t>
        </is>
      </c>
      <c r="D160" s="9" t="inlineStr">
        <is>
          <t>NC</t>
        </is>
      </c>
      <c r="E160" s="9" t="inlineStr">
        <is>
          <t>Private</t>
        </is>
      </c>
      <c r="F160" s="11" t="n">
        <v>41555</v>
      </c>
      <c r="G160" s="11" t="n">
        <v>74545</v>
      </c>
      <c r="H160" s="9">
        <f>COUNTIF($G$5:$G$1531,"&gt;"&amp;G160)+1</f>
        <v/>
      </c>
      <c r="I160" s="9" t="inlineStr"/>
      <c r="J160" s="11">
        <f>IF(E160="Private",F160,"")</f>
        <v/>
      </c>
      <c r="K160" s="11">
        <f>IF(E160="Private",G160,"")</f>
        <v/>
      </c>
    </row>
    <row r="161">
      <c r="A161" s="9" t="n">
        <v>196097</v>
      </c>
      <c r="B161" s="9" t="inlineStr">
        <is>
          <t>Stony Brook University</t>
        </is>
      </c>
      <c r="C161" s="9" t="inlineStr">
        <is>
          <t>Stony Brook</t>
        </is>
      </c>
      <c r="D161" s="9" t="inlineStr">
        <is>
          <t>NY</t>
        </is>
      </c>
      <c r="E161" s="9" t="inlineStr">
        <is>
          <t>Public</t>
        </is>
      </c>
      <c r="F161" s="11" t="n">
        <v>18784</v>
      </c>
      <c r="G161" s="11" t="n">
        <v>74502</v>
      </c>
      <c r="H161" s="9">
        <f>COUNTIF($G$5:$G$1531,"&gt;"&amp;G161)+1</f>
        <v/>
      </c>
      <c r="I161" s="9" t="inlineStr"/>
      <c r="J161" s="11">
        <f>IF(E161="Private",F161,"")</f>
        <v/>
      </c>
      <c r="K161" s="11">
        <f>IF(E161="Private",G161,"")</f>
        <v/>
      </c>
    </row>
    <row r="162">
      <c r="A162" s="9" t="n">
        <v>186371</v>
      </c>
      <c r="B162" s="9" t="inlineStr">
        <is>
          <t>Rutgers University-Camden</t>
        </is>
      </c>
      <c r="C162" s="9" t="inlineStr">
        <is>
          <t>Camden</t>
        </is>
      </c>
      <c r="D162" s="9" t="inlineStr">
        <is>
          <t>NJ</t>
        </is>
      </c>
      <c r="E162" s="9" t="inlineStr">
        <is>
          <t>Public</t>
        </is>
      </c>
      <c r="F162" s="11" t="n">
        <v>18745</v>
      </c>
      <c r="G162" s="11" t="n">
        <v>74479</v>
      </c>
      <c r="H162" s="9">
        <f>COUNTIF($G$5:$G$1531,"&gt;"&amp;G162)+1</f>
        <v/>
      </c>
      <c r="I162" s="9" t="inlineStr"/>
      <c r="J162" s="11">
        <f>IF(E162="Private",F162,"")</f>
        <v/>
      </c>
      <c r="K162" s="11">
        <f>IF(E162="Private",G162,"")</f>
        <v/>
      </c>
    </row>
    <row r="163">
      <c r="A163" s="9" t="n">
        <v>186399</v>
      </c>
      <c r="B163" s="9" t="inlineStr">
        <is>
          <t>Rutgers University-Newark</t>
        </is>
      </c>
      <c r="C163" s="9" t="inlineStr">
        <is>
          <t>Newark</t>
        </is>
      </c>
      <c r="D163" s="9" t="inlineStr">
        <is>
          <t>NJ</t>
        </is>
      </c>
      <c r="E163" s="9" t="inlineStr">
        <is>
          <t>Public</t>
        </is>
      </c>
      <c r="F163" s="11" t="n">
        <v>19703</v>
      </c>
      <c r="G163" s="11" t="n">
        <v>74479</v>
      </c>
      <c r="H163" s="9">
        <f>COUNTIF($G$5:$G$1531,"&gt;"&amp;G163)+1</f>
        <v/>
      </c>
      <c r="I163" s="9" t="inlineStr"/>
      <c r="J163" s="11">
        <f>IF(E163="Private",F163,"")</f>
        <v/>
      </c>
      <c r="K163" s="11">
        <f>IF(E163="Private",G163,"")</f>
        <v/>
      </c>
    </row>
    <row r="164">
      <c r="A164" s="9" t="n">
        <v>186380</v>
      </c>
      <c r="B164" s="9" t="inlineStr">
        <is>
          <t>Rutgers University-New Brunswick</t>
        </is>
      </c>
      <c r="C164" s="9" t="inlineStr">
        <is>
          <t>New Brunswick</t>
        </is>
      </c>
      <c r="D164" s="9" t="inlineStr">
        <is>
          <t>NJ</t>
        </is>
      </c>
      <c r="E164" s="9" t="inlineStr">
        <is>
          <t>Public</t>
        </is>
      </c>
      <c r="F164" s="11" t="n">
        <v>24406</v>
      </c>
      <c r="G164" s="11" t="n">
        <v>74479</v>
      </c>
      <c r="H164" s="9">
        <f>COUNTIF($G$5:$G$1531,"&gt;"&amp;G164)+1</f>
        <v/>
      </c>
      <c r="I164" s="9" t="inlineStr"/>
      <c r="J164" s="11">
        <f>IF(E164="Private",F164,"")</f>
        <v/>
      </c>
      <c r="K164" s="11">
        <f>IF(E164="Private",G164,"")</f>
        <v/>
      </c>
    </row>
    <row r="165">
      <c r="A165" s="9" t="n">
        <v>197197</v>
      </c>
      <c r="B165" s="9" t="inlineStr">
        <is>
          <t>Wagner College</t>
        </is>
      </c>
      <c r="C165" s="9" t="inlineStr">
        <is>
          <t>Staten Island</t>
        </is>
      </c>
      <c r="D165" s="9" t="inlineStr">
        <is>
          <t>NY</t>
        </is>
      </c>
      <c r="E165" s="9" t="inlineStr">
        <is>
          <t>Private</t>
        </is>
      </c>
      <c r="F165" s="11" t="n">
        <v>28241</v>
      </c>
      <c r="G165" s="11" t="n">
        <v>74360</v>
      </c>
      <c r="H165" s="9">
        <f>COUNTIF($G$5:$G$1531,"&gt;"&amp;G165)+1</f>
        <v/>
      </c>
      <c r="I165" s="9" t="inlineStr"/>
      <c r="J165" s="11">
        <f>IF(E165="Private",F165,"")</f>
        <v/>
      </c>
      <c r="K165" s="11">
        <f>IF(E165="Private",G165,"")</f>
        <v/>
      </c>
    </row>
    <row r="166">
      <c r="A166" s="9" t="n">
        <v>129020</v>
      </c>
      <c r="B166" s="9" t="inlineStr">
        <is>
          <t>University of Connecticut</t>
        </is>
      </c>
      <c r="C166" s="9" t="inlineStr">
        <is>
          <t>Storrs</t>
        </is>
      </c>
      <c r="D166" s="9" t="inlineStr">
        <is>
          <t>CT</t>
        </is>
      </c>
      <c r="E166" s="9" t="inlineStr">
        <is>
          <t>Public</t>
        </is>
      </c>
      <c r="F166" s="11" t="n">
        <v>25097</v>
      </c>
      <c r="G166" s="11" t="n">
        <v>73997</v>
      </c>
      <c r="H166" s="9">
        <f>COUNTIF($G$5:$G$1531,"&gt;"&amp;G166)+1</f>
        <v/>
      </c>
      <c r="I166" s="9" t="inlineStr"/>
      <c r="J166" s="11">
        <f>IF(E166="Private",F166,"")</f>
        <v/>
      </c>
      <c r="K166" s="11">
        <f>IF(E166="Private",G166,"")</f>
        <v/>
      </c>
    </row>
    <row r="167">
      <c r="A167" s="9" t="n">
        <v>181002</v>
      </c>
      <c r="B167" s="9" t="inlineStr">
        <is>
          <t>Creighton University</t>
        </is>
      </c>
      <c r="C167" s="9" t="inlineStr">
        <is>
          <t>Omaha</t>
        </is>
      </c>
      <c r="D167" s="9" t="inlineStr">
        <is>
          <t>NE</t>
        </is>
      </c>
      <c r="E167" s="9" t="inlineStr">
        <is>
          <t>Private</t>
        </is>
      </c>
      <c r="F167" s="11" t="n">
        <v>31568</v>
      </c>
      <c r="G167" s="11" t="n">
        <v>73911</v>
      </c>
      <c r="H167" s="9">
        <f>COUNTIF($G$5:$G$1531,"&gt;"&amp;G167)+1</f>
        <v/>
      </c>
      <c r="I167" s="9" t="inlineStr"/>
      <c r="J167" s="11">
        <f>IF(E167="Private",F167,"")</f>
        <v/>
      </c>
      <c r="K167" s="11">
        <f>IF(E167="Private",G167,"")</f>
        <v/>
      </c>
    </row>
    <row r="168">
      <c r="A168" s="9" t="n">
        <v>130697</v>
      </c>
      <c r="B168" s="9" t="inlineStr">
        <is>
          <t>Wesleyan University</t>
        </is>
      </c>
      <c r="C168" s="9" t="inlineStr">
        <is>
          <t>Middletown</t>
        </is>
      </c>
      <c r="D168" s="9" t="inlineStr">
        <is>
          <t>CT</t>
        </is>
      </c>
      <c r="E168" s="9" t="inlineStr">
        <is>
          <t>Private</t>
        </is>
      </c>
      <c r="F168" s="11" t="n">
        <v>30177</v>
      </c>
      <c r="G168" s="11" t="n">
        <v>73897</v>
      </c>
      <c r="H168" s="9">
        <f>COUNTIF($G$5:$G$1531,"&gt;"&amp;G168)+1</f>
        <v/>
      </c>
      <c r="I168" s="9" t="inlineStr"/>
      <c r="J168" s="11">
        <f>IF(E168="Private",F168,"")</f>
        <v/>
      </c>
      <c r="K168" s="11">
        <f>IF(E168="Private",G168,"")</f>
        <v/>
      </c>
    </row>
    <row r="169">
      <c r="A169" s="9" t="n">
        <v>240444</v>
      </c>
      <c r="B169" s="9" t="inlineStr">
        <is>
          <t>University of Wisconsin-Madison</t>
        </is>
      </c>
      <c r="C169" s="9" t="inlineStr">
        <is>
          <t>Madison</t>
        </is>
      </c>
      <c r="D169" s="9" t="inlineStr">
        <is>
          <t>WI</t>
        </is>
      </c>
      <c r="E169" s="9" t="inlineStr">
        <is>
          <t>Public</t>
        </is>
      </c>
      <c r="F169" s="11" t="n">
        <v>17354</v>
      </c>
      <c r="G169" s="11" t="n">
        <v>73792</v>
      </c>
      <c r="H169" s="9">
        <f>COUNTIF($G$5:$G$1531,"&gt;"&amp;G169)+1</f>
        <v/>
      </c>
      <c r="I169" s="9" t="inlineStr"/>
      <c r="J169" s="11">
        <f>IF(E169="Private",F169,"")</f>
        <v/>
      </c>
      <c r="K169" s="11">
        <f>IF(E169="Private",G169,"")</f>
        <v/>
      </c>
    </row>
    <row r="170">
      <c r="A170" s="9" t="n">
        <v>174914</v>
      </c>
      <c r="B170" s="9" t="inlineStr">
        <is>
          <t>University of St Thomas (Saint Paul, MN)</t>
        </is>
      </c>
      <c r="C170" s="9" t="inlineStr">
        <is>
          <t>Saint Paul</t>
        </is>
      </c>
      <c r="D170" s="9" t="inlineStr">
        <is>
          <t>MN</t>
        </is>
      </c>
      <c r="E170" s="9" t="inlineStr">
        <is>
          <t>Private</t>
        </is>
      </c>
      <c r="F170" s="11" t="n">
        <v>29155</v>
      </c>
      <c r="G170" s="11" t="n">
        <v>73739</v>
      </c>
      <c r="H170" s="9">
        <f>COUNTIF($G$5:$G$1531,"&gt;"&amp;G170)+1</f>
        <v/>
      </c>
      <c r="I170" s="9" t="inlineStr"/>
      <c r="J170" s="11">
        <f>IF(E170="Private",F170,"")</f>
        <v/>
      </c>
      <c r="K170" s="11">
        <f>IF(E170="Private",G170,"")</f>
        <v/>
      </c>
    </row>
    <row r="171">
      <c r="A171" s="9" t="n">
        <v>216524</v>
      </c>
      <c r="B171" s="9" t="inlineStr">
        <is>
          <t>Ursinus College</t>
        </is>
      </c>
      <c r="C171" s="9" t="inlineStr">
        <is>
          <t>Collegeville</t>
        </is>
      </c>
      <c r="D171" s="9" t="inlineStr">
        <is>
          <t>PA</t>
        </is>
      </c>
      <c r="E171" s="9" t="inlineStr">
        <is>
          <t>Private</t>
        </is>
      </c>
      <c r="F171" s="11" t="n">
        <v>30536</v>
      </c>
      <c r="G171" s="11" t="n">
        <v>73721</v>
      </c>
      <c r="H171" s="9">
        <f>COUNTIF($G$5:$G$1531,"&gt;"&amp;G171)+1</f>
        <v/>
      </c>
      <c r="I171" s="9" t="inlineStr"/>
      <c r="J171" s="11">
        <f>IF(E171="Private",F171,"")</f>
        <v/>
      </c>
      <c r="K171" s="11">
        <f>IF(E171="Private",G171,"")</f>
        <v/>
      </c>
    </row>
    <row r="172">
      <c r="A172" s="9" t="n">
        <v>191931</v>
      </c>
      <c r="B172" s="9" t="inlineStr">
        <is>
          <t>Iona University</t>
        </is>
      </c>
      <c r="C172" s="9" t="inlineStr">
        <is>
          <t>New Rochelle</t>
        </is>
      </c>
      <c r="D172" s="9" t="inlineStr">
        <is>
          <t>NY</t>
        </is>
      </c>
      <c r="E172" s="9" t="inlineStr">
        <is>
          <t>Private</t>
        </is>
      </c>
      <c r="F172" s="11" t="n">
        <v>29188</v>
      </c>
      <c r="G172" s="11" t="n">
        <v>73595</v>
      </c>
      <c r="H172" s="9">
        <f>COUNTIF($G$5:$G$1531,"&gt;"&amp;G172)+1</f>
        <v/>
      </c>
      <c r="I172" s="9" t="inlineStr"/>
      <c r="J172" s="11">
        <f>IF(E172="Private",F172,"")</f>
        <v/>
      </c>
      <c r="K172" s="11">
        <f>IF(E172="Private",G172,"")</f>
        <v/>
      </c>
    </row>
    <row r="173">
      <c r="A173" s="9" t="n">
        <v>231624</v>
      </c>
      <c r="B173" s="9" t="inlineStr">
        <is>
          <t>William &amp; Mary</t>
        </is>
      </c>
      <c r="C173" s="9" t="inlineStr">
        <is>
          <t>Williamsburg</t>
        </is>
      </c>
      <c r="D173" s="9" t="inlineStr">
        <is>
          <t>VA</t>
        </is>
      </c>
      <c r="E173" s="9" t="inlineStr">
        <is>
          <t>Public</t>
        </is>
      </c>
      <c r="F173" s="11" t="n">
        <v>19096</v>
      </c>
      <c r="G173" s="11" t="n">
        <v>73490</v>
      </c>
      <c r="H173" s="9">
        <f>COUNTIF($G$5:$G$1531,"&gt;"&amp;G173)+1</f>
        <v/>
      </c>
      <c r="I173" s="9" t="inlineStr"/>
      <c r="J173" s="11">
        <f>IF(E173="Private",F173,"")</f>
        <v/>
      </c>
      <c r="K173" s="11">
        <f>IF(E173="Private",G173,"")</f>
        <v/>
      </c>
    </row>
    <row r="174">
      <c r="A174" s="9" t="n">
        <v>183239</v>
      </c>
      <c r="B174" s="9" t="inlineStr">
        <is>
          <t>Saint Anselm College</t>
        </is>
      </c>
      <c r="C174" s="9" t="inlineStr">
        <is>
          <t>Manchester</t>
        </is>
      </c>
      <c r="D174" s="9" t="inlineStr">
        <is>
          <t>NH</t>
        </is>
      </c>
      <c r="E174" s="9" t="inlineStr">
        <is>
          <t>Private</t>
        </is>
      </c>
      <c r="F174" s="11" t="n">
        <v>34779</v>
      </c>
      <c r="G174" s="11" t="n">
        <v>73371</v>
      </c>
      <c r="H174" s="9">
        <f>COUNTIF($G$5:$G$1531,"&gt;"&amp;G174)+1</f>
        <v/>
      </c>
      <c r="I174" s="9" t="inlineStr"/>
      <c r="J174" s="11">
        <f>IF(E174="Private",F174,"")</f>
        <v/>
      </c>
      <c r="K174" s="11">
        <f>IF(E174="Private",G174,"")</f>
        <v/>
      </c>
    </row>
    <row r="175">
      <c r="A175" s="9" t="n">
        <v>187134</v>
      </c>
      <c r="B175" s="9" t="inlineStr">
        <is>
          <t>The College of New Jersey</t>
        </is>
      </c>
      <c r="C175" s="9" t="inlineStr">
        <is>
          <t>Ewing</t>
        </is>
      </c>
      <c r="D175" s="9" t="inlineStr">
        <is>
          <t>NJ</t>
        </is>
      </c>
      <c r="E175" s="9" t="inlineStr">
        <is>
          <t>Public</t>
        </is>
      </c>
      <c r="F175" s="11" t="n">
        <v>27646</v>
      </c>
      <c r="G175" s="11" t="n">
        <v>73323</v>
      </c>
      <c r="H175" s="9">
        <f>COUNTIF($G$5:$G$1531,"&gt;"&amp;G175)+1</f>
        <v/>
      </c>
      <c r="I175" s="9" t="inlineStr"/>
      <c r="J175" s="11">
        <f>IF(E175="Private",F175,"")</f>
        <v/>
      </c>
      <c r="K175" s="11">
        <f>IF(E175="Private",G175,"")</f>
        <v/>
      </c>
    </row>
    <row r="176">
      <c r="A176" s="9" t="n">
        <v>131283</v>
      </c>
      <c r="B176" s="9" t="inlineStr">
        <is>
          <t>The Catholic University of America</t>
        </is>
      </c>
      <c r="C176" s="9" t="inlineStr">
        <is>
          <t>Washington</t>
        </is>
      </c>
      <c r="D176" s="9" t="inlineStr">
        <is>
          <t>DC</t>
        </is>
      </c>
      <c r="E176" s="9" t="inlineStr">
        <is>
          <t>Private</t>
        </is>
      </c>
      <c r="F176" s="11" t="n">
        <v>29561</v>
      </c>
      <c r="G176" s="11" t="n">
        <v>73250</v>
      </c>
      <c r="H176" s="9">
        <f>COUNTIF($G$5:$G$1531,"&gt;"&amp;G176)+1</f>
        <v/>
      </c>
      <c r="I176" s="9" t="inlineStr"/>
      <c r="J176" s="11">
        <f>IF(E176="Private",F176,"")</f>
        <v/>
      </c>
      <c r="K176" s="11">
        <f>IF(E176="Private",G176,"")</f>
        <v/>
      </c>
    </row>
    <row r="177">
      <c r="A177" s="9" t="n">
        <v>168254</v>
      </c>
      <c r="B177" s="9" t="inlineStr">
        <is>
          <t>Western New England University</t>
        </is>
      </c>
      <c r="C177" s="9" t="inlineStr">
        <is>
          <t>Springfield</t>
        </is>
      </c>
      <c r="D177" s="9" t="inlineStr">
        <is>
          <t>MA</t>
        </is>
      </c>
      <c r="E177" s="9" t="inlineStr">
        <is>
          <t>Private</t>
        </is>
      </c>
      <c r="F177" s="11" t="n">
        <v>27290</v>
      </c>
      <c r="G177" s="11" t="n">
        <v>73157</v>
      </c>
      <c r="H177" s="9">
        <f>COUNTIF($G$5:$G$1531,"&gt;"&amp;G177)+1</f>
        <v/>
      </c>
      <c r="I177" s="9" t="inlineStr"/>
      <c r="J177" s="11">
        <f>IF(E177="Private",F177,"")</f>
        <v/>
      </c>
      <c r="K177" s="11">
        <f>IF(E177="Private",G177,"")</f>
        <v/>
      </c>
    </row>
    <row r="178">
      <c r="A178" s="9" t="n">
        <v>217536</v>
      </c>
      <c r="B178" s="9" t="inlineStr">
        <is>
          <t>Salve Regina University</t>
        </is>
      </c>
      <c r="C178" s="9" t="inlineStr">
        <is>
          <t>Newport</t>
        </is>
      </c>
      <c r="D178" s="9" t="inlineStr">
        <is>
          <t>RI</t>
        </is>
      </c>
      <c r="E178" s="9" t="inlineStr">
        <is>
          <t>Private</t>
        </is>
      </c>
      <c r="F178" s="11" t="n">
        <v>36967</v>
      </c>
      <c r="G178" s="11" t="n">
        <v>72975</v>
      </c>
      <c r="H178" s="9">
        <f>COUNTIF($G$5:$G$1531,"&gt;"&amp;G178)+1</f>
        <v/>
      </c>
      <c r="I178" s="9" t="inlineStr"/>
      <c r="J178" s="11">
        <f>IF(E178="Private",F178,"")</f>
        <v/>
      </c>
      <c r="K178" s="11">
        <f>IF(E178="Private",G178,"")</f>
        <v/>
      </c>
    </row>
    <row r="179">
      <c r="A179" s="9" t="n">
        <v>130943</v>
      </c>
      <c r="B179" s="9" t="inlineStr">
        <is>
          <t>University of Delaware</t>
        </is>
      </c>
      <c r="C179" s="9" t="inlineStr">
        <is>
          <t>Newark</t>
        </is>
      </c>
      <c r="D179" s="9" t="inlineStr">
        <is>
          <t>DE</t>
        </is>
      </c>
      <c r="E179" s="9" t="inlineStr">
        <is>
          <t>Public</t>
        </is>
      </c>
      <c r="F179" s="11" t="n">
        <v>17799</v>
      </c>
      <c r="G179" s="11" t="n">
        <v>72950</v>
      </c>
      <c r="H179" s="9">
        <f>COUNTIF($G$5:$G$1531,"&gt;"&amp;G179)+1</f>
        <v/>
      </c>
      <c r="I179" s="9" t="inlineStr"/>
      <c r="J179" s="11">
        <f>IF(E179="Private",F179,"")</f>
        <v/>
      </c>
      <c r="K179" s="11">
        <f>IF(E179="Private",G179,"")</f>
        <v/>
      </c>
    </row>
    <row r="180">
      <c r="A180" s="9" t="n">
        <v>121691</v>
      </c>
      <c r="B180" s="9" t="inlineStr">
        <is>
          <t>University of Redlands</t>
        </is>
      </c>
      <c r="C180" s="9" t="inlineStr">
        <is>
          <t>Redlands</t>
        </is>
      </c>
      <c r="D180" s="9" t="inlineStr">
        <is>
          <t>CA</t>
        </is>
      </c>
      <c r="E180" s="9" t="inlineStr">
        <is>
          <t>Private</t>
        </is>
      </c>
      <c r="F180" s="11" t="n">
        <v>30031</v>
      </c>
      <c r="G180" s="11" t="n">
        <v>72690</v>
      </c>
      <c r="H180" s="9">
        <f>COUNTIF($G$5:$G$1531,"&gt;"&amp;G180)+1</f>
        <v/>
      </c>
      <c r="I180" s="9" t="inlineStr"/>
      <c r="J180" s="11">
        <f>IF(E180="Private",F180,"")</f>
        <v/>
      </c>
      <c r="K180" s="11">
        <f>IF(E180="Private",G180,"")</f>
        <v/>
      </c>
    </row>
    <row r="181">
      <c r="A181" s="9" t="n">
        <v>243780</v>
      </c>
      <c r="B181" s="9" t="inlineStr">
        <is>
          <t>Purdue University-Main Campus</t>
        </is>
      </c>
      <c r="C181" s="9" t="inlineStr">
        <is>
          <t>West Lafayette</t>
        </is>
      </c>
      <c r="D181" s="9" t="inlineStr">
        <is>
          <t>IN</t>
        </is>
      </c>
      <c r="E181" s="9" t="inlineStr">
        <is>
          <t>Public</t>
        </is>
      </c>
      <c r="F181" s="11" t="n">
        <v>14600</v>
      </c>
      <c r="G181" s="11" t="n">
        <v>72424</v>
      </c>
      <c r="H181" s="9">
        <f>COUNTIF($G$5:$G$1531,"&gt;"&amp;G181)+1</f>
        <v/>
      </c>
      <c r="I181" s="9" t="inlineStr"/>
      <c r="J181" s="11">
        <f>IF(E181="Private",F181,"")</f>
        <v/>
      </c>
      <c r="K181" s="11">
        <f>IF(E181="Private",G181,"")</f>
        <v/>
      </c>
    </row>
    <row r="182">
      <c r="A182" s="9" t="n">
        <v>119173</v>
      </c>
      <c r="B182" s="9" t="inlineStr">
        <is>
          <t>Mount Saint Mary's University</t>
        </is>
      </c>
      <c r="C182" s="9" t="inlineStr">
        <is>
          <t>Los Angeles</t>
        </is>
      </c>
      <c r="D182" s="9" t="inlineStr">
        <is>
          <t>CA</t>
        </is>
      </c>
      <c r="E182" s="9" t="inlineStr">
        <is>
          <t>Private</t>
        </is>
      </c>
      <c r="F182" s="11" t="n">
        <v>21413</v>
      </c>
      <c r="G182" s="11" t="n">
        <v>72379</v>
      </c>
      <c r="H182" s="9">
        <f>COUNTIF($G$5:$G$1531,"&gt;"&amp;G182)+1</f>
        <v/>
      </c>
      <c r="I182" s="9" t="inlineStr"/>
      <c r="J182" s="11">
        <f>IF(E182="Private",F182,"")</f>
        <v/>
      </c>
      <c r="K182" s="11">
        <f>IF(E182="Private",G182,"")</f>
        <v/>
      </c>
    </row>
    <row r="183">
      <c r="A183" s="9" t="n">
        <v>209506</v>
      </c>
      <c r="B183" s="9" t="inlineStr">
        <is>
          <t>Oregon Institute of Technology</t>
        </is>
      </c>
      <c r="C183" s="9" t="inlineStr">
        <is>
          <t>Klamath Falls</t>
        </is>
      </c>
      <c r="D183" s="9" t="inlineStr">
        <is>
          <t>OR</t>
        </is>
      </c>
      <c r="E183" s="9" t="inlineStr">
        <is>
          <t>Public</t>
        </is>
      </c>
      <c r="F183" s="11" t="n">
        <v>15706</v>
      </c>
      <c r="G183" s="11" t="n">
        <v>72273</v>
      </c>
      <c r="H183" s="9">
        <f>COUNTIF($G$5:$G$1531,"&gt;"&amp;G183)+1</f>
        <v/>
      </c>
      <c r="I183" s="9" t="inlineStr"/>
      <c r="J183" s="11">
        <f>IF(E183="Private",F183,"")</f>
        <v/>
      </c>
      <c r="K183" s="11">
        <f>IF(E183="Private",G183,"")</f>
        <v/>
      </c>
    </row>
    <row r="184">
      <c r="A184" s="9" t="n">
        <v>219347</v>
      </c>
      <c r="B184" s="9" t="inlineStr">
        <is>
          <t>South Dakota School of Mines and Technology</t>
        </is>
      </c>
      <c r="C184" s="9" t="inlineStr">
        <is>
          <t>Rapid City</t>
        </is>
      </c>
      <c r="D184" s="9" t="inlineStr">
        <is>
          <t>SD</t>
        </is>
      </c>
      <c r="E184" s="9" t="inlineStr">
        <is>
          <t>Public</t>
        </is>
      </c>
      <c r="F184" s="11" t="n">
        <v>20183</v>
      </c>
      <c r="G184" s="11" t="n">
        <v>72257</v>
      </c>
      <c r="H184" s="9">
        <f>COUNTIF($G$5:$G$1531,"&gt;"&amp;G184)+1</f>
        <v/>
      </c>
      <c r="I184" s="9" t="inlineStr"/>
      <c r="J184" s="11">
        <f>IF(E184="Private",F184,"")</f>
        <v/>
      </c>
      <c r="K184" s="11">
        <f>IF(E184="Private",G184,"")</f>
        <v/>
      </c>
    </row>
    <row r="185">
      <c r="A185" s="9" t="n">
        <v>199120</v>
      </c>
      <c r="B185" s="9" t="inlineStr">
        <is>
          <t>University of North Carolina at Chapel Hill</t>
        </is>
      </c>
      <c r="C185" s="9" t="inlineStr">
        <is>
          <t>Chapel Hill</t>
        </is>
      </c>
      <c r="D185" s="9" t="inlineStr">
        <is>
          <t>NC</t>
        </is>
      </c>
      <c r="E185" s="9" t="inlineStr">
        <is>
          <t>Public</t>
        </is>
      </c>
      <c r="F185" s="11" t="n">
        <v>11655</v>
      </c>
      <c r="G185" s="11" t="n">
        <v>72200</v>
      </c>
      <c r="H185" s="9">
        <f>COUNTIF($G$5:$G$1531,"&gt;"&amp;G185)+1</f>
        <v/>
      </c>
      <c r="I185" s="9" t="inlineStr"/>
      <c r="J185" s="11">
        <f>IF(E185="Private",F185,"")</f>
        <v/>
      </c>
      <c r="K185" s="11">
        <f>IF(E185="Private",G185,"")</f>
        <v/>
      </c>
    </row>
    <row r="186">
      <c r="A186" s="9" t="n">
        <v>127918</v>
      </c>
      <c r="B186" s="9" t="inlineStr">
        <is>
          <t>Regis University</t>
        </is>
      </c>
      <c r="C186" s="9" t="inlineStr">
        <is>
          <t>Denver</t>
        </is>
      </c>
      <c r="D186" s="9" t="inlineStr">
        <is>
          <t>CO</t>
        </is>
      </c>
      <c r="E186" s="9" t="inlineStr">
        <is>
          <t>Private</t>
        </is>
      </c>
      <c r="F186" s="11" t="n">
        <v>18397</v>
      </c>
      <c r="G186" s="11" t="n">
        <v>72105</v>
      </c>
      <c r="H186" s="9">
        <f>COUNTIF($G$5:$G$1531,"&gt;"&amp;G186)+1</f>
        <v/>
      </c>
      <c r="I186" s="9" t="inlineStr"/>
      <c r="J186" s="11">
        <f>IF(E186="Private",F186,"")</f>
        <v/>
      </c>
      <c r="K186" s="11">
        <f>IF(E186="Private",G186,"")</f>
        <v/>
      </c>
    </row>
    <row r="187">
      <c r="A187" s="9" t="n">
        <v>228723</v>
      </c>
      <c r="B187" s="9" t="inlineStr">
        <is>
          <t>Texas A&amp;M University-College Station</t>
        </is>
      </c>
      <c r="C187" s="9" t="inlineStr">
        <is>
          <t>College Station</t>
        </is>
      </c>
      <c r="D187" s="9" t="inlineStr">
        <is>
          <t>TX</t>
        </is>
      </c>
      <c r="E187" s="9" t="inlineStr">
        <is>
          <t>Public</t>
        </is>
      </c>
      <c r="F187" s="11" t="n">
        <v>21315</v>
      </c>
      <c r="G187" s="11" t="n">
        <v>72097</v>
      </c>
      <c r="H187" s="9">
        <f>COUNTIF($G$5:$G$1531,"&gt;"&amp;G187)+1</f>
        <v/>
      </c>
      <c r="I187" s="9" t="inlineStr"/>
      <c r="J187" s="11">
        <f>IF(E187="Private",F187,"")</f>
        <v/>
      </c>
      <c r="K187" s="11">
        <f>IF(E187="Private",G187,"")</f>
        <v/>
      </c>
    </row>
    <row r="188">
      <c r="A188" s="9" t="n">
        <v>217864</v>
      </c>
      <c r="B188" s="9" t="inlineStr">
        <is>
          <t>Citadel Military College of South Carolina</t>
        </is>
      </c>
      <c r="C188" s="9" t="inlineStr">
        <is>
          <t>Charleston</t>
        </is>
      </c>
      <c r="D188" s="9" t="inlineStr">
        <is>
          <t>SC</t>
        </is>
      </c>
      <c r="E188" s="9" t="inlineStr">
        <is>
          <t>Public</t>
        </is>
      </c>
      <c r="F188" s="11" t="n">
        <v>20723</v>
      </c>
      <c r="G188" s="11" t="n">
        <v>72085</v>
      </c>
      <c r="H188" s="9">
        <f>COUNTIF($G$5:$G$1531,"&gt;"&amp;G188)+1</f>
        <v/>
      </c>
      <c r="I188" s="9" t="inlineStr"/>
      <c r="J188" s="11">
        <f>IF(E188="Private",F188,"")</f>
        <v/>
      </c>
      <c r="K188" s="11">
        <f>IF(E188="Private",G188,"")</f>
        <v/>
      </c>
    </row>
    <row r="189">
      <c r="A189" s="9" t="n">
        <v>109651</v>
      </c>
      <c r="B189" s="9" t="inlineStr">
        <is>
          <t>Art Center College of Design</t>
        </is>
      </c>
      <c r="C189" s="9" t="inlineStr">
        <is>
          <t>Pasadena</t>
        </is>
      </c>
      <c r="D189" s="9" t="inlineStr">
        <is>
          <t>CA</t>
        </is>
      </c>
      <c r="E189" s="9" t="inlineStr">
        <is>
          <t>Private</t>
        </is>
      </c>
      <c r="F189" s="11" t="n">
        <v>48661</v>
      </c>
      <c r="G189" s="11" t="n">
        <v>71958</v>
      </c>
      <c r="H189" s="9">
        <f>COUNTIF($G$5:$G$1531,"&gt;"&amp;G189)+1</f>
        <v/>
      </c>
      <c r="I189" s="9" t="inlineStr"/>
      <c r="J189" s="11">
        <f>IF(E189="Private",F189,"")</f>
        <v/>
      </c>
      <c r="K189" s="11">
        <f>IF(E189="Private",G189,"")</f>
        <v/>
      </c>
    </row>
    <row r="190">
      <c r="A190" s="9" t="n">
        <v>110529</v>
      </c>
      <c r="B190" s="9" t="inlineStr">
        <is>
          <t>California State Polytechnic University-Pomona</t>
        </is>
      </c>
      <c r="C190" s="9" t="inlineStr">
        <is>
          <t>Pomona</t>
        </is>
      </c>
      <c r="D190" s="9" t="inlineStr">
        <is>
          <t>CA</t>
        </is>
      </c>
      <c r="E190" s="9" t="inlineStr">
        <is>
          <t>Public</t>
        </is>
      </c>
      <c r="F190" s="11" t="n">
        <v>11531</v>
      </c>
      <c r="G190" s="11" t="n">
        <v>71902</v>
      </c>
      <c r="H190" s="9">
        <f>COUNTIF($G$5:$G$1531,"&gt;"&amp;G190)+1</f>
        <v/>
      </c>
      <c r="I190" s="9" t="inlineStr"/>
      <c r="J190" s="11">
        <f>IF(E190="Private",F190,"")</f>
        <v/>
      </c>
      <c r="K190" s="11">
        <f>IF(E190="Private",G190,"")</f>
        <v/>
      </c>
    </row>
    <row r="191">
      <c r="A191" s="9" t="n">
        <v>153269</v>
      </c>
      <c r="B191" s="9" t="inlineStr">
        <is>
          <t>Drake University</t>
        </is>
      </c>
      <c r="C191" s="9" t="inlineStr">
        <is>
          <t>Des Moines</t>
        </is>
      </c>
      <c r="D191" s="9" t="inlineStr">
        <is>
          <t>IA</t>
        </is>
      </c>
      <c r="E191" s="9" t="inlineStr">
        <is>
          <t>Private</t>
        </is>
      </c>
      <c r="F191" s="11" t="n">
        <v>29127</v>
      </c>
      <c r="G191" s="11" t="n">
        <v>71901</v>
      </c>
      <c r="H191" s="9">
        <f>COUNTIF($G$5:$G$1531,"&gt;"&amp;G191)+1</f>
        <v/>
      </c>
      <c r="I191" s="9" t="inlineStr"/>
      <c r="J191" s="11">
        <f>IF(E191="Private",F191,"")</f>
        <v/>
      </c>
      <c r="K191" s="11">
        <f>IF(E191="Private",G191,"")</f>
        <v/>
      </c>
    </row>
    <row r="192">
      <c r="A192" s="9" t="n">
        <v>203535</v>
      </c>
      <c r="B192" s="9" t="inlineStr">
        <is>
          <t>Kenyon College</t>
        </is>
      </c>
      <c r="C192" s="9" t="inlineStr">
        <is>
          <t>Gambier</t>
        </is>
      </c>
      <c r="D192" s="9" t="inlineStr">
        <is>
          <t>OH</t>
        </is>
      </c>
      <c r="E192" s="9" t="inlineStr">
        <is>
          <t>Private</t>
        </is>
      </c>
      <c r="F192" s="11" t="n">
        <v>38512</v>
      </c>
      <c r="G192" s="11" t="n">
        <v>71830</v>
      </c>
      <c r="H192" s="9">
        <f>COUNTIF($G$5:$G$1531,"&gt;"&amp;G192)+1</f>
        <v/>
      </c>
      <c r="I192" s="9" t="inlineStr"/>
      <c r="J192" s="11">
        <f>IF(E192="Private",F192,"")</f>
        <v/>
      </c>
      <c r="K192" s="11">
        <f>IF(E192="Private",G192,"")</f>
        <v/>
      </c>
    </row>
    <row r="193">
      <c r="A193" s="9" t="n">
        <v>229267</v>
      </c>
      <c r="B193" s="9" t="inlineStr">
        <is>
          <t>Trinity University</t>
        </is>
      </c>
      <c r="C193" s="9" t="inlineStr">
        <is>
          <t>San Antonio</t>
        </is>
      </c>
      <c r="D193" s="9" t="inlineStr">
        <is>
          <t>TX</t>
        </is>
      </c>
      <c r="E193" s="9" t="inlineStr">
        <is>
          <t>Private</t>
        </is>
      </c>
      <c r="F193" s="11" t="n">
        <v>23464</v>
      </c>
      <c r="G193" s="11" t="n">
        <v>71668</v>
      </c>
      <c r="H193" s="9">
        <f>COUNTIF($G$5:$G$1531,"&gt;"&amp;G193)+1</f>
        <v/>
      </c>
      <c r="I193" s="9" t="inlineStr"/>
      <c r="J193" s="11">
        <f>IF(E193="Private",F193,"")</f>
        <v/>
      </c>
      <c r="K193" s="11">
        <f>IF(E193="Private",G193,"")</f>
        <v/>
      </c>
    </row>
    <row r="194">
      <c r="A194" s="9" t="n">
        <v>166629</v>
      </c>
      <c r="B194" s="9" t="inlineStr">
        <is>
          <t>University of Massachusetts-Amherst</t>
        </is>
      </c>
      <c r="C194" s="9" t="inlineStr">
        <is>
          <t>Amherst</t>
        </is>
      </c>
      <c r="D194" s="9" t="inlineStr">
        <is>
          <t>MA</t>
        </is>
      </c>
      <c r="E194" s="9" t="inlineStr">
        <is>
          <t>Public</t>
        </is>
      </c>
      <c r="F194" s="11" t="n">
        <v>22383</v>
      </c>
      <c r="G194" s="11" t="n">
        <v>71631</v>
      </c>
      <c r="H194" s="9">
        <f>COUNTIF($G$5:$G$1531,"&gt;"&amp;G194)+1</f>
        <v/>
      </c>
      <c r="I194" s="9" t="inlineStr"/>
      <c r="J194" s="11">
        <f>IF(E194="Private",F194,"")</f>
        <v/>
      </c>
      <c r="K194" s="11">
        <f>IF(E194="Private",G194,"")</f>
        <v/>
      </c>
    </row>
    <row r="195">
      <c r="A195" s="9" t="n">
        <v>484473</v>
      </c>
      <c r="B195" s="9" t="inlineStr">
        <is>
          <t>University of Florida-Online</t>
        </is>
      </c>
      <c r="C195" s="9" t="inlineStr">
        <is>
          <t>Gainesville</t>
        </is>
      </c>
      <c r="D195" s="9" t="inlineStr">
        <is>
          <t>FL</t>
        </is>
      </c>
      <c r="E195" s="9" t="inlineStr">
        <is>
          <t>Public</t>
        </is>
      </c>
      <c r="F195" s="11" t="n">
        <v>4815</v>
      </c>
      <c r="G195" s="11" t="n">
        <v>71588</v>
      </c>
      <c r="H195" s="9">
        <f>COUNTIF($G$5:$G$1531,"&gt;"&amp;G195)+1</f>
        <v/>
      </c>
      <c r="I195" s="9" t="inlineStr"/>
      <c r="J195" s="11">
        <f>IF(E195="Private",F195,"")</f>
        <v/>
      </c>
      <c r="K195" s="11">
        <f>IF(E195="Private",G195,"")</f>
        <v/>
      </c>
    </row>
    <row r="196">
      <c r="A196" s="9" t="n">
        <v>134130</v>
      </c>
      <c r="B196" s="9" t="inlineStr">
        <is>
          <t>University of Florida</t>
        </is>
      </c>
      <c r="C196" s="9" t="inlineStr">
        <is>
          <t>Gainesville</t>
        </is>
      </c>
      <c r="D196" s="9" t="inlineStr">
        <is>
          <t>FL</t>
        </is>
      </c>
      <c r="E196" s="9" t="inlineStr">
        <is>
          <t>Public</t>
        </is>
      </c>
      <c r="F196" s="11" t="n">
        <v>6541</v>
      </c>
      <c r="G196" s="11" t="n">
        <v>71588</v>
      </c>
      <c r="H196" s="9">
        <f>COUNTIF($G$5:$G$1531,"&gt;"&amp;G196)+1</f>
        <v/>
      </c>
      <c r="I196" s="9" t="inlineStr"/>
      <c r="J196" s="11">
        <f>IF(E196="Private",F196,"")</f>
        <v/>
      </c>
      <c r="K196" s="11">
        <f>IF(E196="Private",G196,"")</f>
        <v/>
      </c>
    </row>
    <row r="197">
      <c r="A197" s="9" t="n">
        <v>146719</v>
      </c>
      <c r="B197" s="9" t="inlineStr">
        <is>
          <t>Loyola University Chicago</t>
        </is>
      </c>
      <c r="C197" s="9" t="inlineStr">
        <is>
          <t>Chicago</t>
        </is>
      </c>
      <c r="D197" s="9" t="inlineStr">
        <is>
          <t>IL</t>
        </is>
      </c>
      <c r="E197" s="9" t="inlineStr">
        <is>
          <t>Private</t>
        </is>
      </c>
      <c r="F197" s="11" t="n">
        <v>36079</v>
      </c>
      <c r="G197" s="11" t="n">
        <v>71530</v>
      </c>
      <c r="H197" s="9">
        <f>COUNTIF($G$5:$G$1531,"&gt;"&amp;G197)+1</f>
        <v/>
      </c>
      <c r="I197" s="9" t="inlineStr"/>
      <c r="J197" s="11">
        <f>IF(E197="Private",F197,"")</f>
        <v/>
      </c>
      <c r="K197" s="11">
        <f>IF(E197="Private",G197,"")</f>
        <v/>
      </c>
    </row>
    <row r="198">
      <c r="A198" s="9" t="n">
        <v>212674</v>
      </c>
      <c r="B198" s="9" t="inlineStr">
        <is>
          <t>Gettysburg College</t>
        </is>
      </c>
      <c r="C198" s="9" t="inlineStr">
        <is>
          <t>Gettysburg</t>
        </is>
      </c>
      <c r="D198" s="9" t="inlineStr">
        <is>
          <t>PA</t>
        </is>
      </c>
      <c r="E198" s="9" t="inlineStr">
        <is>
          <t>Private</t>
        </is>
      </c>
      <c r="F198" s="11" t="n">
        <v>31490</v>
      </c>
      <c r="G198" s="11" t="n">
        <v>71517</v>
      </c>
      <c r="H198" s="9">
        <f>COUNTIF($G$5:$G$1531,"&gt;"&amp;G198)+1</f>
        <v/>
      </c>
      <c r="I198" s="9" t="inlineStr"/>
      <c r="J198" s="11">
        <f>IF(E198="Private",F198,"")</f>
        <v/>
      </c>
      <c r="K198" s="11">
        <f>IF(E198="Private",G198,"")</f>
        <v/>
      </c>
    </row>
    <row r="199">
      <c r="A199" s="9" t="n">
        <v>217882</v>
      </c>
      <c r="B199" s="9" t="inlineStr">
        <is>
          <t>Clemson University</t>
        </is>
      </c>
      <c r="C199" s="9" t="inlineStr">
        <is>
          <t>Clemson</t>
        </is>
      </c>
      <c r="D199" s="9" t="inlineStr">
        <is>
          <t>SC</t>
        </is>
      </c>
      <c r="E199" s="9" t="inlineStr">
        <is>
          <t>Public</t>
        </is>
      </c>
      <c r="F199" s="11" t="n">
        <v>22253</v>
      </c>
      <c r="G199" s="11" t="n">
        <v>71513</v>
      </c>
      <c r="H199" s="9">
        <f>COUNTIF($G$5:$G$1531,"&gt;"&amp;G199)+1</f>
        <v/>
      </c>
      <c r="I199" s="9" t="inlineStr"/>
      <c r="J199" s="11">
        <f>IF(E199="Private",F199,"")</f>
        <v/>
      </c>
      <c r="K199" s="11">
        <f>IF(E199="Private",G199,"")</f>
        <v/>
      </c>
    </row>
    <row r="200">
      <c r="A200" s="9" t="n">
        <v>110574</v>
      </c>
      <c r="B200" s="9" t="inlineStr">
        <is>
          <t>California State University-East Bay</t>
        </is>
      </c>
      <c r="C200" s="9" t="inlineStr">
        <is>
          <t>Hayward</t>
        </is>
      </c>
      <c r="D200" s="9" t="inlineStr">
        <is>
          <t>CA</t>
        </is>
      </c>
      <c r="E200" s="9" t="inlineStr">
        <is>
          <t>Public</t>
        </is>
      </c>
      <c r="F200" s="11" t="n">
        <v>9320</v>
      </c>
      <c r="G200" s="11" t="n">
        <v>71401</v>
      </c>
      <c r="H200" s="9">
        <f>COUNTIF($G$5:$G$1531,"&gt;"&amp;G200)+1</f>
        <v/>
      </c>
      <c r="I200" s="9" t="inlineStr"/>
      <c r="J200" s="11">
        <f>IF(E200="Private",F200,"")</f>
        <v/>
      </c>
      <c r="K200" s="11">
        <f>IF(E200="Private",G200,"")</f>
        <v/>
      </c>
    </row>
    <row r="201">
      <c r="A201" s="9" t="n">
        <v>197133</v>
      </c>
      <c r="B201" s="9" t="inlineStr">
        <is>
          <t>Vassar College</t>
        </is>
      </c>
      <c r="C201" s="9" t="inlineStr">
        <is>
          <t>Poughkeepsie</t>
        </is>
      </c>
      <c r="D201" s="9" t="inlineStr">
        <is>
          <t>NY</t>
        </is>
      </c>
      <c r="E201" s="9" t="inlineStr">
        <is>
          <t>Private</t>
        </is>
      </c>
      <c r="F201" s="11" t="n">
        <v>39343</v>
      </c>
      <c r="G201" s="11" t="n">
        <v>71366</v>
      </c>
      <c r="H201" s="9">
        <f>COUNTIF($G$5:$G$1531,"&gt;"&amp;G201)+1</f>
        <v/>
      </c>
      <c r="I201" s="9" t="inlineStr"/>
      <c r="J201" s="11">
        <f>IF(E201="Private",F201,"")</f>
        <v/>
      </c>
      <c r="K201" s="11">
        <f>IF(E201="Private",G201,"")</f>
        <v/>
      </c>
    </row>
    <row r="202">
      <c r="A202" s="9" t="n">
        <v>197708</v>
      </c>
      <c r="B202" s="9" t="inlineStr">
        <is>
          <t>Yeshiva University</t>
        </is>
      </c>
      <c r="C202" s="9" t="inlineStr">
        <is>
          <t>New York</t>
        </is>
      </c>
      <c r="D202" s="9" t="inlineStr">
        <is>
          <t>NY</t>
        </is>
      </c>
      <c r="E202" s="9" t="inlineStr">
        <is>
          <t>Private</t>
        </is>
      </c>
      <c r="F202" s="11" t="n">
        <v>49965</v>
      </c>
      <c r="G202" s="11" t="n">
        <v>71353</v>
      </c>
      <c r="H202" s="9">
        <f>COUNTIF($G$5:$G$1531,"&gt;"&amp;G202)+1</f>
        <v/>
      </c>
      <c r="I202" s="9" t="inlineStr"/>
      <c r="J202" s="11">
        <f>IF(E202="Private",F202,"")</f>
        <v/>
      </c>
      <c r="K202" s="11">
        <f>IF(E202="Private",G202,"")</f>
        <v/>
      </c>
    </row>
    <row r="203">
      <c r="A203" s="9" t="n">
        <v>127060</v>
      </c>
      <c r="B203" s="9" t="inlineStr">
        <is>
          <t>University of Denver</t>
        </is>
      </c>
      <c r="C203" s="9" t="inlineStr">
        <is>
          <t>Denver</t>
        </is>
      </c>
      <c r="D203" s="9" t="inlineStr">
        <is>
          <t>CO</t>
        </is>
      </c>
      <c r="E203" s="9" t="inlineStr">
        <is>
          <t>Private</t>
        </is>
      </c>
      <c r="F203" s="11" t="n">
        <v>36131</v>
      </c>
      <c r="G203" s="11" t="n">
        <v>71155</v>
      </c>
      <c r="H203" s="9">
        <f>COUNTIF($G$5:$G$1531,"&gt;"&amp;G203)+1</f>
        <v/>
      </c>
      <c r="I203" s="9" t="inlineStr"/>
      <c r="J203" s="11">
        <f>IF(E203="Private",F203,"")</f>
        <v/>
      </c>
      <c r="K203" s="11">
        <f>IF(E203="Private",G203,"")</f>
        <v/>
      </c>
    </row>
    <row r="204">
      <c r="A204" s="9" t="n">
        <v>169716</v>
      </c>
      <c r="B204" s="9" t="inlineStr">
        <is>
          <t>University of Detroit Mercy</t>
        </is>
      </c>
      <c r="C204" s="9" t="inlineStr">
        <is>
          <t>Detroit</t>
        </is>
      </c>
      <c r="D204" s="9" t="inlineStr">
        <is>
          <t>MI</t>
        </is>
      </c>
      <c r="E204" s="9" t="inlineStr">
        <is>
          <t>Private</t>
        </is>
      </c>
      <c r="F204" s="11" t="n">
        <v>15232</v>
      </c>
      <c r="G204" s="11" t="n">
        <v>71030</v>
      </c>
      <c r="H204" s="9">
        <f>COUNTIF($G$5:$G$1531,"&gt;"&amp;G204)+1</f>
        <v/>
      </c>
      <c r="I204" s="9" t="inlineStr"/>
      <c r="J204" s="11">
        <f>IF(E204="Private",F204,"")</f>
        <v/>
      </c>
      <c r="K204" s="11">
        <f>IF(E204="Private",G204,"")</f>
        <v/>
      </c>
    </row>
    <row r="205">
      <c r="A205" s="9" t="n">
        <v>216852</v>
      </c>
      <c r="B205" s="9" t="inlineStr">
        <is>
          <t>Widener University</t>
        </is>
      </c>
      <c r="C205" s="9" t="inlineStr">
        <is>
          <t>Chester</t>
        </is>
      </c>
      <c r="D205" s="9" t="inlineStr">
        <is>
          <t>PA</t>
        </is>
      </c>
      <c r="E205" s="9" t="inlineStr">
        <is>
          <t>Private</t>
        </is>
      </c>
      <c r="F205" s="11" t="n">
        <v>25759</v>
      </c>
      <c r="G205" s="11" t="n">
        <v>70920</v>
      </c>
      <c r="H205" s="9">
        <f>COUNTIF($G$5:$G$1531,"&gt;"&amp;G205)+1</f>
        <v/>
      </c>
      <c r="I205" s="9" t="inlineStr"/>
      <c r="J205" s="11">
        <f>IF(E205="Private",F205,"")</f>
        <v/>
      </c>
      <c r="K205" s="11">
        <f>IF(E205="Private",G205,"")</f>
        <v/>
      </c>
    </row>
    <row r="206">
      <c r="A206" s="9" t="n">
        <v>145646</v>
      </c>
      <c r="B206" s="9" t="inlineStr">
        <is>
          <t>Illinois Wesleyan University</t>
        </is>
      </c>
      <c r="C206" s="9" t="inlineStr">
        <is>
          <t>Bloomington</t>
        </is>
      </c>
      <c r="D206" s="9" t="inlineStr">
        <is>
          <t>IL</t>
        </is>
      </c>
      <c r="E206" s="9" t="inlineStr">
        <is>
          <t>Private</t>
        </is>
      </c>
      <c r="F206" s="11" t="n">
        <v>28199</v>
      </c>
      <c r="G206" s="11" t="n">
        <v>70871</v>
      </c>
      <c r="H206" s="9">
        <f>COUNTIF($G$5:$G$1531,"&gt;"&amp;G206)+1</f>
        <v/>
      </c>
      <c r="I206" s="9" t="inlineStr"/>
      <c r="J206" s="11">
        <f>IF(E206="Private",F206,"")</f>
        <v/>
      </c>
      <c r="K206" s="11">
        <f>IF(E206="Private",G206,"")</f>
        <v/>
      </c>
    </row>
    <row r="207">
      <c r="A207" s="9" t="n">
        <v>196088</v>
      </c>
      <c r="B207" s="9" t="inlineStr">
        <is>
          <t>University at Buffalo</t>
        </is>
      </c>
      <c r="C207" s="9" t="inlineStr">
        <is>
          <t>Buffalo</t>
        </is>
      </c>
      <c r="D207" s="9" t="inlineStr">
        <is>
          <t>NY</t>
        </is>
      </c>
      <c r="E207" s="9" t="inlineStr">
        <is>
          <t>Public</t>
        </is>
      </c>
      <c r="F207" s="11" t="n">
        <v>20995</v>
      </c>
      <c r="G207" s="11" t="n">
        <v>70814</v>
      </c>
      <c r="H207" s="9">
        <f>COUNTIF($G$5:$G$1531,"&gt;"&amp;G207)+1</f>
        <v/>
      </c>
      <c r="I207" s="9" t="inlineStr"/>
      <c r="J207" s="11">
        <f>IF(E207="Private",F207,"")</f>
        <v/>
      </c>
      <c r="K207" s="11">
        <f>IF(E207="Private",G207,"")</f>
        <v/>
      </c>
    </row>
    <row r="208">
      <c r="A208" s="9" t="n">
        <v>179159</v>
      </c>
      <c r="B208" s="9" t="inlineStr">
        <is>
          <t>Saint Louis University</t>
        </is>
      </c>
      <c r="C208" s="9" t="inlineStr">
        <is>
          <t>Saint Louis</t>
        </is>
      </c>
      <c r="D208" s="9" t="inlineStr">
        <is>
          <t>MO</t>
        </is>
      </c>
      <c r="E208" s="9" t="inlineStr">
        <is>
          <t>Private</t>
        </is>
      </c>
      <c r="F208" s="11" t="n">
        <v>24398</v>
      </c>
      <c r="G208" s="11" t="n">
        <v>70783</v>
      </c>
      <c r="H208" s="9">
        <f>COUNTIF($G$5:$G$1531,"&gt;"&amp;G208)+1</f>
        <v/>
      </c>
      <c r="I208" s="9" t="inlineStr"/>
      <c r="J208" s="11">
        <f>IF(E208="Private",F208,"")</f>
        <v/>
      </c>
      <c r="K208" s="11">
        <f>IF(E208="Private",G208,"")</f>
        <v/>
      </c>
    </row>
    <row r="209">
      <c r="A209" s="9" t="n">
        <v>150400</v>
      </c>
      <c r="B209" s="9" t="inlineStr">
        <is>
          <t>DePauw University</t>
        </is>
      </c>
      <c r="C209" s="9" t="inlineStr">
        <is>
          <t>Greencastle</t>
        </is>
      </c>
      <c r="D209" s="9" t="inlineStr">
        <is>
          <t>IN</t>
        </is>
      </c>
      <c r="E209" s="9" t="inlineStr">
        <is>
          <t>Private</t>
        </is>
      </c>
      <c r="F209" s="11" t="n">
        <v>22264</v>
      </c>
      <c r="G209" s="11" t="n">
        <v>70527</v>
      </c>
      <c r="H209" s="9">
        <f>COUNTIF($G$5:$G$1531,"&gt;"&amp;G209)+1</f>
        <v/>
      </c>
      <c r="I209" s="9" t="inlineStr"/>
      <c r="J209" s="11">
        <f>IF(E209="Private",F209,"")</f>
        <v/>
      </c>
      <c r="K209" s="11">
        <f>IF(E209="Private",G209,"")</f>
        <v/>
      </c>
    </row>
    <row r="210">
      <c r="A210" s="9" t="n">
        <v>120865</v>
      </c>
      <c r="B210" s="9" t="inlineStr">
        <is>
          <t>Pacific Union College</t>
        </is>
      </c>
      <c r="C210" s="9" t="inlineStr">
        <is>
          <t>Angwin</t>
        </is>
      </c>
      <c r="D210" s="9" t="inlineStr">
        <is>
          <t>CA</t>
        </is>
      </c>
      <c r="E210" s="9" t="inlineStr">
        <is>
          <t>Private</t>
        </is>
      </c>
      <c r="F210" s="11" t="n">
        <v>41008</v>
      </c>
      <c r="G210" s="11" t="n">
        <v>70484</v>
      </c>
      <c r="H210" s="9">
        <f>COUNTIF($G$5:$G$1531,"&gt;"&amp;G210)+1</f>
        <v/>
      </c>
      <c r="I210" s="9" t="inlineStr"/>
      <c r="J210" s="11">
        <f>IF(E210="Private",F210,"")</f>
        <v/>
      </c>
      <c r="K210" s="11">
        <f>IF(E210="Private",G210,"")</f>
        <v/>
      </c>
    </row>
    <row r="211">
      <c r="A211" s="9" t="n">
        <v>194310</v>
      </c>
      <c r="B211" s="9" t="inlineStr">
        <is>
          <t>Pace University</t>
        </is>
      </c>
      <c r="C211" s="9" t="inlineStr">
        <is>
          <t>New York</t>
        </is>
      </c>
      <c r="D211" s="9" t="inlineStr">
        <is>
          <t>NY</t>
        </is>
      </c>
      <c r="E211" s="9" t="inlineStr">
        <is>
          <t>Private</t>
        </is>
      </c>
      <c r="F211" s="11" t="n">
        <v>30892</v>
      </c>
      <c r="G211" s="11" t="n">
        <v>70378</v>
      </c>
      <c r="H211" s="9">
        <f>COUNTIF($G$5:$G$1531,"&gt;"&amp;G211)+1</f>
        <v/>
      </c>
      <c r="I211" s="9" t="inlineStr"/>
      <c r="J211" s="11">
        <f>IF(E211="Private",F211,"")</f>
        <v/>
      </c>
      <c r="K211" s="11">
        <f>IF(E211="Private",G211,"")</f>
        <v/>
      </c>
    </row>
    <row r="212">
      <c r="A212" s="9" t="n">
        <v>217518</v>
      </c>
      <c r="B212" s="9" t="inlineStr">
        <is>
          <t>Roger Williams University</t>
        </is>
      </c>
      <c r="C212" s="9" t="inlineStr">
        <is>
          <t>Bristol</t>
        </is>
      </c>
      <c r="D212" s="9" t="inlineStr">
        <is>
          <t>RI</t>
        </is>
      </c>
      <c r="E212" s="9" t="inlineStr">
        <is>
          <t>Private</t>
        </is>
      </c>
      <c r="F212" s="11" t="n">
        <v>37999</v>
      </c>
      <c r="G212" s="11" t="n">
        <v>70266</v>
      </c>
      <c r="H212" s="9">
        <f>COUNTIF($G$5:$G$1531,"&gt;"&amp;G212)+1</f>
        <v/>
      </c>
      <c r="I212" s="9" t="inlineStr"/>
      <c r="J212" s="11">
        <f>IF(E212="Private",F212,"")</f>
        <v/>
      </c>
      <c r="K212" s="11">
        <f>IF(E212="Private",G212,"")</f>
        <v/>
      </c>
    </row>
    <row r="213">
      <c r="A213" s="9" t="n">
        <v>212009</v>
      </c>
      <c r="B213" s="9" t="inlineStr">
        <is>
          <t>Dickinson College</t>
        </is>
      </c>
      <c r="C213" s="9" t="inlineStr">
        <is>
          <t>Carlisle</t>
        </is>
      </c>
      <c r="D213" s="9" t="inlineStr">
        <is>
          <t>PA</t>
        </is>
      </c>
      <c r="E213" s="9" t="inlineStr">
        <is>
          <t>Private</t>
        </is>
      </c>
      <c r="F213" s="11" t="n">
        <v>37607</v>
      </c>
      <c r="G213" s="11" t="n">
        <v>70204</v>
      </c>
      <c r="H213" s="9">
        <f>COUNTIF($G$5:$G$1531,"&gt;"&amp;G213)+1</f>
        <v/>
      </c>
      <c r="I213" s="9" t="inlineStr"/>
      <c r="J213" s="11">
        <f>IF(E213="Private",F213,"")</f>
        <v/>
      </c>
      <c r="K213" s="11">
        <f>IF(E213="Private",G213,"")</f>
        <v/>
      </c>
    </row>
    <row r="214">
      <c r="A214" s="9" t="n">
        <v>186584</v>
      </c>
      <c r="B214" s="9" t="inlineStr">
        <is>
          <t>Seton Hall University</t>
        </is>
      </c>
      <c r="C214" s="9" t="inlineStr">
        <is>
          <t>South Orange</t>
        </is>
      </c>
      <c r="D214" s="9" t="inlineStr">
        <is>
          <t>NJ</t>
        </is>
      </c>
      <c r="E214" s="9" t="inlineStr">
        <is>
          <t>Private</t>
        </is>
      </c>
      <c r="F214" s="11" t="n">
        <v>31446</v>
      </c>
      <c r="G214" s="11" t="n">
        <v>70196</v>
      </c>
      <c r="H214" s="9">
        <f>COUNTIF($G$5:$G$1531,"&gt;"&amp;G214)+1</f>
        <v/>
      </c>
      <c r="I214" s="9" t="inlineStr"/>
      <c r="J214" s="11">
        <f>IF(E214="Private",F214,"")</f>
        <v/>
      </c>
      <c r="K214" s="11">
        <f>IF(E214="Private",G214,"")</f>
        <v/>
      </c>
    </row>
    <row r="215">
      <c r="A215" s="9" t="n">
        <v>194091</v>
      </c>
      <c r="B215" s="9" t="inlineStr">
        <is>
          <t>New York Institute of Technology</t>
        </is>
      </c>
      <c r="C215" s="9" t="inlineStr">
        <is>
          <t>Old Westbury</t>
        </is>
      </c>
      <c r="D215" s="9" t="inlineStr">
        <is>
          <t>NY</t>
        </is>
      </c>
      <c r="E215" s="9" t="inlineStr">
        <is>
          <t>Private</t>
        </is>
      </c>
      <c r="F215" s="11" t="n">
        <v>22443</v>
      </c>
      <c r="G215" s="11" t="n">
        <v>70080</v>
      </c>
      <c r="H215" s="9">
        <f>COUNTIF($G$5:$G$1531,"&gt;"&amp;G215)+1</f>
        <v/>
      </c>
      <c r="I215" s="9" t="inlineStr"/>
      <c r="J215" s="11">
        <f>IF(E215="Private",F215,"")</f>
        <v/>
      </c>
      <c r="K215" s="11">
        <f>IF(E215="Private",G215,"")</f>
        <v/>
      </c>
    </row>
    <row r="216">
      <c r="A216" s="9" t="n">
        <v>111948</v>
      </c>
      <c r="B216" s="9" t="inlineStr">
        <is>
          <t>Chapman University</t>
        </is>
      </c>
      <c r="C216" s="9" t="inlineStr">
        <is>
          <t>Orange</t>
        </is>
      </c>
      <c r="D216" s="9" t="inlineStr">
        <is>
          <t>CA</t>
        </is>
      </c>
      <c r="E216" s="9" t="inlineStr">
        <is>
          <t>Private</t>
        </is>
      </c>
      <c r="F216" s="11" t="n">
        <v>46555</v>
      </c>
      <c r="G216" s="11" t="n">
        <v>70070</v>
      </c>
      <c r="H216" s="9">
        <f>COUNTIF($G$5:$G$1531,"&gt;"&amp;G216)+1</f>
        <v/>
      </c>
      <c r="I216" s="9" t="inlineStr"/>
      <c r="J216" s="11">
        <f>IF(E216="Private",F216,"")</f>
        <v/>
      </c>
      <c r="K216" s="11">
        <f>IF(E216="Private",G216,"")</f>
        <v/>
      </c>
    </row>
    <row r="217">
      <c r="A217" s="9" t="n">
        <v>163268</v>
      </c>
      <c r="B217" s="9" t="inlineStr">
        <is>
          <t>University of Maryland-Baltimore County</t>
        </is>
      </c>
      <c r="C217" s="9" t="inlineStr">
        <is>
          <t>Baltimore</t>
        </is>
      </c>
      <c r="D217" s="9" t="inlineStr">
        <is>
          <t>MD</t>
        </is>
      </c>
      <c r="E217" s="9" t="inlineStr">
        <is>
          <t>Public</t>
        </is>
      </c>
      <c r="F217" s="11" t="n">
        <v>16467</v>
      </c>
      <c r="G217" s="11" t="n">
        <v>69960</v>
      </c>
      <c r="H217" s="9">
        <f>COUNTIF($G$5:$G$1531,"&gt;"&amp;G217)+1</f>
        <v/>
      </c>
      <c r="I217" s="9" t="inlineStr"/>
      <c r="J217" s="11">
        <f>IF(E217="Private",F217,"")</f>
        <v/>
      </c>
      <c r="K217" s="11">
        <f>IF(E217="Private",G217,"")</f>
        <v/>
      </c>
    </row>
    <row r="218">
      <c r="A218" s="9" t="n">
        <v>232423</v>
      </c>
      <c r="B218" s="9" t="inlineStr">
        <is>
          <t>James Madison University</t>
        </is>
      </c>
      <c r="C218" s="9" t="inlineStr">
        <is>
          <t>Harrisonburg</t>
        </is>
      </c>
      <c r="D218" s="9" t="inlineStr">
        <is>
          <t>VA</t>
        </is>
      </c>
      <c r="E218" s="9" t="inlineStr">
        <is>
          <t>Public</t>
        </is>
      </c>
      <c r="F218" s="11" t="n">
        <v>23322</v>
      </c>
      <c r="G218" s="11" t="n">
        <v>69954</v>
      </c>
      <c r="H218" s="9">
        <f>COUNTIF($G$5:$G$1531,"&gt;"&amp;G218)+1</f>
        <v/>
      </c>
      <c r="I218" s="9" t="inlineStr"/>
      <c r="J218" s="11">
        <f>IF(E218="Private",F218,"")</f>
        <v/>
      </c>
      <c r="K218" s="11">
        <f>IF(E218="Private",G218,"")</f>
        <v/>
      </c>
    </row>
    <row r="219">
      <c r="A219" s="9" t="n">
        <v>152673</v>
      </c>
      <c r="B219" s="9" t="inlineStr">
        <is>
          <t>Wabash College</t>
        </is>
      </c>
      <c r="C219" s="9" t="inlineStr">
        <is>
          <t>Crawfordsville</t>
        </is>
      </c>
      <c r="D219" s="9" t="inlineStr">
        <is>
          <t>IN</t>
        </is>
      </c>
      <c r="E219" s="9" t="inlineStr">
        <is>
          <t>Private</t>
        </is>
      </c>
      <c r="F219" s="11" t="n">
        <v>24336</v>
      </c>
      <c r="G219" s="11" t="n">
        <v>69952</v>
      </c>
      <c r="H219" s="9">
        <f>COUNTIF($G$5:$G$1531,"&gt;"&amp;G219)+1</f>
        <v/>
      </c>
      <c r="I219" s="9" t="inlineStr"/>
      <c r="J219" s="11">
        <f>IF(E219="Private",F219,"")</f>
        <v/>
      </c>
      <c r="K219" s="11">
        <f>IF(E219="Private",G219,"")</f>
        <v/>
      </c>
    </row>
    <row r="220">
      <c r="A220" s="9" t="n">
        <v>196042</v>
      </c>
      <c r="B220" s="9" t="inlineStr">
        <is>
          <t>Farmingdale State College</t>
        </is>
      </c>
      <c r="C220" s="9" t="inlineStr">
        <is>
          <t>Farmingdale</t>
        </is>
      </c>
      <c r="D220" s="9" t="inlineStr">
        <is>
          <t>NY</t>
        </is>
      </c>
      <c r="E220" s="9" t="inlineStr">
        <is>
          <t>Public</t>
        </is>
      </c>
      <c r="F220" s="11" t="n">
        <v>10867</v>
      </c>
      <c r="G220" s="11" t="n">
        <v>69781</v>
      </c>
      <c r="H220" s="9">
        <f>COUNTIF($G$5:$G$1531,"&gt;"&amp;G220)+1</f>
        <v/>
      </c>
      <c r="I220" s="9" t="inlineStr"/>
      <c r="J220" s="11">
        <f>IF(E220="Private",F220,"")</f>
        <v/>
      </c>
      <c r="K220" s="11">
        <f>IF(E220="Private",G220,"")</f>
        <v/>
      </c>
    </row>
    <row r="221">
      <c r="A221" s="9" t="n">
        <v>217484</v>
      </c>
      <c r="B221" s="9" t="inlineStr">
        <is>
          <t>University of Rhode Island</t>
        </is>
      </c>
      <c r="C221" s="9" t="inlineStr">
        <is>
          <t>Kingston</t>
        </is>
      </c>
      <c r="D221" s="9" t="inlineStr">
        <is>
          <t>RI</t>
        </is>
      </c>
      <c r="E221" s="9" t="inlineStr">
        <is>
          <t>Public</t>
        </is>
      </c>
      <c r="F221" s="11" t="n">
        <v>21440</v>
      </c>
      <c r="G221" s="11" t="n">
        <v>69743</v>
      </c>
      <c r="H221" s="9">
        <f>COUNTIF($G$5:$G$1531,"&gt;"&amp;G221)+1</f>
        <v/>
      </c>
      <c r="I221" s="9" t="inlineStr"/>
      <c r="J221" s="11">
        <f>IF(E221="Private",F221,"")</f>
        <v/>
      </c>
      <c r="K221" s="11">
        <f>IF(E221="Private",G221,"")</f>
        <v/>
      </c>
    </row>
    <row r="222">
      <c r="A222" s="9" t="n">
        <v>126614</v>
      </c>
      <c r="B222" s="9" t="inlineStr">
        <is>
          <t>University of Colorado Boulder</t>
        </is>
      </c>
      <c r="C222" s="9" t="inlineStr">
        <is>
          <t>Boulder</t>
        </is>
      </c>
      <c r="D222" s="9" t="inlineStr">
        <is>
          <t>CO</t>
        </is>
      </c>
      <c r="E222" s="9" t="inlineStr">
        <is>
          <t>Public</t>
        </is>
      </c>
      <c r="F222" s="11" t="n">
        <v>25346</v>
      </c>
      <c r="G222" s="11" t="n">
        <v>69738</v>
      </c>
      <c r="H222" s="9">
        <f>COUNTIF($G$5:$G$1531,"&gt;"&amp;G222)+1</f>
        <v/>
      </c>
      <c r="I222" s="9" t="inlineStr"/>
      <c r="J222" s="11">
        <f>IF(E222="Private",F222,"")</f>
        <v/>
      </c>
      <c r="K222" s="11">
        <f>IF(E222="Private",G222,"")</f>
        <v/>
      </c>
    </row>
    <row r="223">
      <c r="A223" s="9" t="n">
        <v>236328</v>
      </c>
      <c r="B223" s="9" t="inlineStr">
        <is>
          <t>University of Puget Sound</t>
        </is>
      </c>
      <c r="C223" s="9" t="inlineStr">
        <is>
          <t>Tacoma</t>
        </is>
      </c>
      <c r="D223" s="9" t="inlineStr">
        <is>
          <t>WA</t>
        </is>
      </c>
      <c r="E223" s="9" t="inlineStr">
        <is>
          <t>Private</t>
        </is>
      </c>
      <c r="F223" s="11" t="n">
        <v>38394</v>
      </c>
      <c r="G223" s="11" t="n">
        <v>69594</v>
      </c>
      <c r="H223" s="9">
        <f>COUNTIF($G$5:$G$1531,"&gt;"&amp;G223)+1</f>
        <v/>
      </c>
      <c r="I223" s="9" t="inlineStr"/>
      <c r="J223" s="11">
        <f>IF(E223="Private",F223,"")</f>
        <v/>
      </c>
      <c r="K223" s="11">
        <f>IF(E223="Private",G223,"")</f>
        <v/>
      </c>
    </row>
    <row r="224">
      <c r="A224" s="9" t="n">
        <v>195809</v>
      </c>
      <c r="B224" s="9" t="inlineStr">
        <is>
          <t>St. John's University-New York</t>
        </is>
      </c>
      <c r="C224" s="9" t="inlineStr">
        <is>
          <t>Queens</t>
        </is>
      </c>
      <c r="D224" s="9" t="inlineStr">
        <is>
          <t>NY</t>
        </is>
      </c>
      <c r="E224" s="9" t="inlineStr">
        <is>
          <t>Private</t>
        </is>
      </c>
      <c r="F224" s="11" t="n">
        <v>29999</v>
      </c>
      <c r="G224" s="11" t="n">
        <v>69571</v>
      </c>
      <c r="H224" s="9">
        <f>COUNTIF($G$5:$G$1531,"&gt;"&amp;G224)+1</f>
        <v/>
      </c>
      <c r="I224" s="9" t="inlineStr"/>
      <c r="J224" s="11">
        <f>IF(E224="Private",F224,"")</f>
        <v/>
      </c>
      <c r="K224" s="11">
        <f>IF(E224="Private",G224,"")</f>
        <v/>
      </c>
    </row>
    <row r="225">
      <c r="A225" s="9" t="n">
        <v>121257</v>
      </c>
      <c r="B225" s="9" t="inlineStr">
        <is>
          <t>Pitzer College</t>
        </is>
      </c>
      <c r="C225" s="9" t="inlineStr">
        <is>
          <t>Claremont</t>
        </is>
      </c>
      <c r="D225" s="9" t="inlineStr">
        <is>
          <t>CA</t>
        </is>
      </c>
      <c r="E225" s="9" t="inlineStr">
        <is>
          <t>Private</t>
        </is>
      </c>
      <c r="F225" s="11" t="n">
        <v>34191</v>
      </c>
      <c r="G225" s="11" t="n">
        <v>69512</v>
      </c>
      <c r="H225" s="9">
        <f>COUNTIF($G$5:$G$1531,"&gt;"&amp;G225)+1</f>
        <v/>
      </c>
      <c r="I225" s="9" t="inlineStr"/>
      <c r="J225" s="11">
        <f>IF(E225="Private",F225,"")</f>
        <v/>
      </c>
      <c r="K225" s="11">
        <f>IF(E225="Private",G225,"")</f>
        <v/>
      </c>
    </row>
    <row r="226">
      <c r="A226" s="9" t="n">
        <v>160977</v>
      </c>
      <c r="B226" s="9" t="inlineStr">
        <is>
          <t>Bates College</t>
        </is>
      </c>
      <c r="C226" s="9" t="inlineStr">
        <is>
          <t>Lewiston</t>
        </is>
      </c>
      <c r="D226" s="9" t="inlineStr">
        <is>
          <t>ME</t>
        </is>
      </c>
      <c r="E226" s="9" t="inlineStr">
        <is>
          <t>Private</t>
        </is>
      </c>
      <c r="F226" s="11" t="n">
        <v>29351</v>
      </c>
      <c r="G226" s="11" t="n">
        <v>69498</v>
      </c>
      <c r="H226" s="9">
        <f>COUNTIF($G$5:$G$1531,"&gt;"&amp;G226)+1</f>
        <v/>
      </c>
      <c r="I226" s="9" t="inlineStr"/>
      <c r="J226" s="11">
        <f>IF(E226="Private",F226,"")</f>
        <v/>
      </c>
      <c r="K226" s="11">
        <f>IF(E226="Private",G226,"")</f>
        <v/>
      </c>
    </row>
    <row r="227">
      <c r="A227" s="9" t="n">
        <v>195526</v>
      </c>
      <c r="B227" s="9" t="inlineStr">
        <is>
          <t>Skidmore College</t>
        </is>
      </c>
      <c r="C227" s="9" t="inlineStr">
        <is>
          <t>Saratoga Springs</t>
        </is>
      </c>
      <c r="D227" s="9" t="inlineStr">
        <is>
          <t>NY</t>
        </is>
      </c>
      <c r="E227" s="9" t="inlineStr">
        <is>
          <t>Private</t>
        </is>
      </c>
      <c r="F227" s="11" t="n">
        <v>32297</v>
      </c>
      <c r="G227" s="11" t="n">
        <v>69363</v>
      </c>
      <c r="H227" s="9">
        <f>COUNTIF($G$5:$G$1531,"&gt;"&amp;G227)+1</f>
        <v/>
      </c>
      <c r="I227" s="9" t="inlineStr"/>
      <c r="J227" s="11">
        <f>IF(E227="Private",F227,"")</f>
        <v/>
      </c>
      <c r="K227" s="11">
        <f>IF(E227="Private",G227,"")</f>
        <v/>
      </c>
    </row>
    <row r="228">
      <c r="A228" s="9" t="n">
        <v>170675</v>
      </c>
      <c r="B228" s="9" t="inlineStr">
        <is>
          <t>Lawrence Technological University</t>
        </is>
      </c>
      <c r="C228" s="9" t="inlineStr">
        <is>
          <t>Southfield</t>
        </is>
      </c>
      <c r="D228" s="9" t="inlineStr">
        <is>
          <t>MI</t>
        </is>
      </c>
      <c r="E228" s="9" t="inlineStr">
        <is>
          <t>Private</t>
        </is>
      </c>
      <c r="F228" s="11" t="n">
        <v>32918</v>
      </c>
      <c r="G228" s="11" t="n">
        <v>69151</v>
      </c>
      <c r="H228" s="9">
        <f>COUNTIF($G$5:$G$1531,"&gt;"&amp;G228)+1</f>
        <v/>
      </c>
      <c r="I228" s="9" t="inlineStr"/>
      <c r="J228" s="11">
        <f>IF(E228="Private",F228,"")</f>
        <v/>
      </c>
      <c r="K228" s="11">
        <f>IF(E228="Private",G228,"")</f>
        <v/>
      </c>
    </row>
    <row r="229">
      <c r="A229" s="9" t="n">
        <v>214175</v>
      </c>
      <c r="B229" s="9" t="inlineStr">
        <is>
          <t>Muhlenberg College</t>
        </is>
      </c>
      <c r="C229" s="9" t="inlineStr">
        <is>
          <t>Allentown</t>
        </is>
      </c>
      <c r="D229" s="9" t="inlineStr">
        <is>
          <t>PA</t>
        </is>
      </c>
      <c r="E229" s="9" t="inlineStr">
        <is>
          <t>Private</t>
        </is>
      </c>
      <c r="F229" s="11" t="n">
        <v>28905</v>
      </c>
      <c r="G229" s="11" t="n">
        <v>69107</v>
      </c>
      <c r="H229" s="9">
        <f>COUNTIF($G$5:$G$1531,"&gt;"&amp;G229)+1</f>
        <v/>
      </c>
      <c r="I229" s="9" t="inlineStr"/>
      <c r="J229" s="11">
        <f>IF(E229="Private",F229,"")</f>
        <v/>
      </c>
      <c r="K229" s="11">
        <f>IF(E229="Private",G229,"")</f>
        <v/>
      </c>
    </row>
    <row r="230">
      <c r="A230" s="9" t="n">
        <v>191649</v>
      </c>
      <c r="B230" s="9" t="inlineStr">
        <is>
          <t>Hofstra University</t>
        </is>
      </c>
      <c r="C230" s="9" t="inlineStr">
        <is>
          <t>Hempstead</t>
        </is>
      </c>
      <c r="D230" s="9" t="inlineStr">
        <is>
          <t>NY</t>
        </is>
      </c>
      <c r="E230" s="9" t="inlineStr">
        <is>
          <t>Private</t>
        </is>
      </c>
      <c r="F230" s="11" t="n">
        <v>34176</v>
      </c>
      <c r="G230" s="11" t="n">
        <v>69039</v>
      </c>
      <c r="H230" s="9">
        <f>COUNTIF($G$5:$G$1531,"&gt;"&amp;G230)+1</f>
        <v/>
      </c>
      <c r="I230" s="9" t="inlineStr"/>
      <c r="J230" s="11">
        <f>IF(E230="Private",F230,"")</f>
        <v/>
      </c>
      <c r="K230" s="11">
        <f>IF(E230="Private",G230,"")</f>
        <v/>
      </c>
    </row>
    <row r="231">
      <c r="A231" s="9" t="n">
        <v>174066</v>
      </c>
      <c r="B231" s="9" t="inlineStr">
        <is>
          <t>University of Minnesota-Twin Cities</t>
        </is>
      </c>
      <c r="C231" s="9" t="inlineStr">
        <is>
          <t>Minneapolis</t>
        </is>
      </c>
      <c r="D231" s="9" t="inlineStr">
        <is>
          <t>MN</t>
        </is>
      </c>
      <c r="E231" s="9" t="inlineStr">
        <is>
          <t>Public</t>
        </is>
      </c>
      <c r="F231" s="11" t="n">
        <v>16778</v>
      </c>
      <c r="G231" s="11" t="n">
        <v>69020</v>
      </c>
      <c r="H231" s="9">
        <f>COUNTIF($G$5:$G$1531,"&gt;"&amp;G231)+1</f>
        <v/>
      </c>
      <c r="I231" s="9" t="inlineStr"/>
      <c r="J231" s="11">
        <f>IF(E231="Private",F231,"")</f>
        <v/>
      </c>
      <c r="K231" s="11">
        <f>IF(E231="Private",G231,"")</f>
        <v/>
      </c>
    </row>
    <row r="232">
      <c r="A232" s="9" t="n">
        <v>218973</v>
      </c>
      <c r="B232" s="9" t="inlineStr">
        <is>
          <t>Wofford College</t>
        </is>
      </c>
      <c r="C232" s="9" t="inlineStr">
        <is>
          <t>Spartanburg</t>
        </is>
      </c>
      <c r="D232" s="9" t="inlineStr">
        <is>
          <t>SC</t>
        </is>
      </c>
      <c r="E232" s="9" t="inlineStr">
        <is>
          <t>Private</t>
        </is>
      </c>
      <c r="F232" s="11" t="n">
        <v>18732</v>
      </c>
      <c r="G232" s="11" t="n">
        <v>68964</v>
      </c>
      <c r="H232" s="9">
        <f>COUNTIF($G$5:$G$1531,"&gt;"&amp;G232)+1</f>
        <v/>
      </c>
      <c r="I232" s="9" t="inlineStr"/>
      <c r="J232" s="11">
        <f>IF(E232="Private",F232,"")</f>
        <v/>
      </c>
      <c r="K232" s="11">
        <f>IF(E232="Private",G232,"")</f>
        <v/>
      </c>
    </row>
    <row r="233">
      <c r="A233" s="9" t="n">
        <v>236939</v>
      </c>
      <c r="B233" s="9" t="inlineStr">
        <is>
          <t>Washington State University</t>
        </is>
      </c>
      <c r="C233" s="9" t="inlineStr">
        <is>
          <t>Pullman</t>
        </is>
      </c>
      <c r="D233" s="9" t="inlineStr">
        <is>
          <t>WA</t>
        </is>
      </c>
      <c r="E233" s="9" t="inlineStr">
        <is>
          <t>Public</t>
        </is>
      </c>
      <c r="F233" s="11" t="n">
        <v>14971</v>
      </c>
      <c r="G233" s="11" t="n">
        <v>68905</v>
      </c>
      <c r="H233" s="9">
        <f>COUNTIF($G$5:$G$1531,"&gt;"&amp;G233)+1</f>
        <v/>
      </c>
      <c r="I233" s="9" t="inlineStr"/>
      <c r="J233" s="11">
        <f>IF(E233="Private",F233,"")</f>
        <v/>
      </c>
      <c r="K233" s="11">
        <f>IF(E233="Private",G233,"")</f>
        <v/>
      </c>
    </row>
    <row r="234">
      <c r="A234" s="9" t="n">
        <v>191630</v>
      </c>
      <c r="B234" s="9" t="inlineStr">
        <is>
          <t>Hobart William Smith Colleges</t>
        </is>
      </c>
      <c r="C234" s="9" t="inlineStr">
        <is>
          <t>Geneva</t>
        </is>
      </c>
      <c r="D234" s="9" t="inlineStr">
        <is>
          <t>NY</t>
        </is>
      </c>
      <c r="E234" s="9" t="inlineStr">
        <is>
          <t>Private</t>
        </is>
      </c>
      <c r="F234" s="11" t="n">
        <v>31563</v>
      </c>
      <c r="G234" s="11" t="n">
        <v>68831</v>
      </c>
      <c r="H234" s="9">
        <f>COUNTIF($G$5:$G$1531,"&gt;"&amp;G234)+1</f>
        <v/>
      </c>
      <c r="I234" s="9" t="inlineStr"/>
      <c r="J234" s="11">
        <f>IF(E234="Private",F234,"")</f>
        <v/>
      </c>
      <c r="K234" s="11">
        <f>IF(E234="Private",G234,"")</f>
        <v/>
      </c>
    </row>
    <row r="235">
      <c r="A235" s="9" t="n">
        <v>167987</v>
      </c>
      <c r="B235" s="9" t="inlineStr">
        <is>
          <t>University of Massachusetts-Dartmouth</t>
        </is>
      </c>
      <c r="C235" s="9" t="inlineStr">
        <is>
          <t>North Dartmouth</t>
        </is>
      </c>
      <c r="D235" s="9" t="inlineStr">
        <is>
          <t>MA</t>
        </is>
      </c>
      <c r="E235" s="9" t="inlineStr">
        <is>
          <t>Public</t>
        </is>
      </c>
      <c r="F235" s="11" t="n">
        <v>20927</v>
      </c>
      <c r="G235" s="11" t="n">
        <v>68804</v>
      </c>
      <c r="H235" s="9">
        <f>COUNTIF($G$5:$G$1531,"&gt;"&amp;G235)+1</f>
        <v/>
      </c>
      <c r="I235" s="9" t="inlineStr"/>
      <c r="J235" s="11">
        <f>IF(E235="Private",F235,"")</f>
        <v/>
      </c>
      <c r="K235" s="11">
        <f>IF(E235="Private",G235,"")</f>
        <v/>
      </c>
    </row>
    <row r="236">
      <c r="A236" s="9" t="n">
        <v>199193</v>
      </c>
      <c r="B236" s="9" t="inlineStr">
        <is>
          <t>North Carolina State University at Raleigh</t>
        </is>
      </c>
      <c r="C236" s="9" t="inlineStr">
        <is>
          <t>Raleigh</t>
        </is>
      </c>
      <c r="D236" s="9" t="inlineStr">
        <is>
          <t>NC</t>
        </is>
      </c>
      <c r="E236" s="9" t="inlineStr">
        <is>
          <t>Public</t>
        </is>
      </c>
      <c r="F236" s="11" t="n">
        <v>17303</v>
      </c>
      <c r="G236" s="11" t="n">
        <v>68758</v>
      </c>
      <c r="H236" s="9">
        <f>COUNTIF($G$5:$G$1531,"&gt;"&amp;G236)+1</f>
        <v/>
      </c>
      <c r="I236" s="9" t="inlineStr"/>
      <c r="J236" s="11">
        <f>IF(E236="Private",F236,"")</f>
        <v/>
      </c>
      <c r="K236" s="11">
        <f>IF(E236="Private",G236,"")</f>
        <v/>
      </c>
    </row>
    <row r="237">
      <c r="A237" s="9" t="n">
        <v>144740</v>
      </c>
      <c r="B237" s="9" t="inlineStr">
        <is>
          <t>DePaul University</t>
        </is>
      </c>
      <c r="C237" s="9" t="inlineStr">
        <is>
          <t>Chicago</t>
        </is>
      </c>
      <c r="D237" s="9" t="inlineStr">
        <is>
          <t>IL</t>
        </is>
      </c>
      <c r="E237" s="9" t="inlineStr">
        <is>
          <t>Private</t>
        </is>
      </c>
      <c r="F237" s="11" t="n">
        <v>30902</v>
      </c>
      <c r="G237" s="11" t="n">
        <v>68751</v>
      </c>
      <c r="H237" s="9">
        <f>COUNTIF($G$5:$G$1531,"&gt;"&amp;G237)+1</f>
        <v/>
      </c>
      <c r="I237" s="9" t="inlineStr"/>
      <c r="J237" s="11">
        <f>IF(E237="Private",F237,"")</f>
        <v/>
      </c>
      <c r="K237" s="11">
        <f>IF(E237="Private",G237,"")</f>
        <v/>
      </c>
    </row>
    <row r="238">
      <c r="A238" s="9" t="n">
        <v>145600</v>
      </c>
      <c r="B238" s="9" t="inlineStr">
        <is>
          <t>University of Illinois Chicago</t>
        </is>
      </c>
      <c r="C238" s="9" t="inlineStr">
        <is>
          <t>Chicago</t>
        </is>
      </c>
      <c r="D238" s="9" t="inlineStr">
        <is>
          <t>IL</t>
        </is>
      </c>
      <c r="E238" s="9" t="inlineStr">
        <is>
          <t>Public</t>
        </is>
      </c>
      <c r="F238" s="11" t="n">
        <v>10974</v>
      </c>
      <c r="G238" s="11" t="n">
        <v>68740</v>
      </c>
      <c r="H238" s="9">
        <f>COUNTIF($G$5:$G$1531,"&gt;"&amp;G238)+1</f>
        <v/>
      </c>
      <c r="I238" s="9" t="inlineStr"/>
      <c r="J238" s="11">
        <f>IF(E238="Private",F238,"")</f>
        <v/>
      </c>
      <c r="K238" s="11">
        <f>IF(E238="Private",G238,"")</f>
        <v/>
      </c>
    </row>
    <row r="239">
      <c r="A239" s="9" t="n">
        <v>139959</v>
      </c>
      <c r="B239" s="9" t="inlineStr">
        <is>
          <t>University of Georgia</t>
        </is>
      </c>
      <c r="C239" s="9" t="inlineStr">
        <is>
          <t>Athens</t>
        </is>
      </c>
      <c r="D239" s="9" t="inlineStr">
        <is>
          <t>GA</t>
        </is>
      </c>
      <c r="E239" s="9" t="inlineStr">
        <is>
          <t>Public</t>
        </is>
      </c>
      <c r="F239" s="11" t="n">
        <v>13936</v>
      </c>
      <c r="G239" s="11" t="n">
        <v>68726</v>
      </c>
      <c r="H239" s="9">
        <f>COUNTIF($G$5:$G$1531,"&gt;"&amp;G239)+1</f>
        <v/>
      </c>
      <c r="I239" s="9" t="inlineStr"/>
      <c r="J239" s="11">
        <f>IF(E239="Private",F239,"")</f>
        <v/>
      </c>
      <c r="K239" s="11">
        <f>IF(E239="Private",G239,"")</f>
        <v/>
      </c>
    </row>
    <row r="240">
      <c r="A240" s="9" t="n">
        <v>110413</v>
      </c>
      <c r="B240" s="9" t="inlineStr">
        <is>
          <t>California Lutheran University</t>
        </is>
      </c>
      <c r="C240" s="9" t="inlineStr">
        <is>
          <t>Thousand Oaks</t>
        </is>
      </c>
      <c r="D240" s="9" t="inlineStr">
        <is>
          <t>CA</t>
        </is>
      </c>
      <c r="E240" s="9" t="inlineStr">
        <is>
          <t>Private</t>
        </is>
      </c>
      <c r="F240" s="11" t="n">
        <v>30109</v>
      </c>
      <c r="G240" s="11" t="n">
        <v>68712</v>
      </c>
      <c r="H240" s="9">
        <f>COUNTIF($G$5:$G$1531,"&gt;"&amp;G240)+1</f>
        <v/>
      </c>
      <c r="I240" s="9" t="inlineStr"/>
      <c r="J240" s="11">
        <f>IF(E240="Private",F240,"")</f>
        <v/>
      </c>
      <c r="K240" s="11">
        <f>IF(E240="Private",G240,"")</f>
        <v/>
      </c>
    </row>
    <row r="241">
      <c r="A241" s="9" t="n">
        <v>218070</v>
      </c>
      <c r="B241" s="9" t="inlineStr">
        <is>
          <t>Furman University</t>
        </is>
      </c>
      <c r="C241" s="9" t="inlineStr">
        <is>
          <t>Greenville</t>
        </is>
      </c>
      <c r="D241" s="9" t="inlineStr">
        <is>
          <t>SC</t>
        </is>
      </c>
      <c r="E241" s="9" t="inlineStr">
        <is>
          <t>Private</t>
        </is>
      </c>
      <c r="F241" s="11" t="n">
        <v>30308</v>
      </c>
      <c r="G241" s="11" t="n">
        <v>68635</v>
      </c>
      <c r="H241" s="9">
        <f>COUNTIF($G$5:$G$1531,"&gt;"&amp;G241)+1</f>
        <v/>
      </c>
      <c r="I241" s="9" t="inlineStr"/>
      <c r="J241" s="11">
        <f>IF(E241="Private",F241,"")</f>
        <v/>
      </c>
      <c r="K241" s="11">
        <f>IF(E241="Private",G241,"")</f>
        <v/>
      </c>
    </row>
    <row r="242">
      <c r="A242" s="9" t="n">
        <v>228875</v>
      </c>
      <c r="B242" s="9" t="inlineStr">
        <is>
          <t>Texas Christian University</t>
        </is>
      </c>
      <c r="C242" s="9" t="inlineStr">
        <is>
          <t>Fort Worth</t>
        </is>
      </c>
      <c r="D242" s="9" t="inlineStr">
        <is>
          <t>TX</t>
        </is>
      </c>
      <c r="E242" s="9" t="inlineStr">
        <is>
          <t>Private</t>
        </is>
      </c>
      <c r="F242" s="11" t="n">
        <v>36660</v>
      </c>
      <c r="G242" s="11" t="n">
        <v>68424</v>
      </c>
      <c r="H242" s="9">
        <f>COUNTIF($G$5:$G$1531,"&gt;"&amp;G242)+1</f>
        <v/>
      </c>
      <c r="I242" s="9" t="inlineStr"/>
      <c r="J242" s="11">
        <f>IF(E242="Private",F242,"")</f>
        <v/>
      </c>
      <c r="K242" s="11">
        <f>IF(E242="Private",G242,"")</f>
        <v/>
      </c>
    </row>
    <row r="243">
      <c r="A243" s="9" t="n">
        <v>110714</v>
      </c>
      <c r="B243" s="9" t="inlineStr">
        <is>
          <t>University of California-Santa Cruz</t>
        </is>
      </c>
      <c r="C243" s="9" t="inlineStr">
        <is>
          <t>Santa Cruz</t>
        </is>
      </c>
      <c r="D243" s="9" t="inlineStr">
        <is>
          <t>CA</t>
        </is>
      </c>
      <c r="E243" s="9" t="inlineStr">
        <is>
          <t>Public</t>
        </is>
      </c>
      <c r="F243" s="11" t="n">
        <v>17890</v>
      </c>
      <c r="G243" s="11" t="n">
        <v>68396</v>
      </c>
      <c r="H243" s="9">
        <f>COUNTIF($G$5:$G$1531,"&gt;"&amp;G243)+1</f>
        <v/>
      </c>
      <c r="I243" s="9" t="inlineStr"/>
      <c r="J243" s="11">
        <f>IF(E243="Private",F243,"")</f>
        <v/>
      </c>
      <c r="K243" s="11">
        <f>IF(E243="Private",G243,"")</f>
        <v/>
      </c>
    </row>
    <row r="244">
      <c r="A244" s="9" t="n">
        <v>165671</v>
      </c>
      <c r="B244" s="9" t="inlineStr">
        <is>
          <t>Emmanuel College</t>
        </is>
      </c>
      <c r="C244" s="9" t="inlineStr">
        <is>
          <t>Boston</t>
        </is>
      </c>
      <c r="D244" s="9" t="inlineStr">
        <is>
          <t>MA</t>
        </is>
      </c>
      <c r="E244" s="9" t="inlineStr">
        <is>
          <t>Private</t>
        </is>
      </c>
      <c r="F244" s="11" t="n">
        <v>26706</v>
      </c>
      <c r="G244" s="11" t="n">
        <v>68245</v>
      </c>
      <c r="H244" s="9">
        <f>COUNTIF($G$5:$G$1531,"&gt;"&amp;G244)+1</f>
        <v/>
      </c>
      <c r="I244" s="9" t="inlineStr"/>
      <c r="J244" s="11">
        <f>IF(E244="Private",F244,"")</f>
        <v/>
      </c>
      <c r="K244" s="11">
        <f>IF(E244="Private",G244,"")</f>
        <v/>
      </c>
    </row>
    <row r="245">
      <c r="A245" s="9" t="n">
        <v>228787</v>
      </c>
      <c r="B245" s="9" t="inlineStr">
        <is>
          <t>The University of Texas at Dallas</t>
        </is>
      </c>
      <c r="C245" s="9" t="inlineStr">
        <is>
          <t>Richardson</t>
        </is>
      </c>
      <c r="D245" s="9" t="inlineStr">
        <is>
          <t>TX</t>
        </is>
      </c>
      <c r="E245" s="9" t="inlineStr">
        <is>
          <t>Public</t>
        </is>
      </c>
      <c r="F245" s="11" t="n">
        <v>18267</v>
      </c>
      <c r="G245" s="11" t="n">
        <v>68227</v>
      </c>
      <c r="H245" s="9">
        <f>COUNTIF($G$5:$G$1531,"&gt;"&amp;G245)+1</f>
        <v/>
      </c>
      <c r="I245" s="9" t="inlineStr"/>
      <c r="J245" s="11">
        <f>IF(E245="Private",F245,"")</f>
        <v/>
      </c>
      <c r="K245" s="11">
        <f>IF(E245="Private",G245,"")</f>
        <v/>
      </c>
    </row>
    <row r="246">
      <c r="A246" s="9" t="n">
        <v>217493</v>
      </c>
      <c r="B246" s="9" t="inlineStr">
        <is>
          <t>Rhode Island School of Design</t>
        </is>
      </c>
      <c r="C246" s="9" t="inlineStr">
        <is>
          <t>Providence</t>
        </is>
      </c>
      <c r="D246" s="9" t="inlineStr">
        <is>
          <t>RI</t>
        </is>
      </c>
      <c r="E246" s="9" t="inlineStr">
        <is>
          <t>Private</t>
        </is>
      </c>
      <c r="F246" s="11" t="n">
        <v>50507</v>
      </c>
      <c r="G246" s="11" t="n">
        <v>68140</v>
      </c>
      <c r="H246" s="9">
        <f>COUNTIF($G$5:$G$1531,"&gt;"&amp;G246)+1</f>
        <v/>
      </c>
      <c r="I246" s="9" t="inlineStr"/>
      <c r="J246" s="11">
        <f>IF(E246="Private",F246,"")</f>
        <v/>
      </c>
      <c r="K246" s="11">
        <f>IF(E246="Private",G246,"")</f>
        <v/>
      </c>
    </row>
    <row r="247">
      <c r="A247" s="9" t="n">
        <v>122597</v>
      </c>
      <c r="B247" s="9" t="inlineStr">
        <is>
          <t>San Francisco State University</t>
        </is>
      </c>
      <c r="C247" s="9" t="inlineStr">
        <is>
          <t>San Francisco</t>
        </is>
      </c>
      <c r="D247" s="9" t="inlineStr">
        <is>
          <t>CA</t>
        </is>
      </c>
      <c r="E247" s="9" t="inlineStr">
        <is>
          <t>Public</t>
        </is>
      </c>
      <c r="F247" s="11" t="n">
        <v>12278</v>
      </c>
      <c r="G247" s="11" t="n">
        <v>68077</v>
      </c>
      <c r="H247" s="9">
        <f>COUNTIF($G$5:$G$1531,"&gt;"&amp;G247)+1</f>
        <v/>
      </c>
      <c r="I247" s="9" t="inlineStr"/>
      <c r="J247" s="11">
        <f>IF(E247="Private",F247,"")</f>
        <v/>
      </c>
      <c r="K247" s="11">
        <f>IF(E247="Private",G247,"")</f>
        <v/>
      </c>
    </row>
    <row r="248">
      <c r="A248" s="9" t="n">
        <v>134945</v>
      </c>
      <c r="B248" s="9" t="inlineStr">
        <is>
          <t>Jacksonville University</t>
        </is>
      </c>
      <c r="C248" s="9" t="inlineStr">
        <is>
          <t>Jacksonville</t>
        </is>
      </c>
      <c r="D248" s="9" t="inlineStr">
        <is>
          <t>FL</t>
        </is>
      </c>
      <c r="E248" s="9" t="inlineStr">
        <is>
          <t>Private</t>
        </is>
      </c>
      <c r="F248" s="11" t="n">
        <v>25180</v>
      </c>
      <c r="G248" s="11" t="n">
        <v>68010</v>
      </c>
      <c r="H248" s="9">
        <f>COUNTIF($G$5:$G$1531,"&gt;"&amp;G248)+1</f>
        <v/>
      </c>
      <c r="I248" s="9" t="inlineStr"/>
      <c r="J248" s="11">
        <f>IF(E248="Private",F248,"")</f>
        <v/>
      </c>
      <c r="K248" s="11">
        <f>IF(E248="Private",G248,"")</f>
        <v/>
      </c>
    </row>
    <row r="249">
      <c r="A249" s="9" t="n">
        <v>185572</v>
      </c>
      <c r="B249" s="9" t="inlineStr">
        <is>
          <t>Monmouth University</t>
        </is>
      </c>
      <c r="C249" s="9" t="inlineStr">
        <is>
          <t>West Long Branch</t>
        </is>
      </c>
      <c r="D249" s="9" t="inlineStr">
        <is>
          <t>NJ</t>
        </is>
      </c>
      <c r="E249" s="9" t="inlineStr">
        <is>
          <t>Private</t>
        </is>
      </c>
      <c r="F249" s="11" t="n">
        <v>30988</v>
      </c>
      <c r="G249" s="11" t="n">
        <v>67991</v>
      </c>
      <c r="H249" s="9">
        <f>COUNTIF($G$5:$G$1531,"&gt;"&amp;G249)+1</f>
        <v/>
      </c>
      <c r="I249" s="9" t="inlineStr"/>
      <c r="J249" s="11">
        <f>IF(E249="Private",F249,"")</f>
        <v/>
      </c>
      <c r="K249" s="11">
        <f>IF(E249="Private",G249,"")</f>
        <v/>
      </c>
    </row>
    <row r="250">
      <c r="A250" s="9" t="n">
        <v>196060</v>
      </c>
      <c r="B250" s="9" t="inlineStr">
        <is>
          <t>University at Albany</t>
        </is>
      </c>
      <c r="C250" s="9" t="inlineStr">
        <is>
          <t>Albany</t>
        </is>
      </c>
      <c r="D250" s="9" t="inlineStr">
        <is>
          <t>NY</t>
        </is>
      </c>
      <c r="E250" s="9" t="inlineStr">
        <is>
          <t>Public</t>
        </is>
      </c>
      <c r="F250" s="11" t="n">
        <v>17167</v>
      </c>
      <c r="G250" s="11" t="n">
        <v>67979</v>
      </c>
      <c r="H250" s="9">
        <f>COUNTIF($G$5:$G$1531,"&gt;"&amp;G250)+1</f>
        <v/>
      </c>
      <c r="I250" s="9" t="inlineStr"/>
      <c r="J250" s="11">
        <f>IF(E250="Private",F250,"")</f>
        <v/>
      </c>
      <c r="K250" s="11">
        <f>IF(E250="Private",G250,"")</f>
        <v/>
      </c>
    </row>
    <row r="251">
      <c r="A251" s="9" t="n">
        <v>216667</v>
      </c>
      <c r="B251" s="9" t="inlineStr">
        <is>
          <t>Washington &amp; Jefferson College</t>
        </is>
      </c>
      <c r="C251" s="9" t="inlineStr">
        <is>
          <t>Washington</t>
        </is>
      </c>
      <c r="D251" s="9" t="inlineStr">
        <is>
          <t>PA</t>
        </is>
      </c>
      <c r="E251" s="9" t="inlineStr">
        <is>
          <t>Private</t>
        </is>
      </c>
      <c r="F251" s="11" t="n">
        <v>25002</v>
      </c>
      <c r="G251" s="11" t="n">
        <v>67918</v>
      </c>
      <c r="H251" s="9">
        <f>COUNTIF($G$5:$G$1531,"&gt;"&amp;G251)+1</f>
        <v/>
      </c>
      <c r="I251" s="9" t="inlineStr"/>
      <c r="J251" s="11">
        <f>IF(E251="Private",F251,"")</f>
        <v/>
      </c>
      <c r="K251" s="11">
        <f>IF(E251="Private",G251,"")</f>
        <v/>
      </c>
    </row>
    <row r="252">
      <c r="A252" s="9" t="n">
        <v>202523</v>
      </c>
      <c r="B252" s="9" t="inlineStr">
        <is>
          <t>Denison University</t>
        </is>
      </c>
      <c r="C252" s="9" t="inlineStr">
        <is>
          <t>Granville</t>
        </is>
      </c>
      <c r="D252" s="9" t="inlineStr">
        <is>
          <t>OH</t>
        </is>
      </c>
      <c r="E252" s="9" t="inlineStr">
        <is>
          <t>Private</t>
        </is>
      </c>
      <c r="F252" s="11" t="n">
        <v>40007</v>
      </c>
      <c r="G252" s="11" t="n">
        <v>67753</v>
      </c>
      <c r="H252" s="9">
        <f>COUNTIF($G$5:$G$1531,"&gt;"&amp;G252)+1</f>
        <v/>
      </c>
      <c r="I252" s="9" t="inlineStr"/>
      <c r="J252" s="11">
        <f>IF(E252="Private",F252,"")</f>
        <v/>
      </c>
      <c r="K252" s="11">
        <f>IF(E252="Private",G252,"")</f>
        <v/>
      </c>
    </row>
    <row r="253">
      <c r="A253" s="9" t="n">
        <v>168281</v>
      </c>
      <c r="B253" s="9" t="inlineStr">
        <is>
          <t>Wheaton College (Massachusetts)</t>
        </is>
      </c>
      <c r="C253" s="9" t="inlineStr">
        <is>
          <t>Norton</t>
        </is>
      </c>
      <c r="D253" s="9" t="inlineStr">
        <is>
          <t>MA</t>
        </is>
      </c>
      <c r="E253" s="9" t="inlineStr">
        <is>
          <t>Private</t>
        </is>
      </c>
      <c r="F253" s="11" t="n">
        <v>29822</v>
      </c>
      <c r="G253" s="11" t="n">
        <v>67725</v>
      </c>
      <c r="H253" s="9">
        <f>COUNTIF($G$5:$G$1531,"&gt;"&amp;G253)+1</f>
        <v/>
      </c>
      <c r="I253" s="9" t="inlineStr"/>
      <c r="J253" s="11">
        <f>IF(E253="Private",F253,"")</f>
        <v/>
      </c>
      <c r="K253" s="11">
        <f>IF(E253="Private",G253,"")</f>
        <v/>
      </c>
    </row>
    <row r="254">
      <c r="A254" s="9" t="n">
        <v>193353</v>
      </c>
      <c r="B254" s="9" t="inlineStr">
        <is>
          <t>Mount Saint Mary College</t>
        </is>
      </c>
      <c r="C254" s="9" t="inlineStr">
        <is>
          <t>Newburgh</t>
        </is>
      </c>
      <c r="D254" s="9" t="inlineStr">
        <is>
          <t>NY</t>
        </is>
      </c>
      <c r="E254" s="9" t="inlineStr">
        <is>
          <t>Private</t>
        </is>
      </c>
      <c r="F254" s="11" t="n">
        <v>25522</v>
      </c>
      <c r="G254" s="11" t="n">
        <v>67705</v>
      </c>
      <c r="H254" s="9">
        <f>COUNTIF($G$5:$G$1531,"&gt;"&amp;G254)+1</f>
        <v/>
      </c>
      <c r="I254" s="9" t="inlineStr"/>
      <c r="J254" s="11">
        <f>IF(E254="Private",F254,"")</f>
        <v/>
      </c>
      <c r="K254" s="11">
        <f>IF(E254="Private",G254,"")</f>
        <v/>
      </c>
    </row>
    <row r="255">
      <c r="A255" s="9" t="n">
        <v>110671</v>
      </c>
      <c r="B255" s="9" t="inlineStr">
        <is>
          <t>University of California-Riverside</t>
        </is>
      </c>
      <c r="C255" s="9" t="inlineStr">
        <is>
          <t>Riverside</t>
        </is>
      </c>
      <c r="D255" s="9" t="inlineStr">
        <is>
          <t>CA</t>
        </is>
      </c>
      <c r="E255" s="9" t="inlineStr">
        <is>
          <t>Public</t>
        </is>
      </c>
      <c r="F255" s="11" t="n">
        <v>14304</v>
      </c>
      <c r="G255" s="11" t="n">
        <v>67699</v>
      </c>
      <c r="H255" s="9">
        <f>COUNTIF($G$5:$G$1531,"&gt;"&amp;G255)+1</f>
        <v/>
      </c>
      <c r="I255" s="9" t="inlineStr"/>
      <c r="J255" s="11">
        <f>IF(E255="Private",F255,"")</f>
        <v/>
      </c>
      <c r="K255" s="11">
        <f>IF(E255="Private",G255,"")</f>
        <v/>
      </c>
    </row>
    <row r="256">
      <c r="A256" s="9" t="n">
        <v>232256</v>
      </c>
      <c r="B256" s="9" t="inlineStr">
        <is>
          <t>Hampden-Sydney College</t>
        </is>
      </c>
      <c r="C256" s="9" t="inlineStr">
        <is>
          <t>Hampden-Sydney</t>
        </is>
      </c>
      <c r="D256" s="9" t="inlineStr">
        <is>
          <t>VA</t>
        </is>
      </c>
      <c r="E256" s="9" t="inlineStr">
        <is>
          <t>Private</t>
        </is>
      </c>
      <c r="F256" s="11" t="n">
        <v>22400</v>
      </c>
      <c r="G256" s="11" t="n">
        <v>67640</v>
      </c>
      <c r="H256" s="9">
        <f>COUNTIF($G$5:$G$1531,"&gt;"&amp;G256)+1</f>
        <v/>
      </c>
      <c r="I256" s="9" t="inlineStr"/>
      <c r="J256" s="11">
        <f>IF(E256="Private",F256,"")</f>
        <v/>
      </c>
      <c r="K256" s="11">
        <f>IF(E256="Private",G256,"")</f>
        <v/>
      </c>
    </row>
    <row r="257">
      <c r="A257" s="9" t="n">
        <v>237057</v>
      </c>
      <c r="B257" s="9" t="inlineStr">
        <is>
          <t>Whitman College</t>
        </is>
      </c>
      <c r="C257" s="9" t="inlineStr">
        <is>
          <t>Walla Walla</t>
        </is>
      </c>
      <c r="D257" s="9" t="inlineStr">
        <is>
          <t>WA</t>
        </is>
      </c>
      <c r="E257" s="9" t="inlineStr">
        <is>
          <t>Private</t>
        </is>
      </c>
      <c r="F257" s="11" t="n">
        <v>33313</v>
      </c>
      <c r="G257" s="11" t="n">
        <v>67589</v>
      </c>
      <c r="H257" s="9">
        <f>COUNTIF($G$5:$G$1531,"&gt;"&amp;G257)+1</f>
        <v/>
      </c>
      <c r="I257" s="9" t="inlineStr"/>
      <c r="J257" s="11">
        <f>IF(E257="Private",F257,"")</f>
        <v/>
      </c>
      <c r="K257" s="11">
        <f>IF(E257="Private",G257,"")</f>
        <v/>
      </c>
    </row>
    <row r="258">
      <c r="A258" s="9" t="n">
        <v>119605</v>
      </c>
      <c r="B258" s="9" t="inlineStr">
        <is>
          <t>National University</t>
        </is>
      </c>
      <c r="C258" s="9" t="inlineStr">
        <is>
          <t>San Diego</t>
        </is>
      </c>
      <c r="D258" s="9" t="inlineStr">
        <is>
          <t>CA</t>
        </is>
      </c>
      <c r="E258" s="9" t="inlineStr">
        <is>
          <t>Private</t>
        </is>
      </c>
      <c r="F258" s="11" t="n">
        <v>22878</v>
      </c>
      <c r="G258" s="11" t="n">
        <v>67548</v>
      </c>
      <c r="H258" s="9">
        <f>COUNTIF($G$5:$G$1531,"&gt;"&amp;G258)+1</f>
        <v/>
      </c>
      <c r="I258" s="9" t="inlineStr"/>
      <c r="J258" s="11">
        <f>IF(E258="Private",F258,"")</f>
        <v/>
      </c>
      <c r="K258" s="11">
        <f>IF(E258="Private",G258,"")</f>
        <v/>
      </c>
    </row>
    <row r="259">
      <c r="A259" s="9" t="n">
        <v>186201</v>
      </c>
      <c r="B259" s="9" t="inlineStr">
        <is>
          <t>Ramapo College of New Jersey</t>
        </is>
      </c>
      <c r="C259" s="9" t="inlineStr">
        <is>
          <t>Mahwah</t>
        </is>
      </c>
      <c r="D259" s="9" t="inlineStr">
        <is>
          <t>NJ</t>
        </is>
      </c>
      <c r="E259" s="9" t="inlineStr">
        <is>
          <t>Public</t>
        </is>
      </c>
      <c r="F259" s="11" t="n">
        <v>18173</v>
      </c>
      <c r="G259" s="11" t="n">
        <v>67541</v>
      </c>
      <c r="H259" s="9">
        <f>COUNTIF($G$5:$G$1531,"&gt;"&amp;G259)+1</f>
        <v/>
      </c>
      <c r="I259" s="9" t="inlineStr"/>
      <c r="J259" s="11">
        <f>IF(E259="Private",F259,"")</f>
        <v/>
      </c>
      <c r="K259" s="11">
        <f>IF(E259="Private",G259,"")</f>
        <v/>
      </c>
    </row>
    <row r="260">
      <c r="A260" s="9" t="n">
        <v>232706</v>
      </c>
      <c r="B260" s="9" t="inlineStr">
        <is>
          <t>Marymount University</t>
        </is>
      </c>
      <c r="C260" s="9" t="inlineStr">
        <is>
          <t>Arlington</t>
        </is>
      </c>
      <c r="D260" s="9" t="inlineStr">
        <is>
          <t>VA</t>
        </is>
      </c>
      <c r="E260" s="9" t="inlineStr">
        <is>
          <t>Private</t>
        </is>
      </c>
      <c r="F260" s="11" t="n">
        <v>29137</v>
      </c>
      <c r="G260" s="11" t="n">
        <v>67516</v>
      </c>
      <c r="H260" s="9">
        <f>COUNTIF($G$5:$G$1531,"&gt;"&amp;G260)+1</f>
        <v/>
      </c>
      <c r="I260" s="9" t="inlineStr"/>
      <c r="J260" s="11">
        <f>IF(E260="Private",F260,"")</f>
        <v/>
      </c>
      <c r="K260" s="11">
        <f>IF(E260="Private",G260,"")</f>
        <v/>
      </c>
    </row>
    <row r="261">
      <c r="A261" s="9" t="n">
        <v>168005</v>
      </c>
      <c r="B261" s="9" t="inlineStr">
        <is>
          <t>Suffolk University</t>
        </is>
      </c>
      <c r="C261" s="9" t="inlineStr">
        <is>
          <t>Boston</t>
        </is>
      </c>
      <c r="D261" s="9" t="inlineStr">
        <is>
          <t>MA</t>
        </is>
      </c>
      <c r="E261" s="9" t="inlineStr">
        <is>
          <t>Private</t>
        </is>
      </c>
      <c r="F261" s="11" t="n">
        <v>29618</v>
      </c>
      <c r="G261" s="11" t="n">
        <v>67506</v>
      </c>
      <c r="H261" s="9">
        <f>COUNTIF($G$5:$G$1531,"&gt;"&amp;G261)+1</f>
        <v/>
      </c>
      <c r="I261" s="9" t="inlineStr"/>
      <c r="J261" s="11">
        <f>IF(E261="Private",F261,"")</f>
        <v/>
      </c>
      <c r="K261" s="11">
        <f>IF(E261="Private",G261,"")</f>
        <v/>
      </c>
    </row>
    <row r="262">
      <c r="A262" s="9" t="n">
        <v>213367</v>
      </c>
      <c r="B262" s="9" t="inlineStr">
        <is>
          <t>La Salle University</t>
        </is>
      </c>
      <c r="C262" s="9" t="inlineStr">
        <is>
          <t>Philadelphia</t>
        </is>
      </c>
      <c r="D262" s="9" t="inlineStr">
        <is>
          <t>PA</t>
        </is>
      </c>
      <c r="E262" s="9" t="inlineStr">
        <is>
          <t>Private</t>
        </is>
      </c>
      <c r="F262" s="11" t="n">
        <v>19409</v>
      </c>
      <c r="G262" s="11" t="n">
        <v>67416</v>
      </c>
      <c r="H262" s="9">
        <f>COUNTIF($G$5:$G$1531,"&gt;"&amp;G262)+1</f>
        <v/>
      </c>
      <c r="I262" s="9" t="inlineStr"/>
      <c r="J262" s="11">
        <f>IF(E262="Private",F262,"")</f>
        <v/>
      </c>
      <c r="K262" s="11">
        <f>IF(E262="Private",G262,"")</f>
        <v/>
      </c>
    </row>
    <row r="263">
      <c r="A263" s="9" t="n">
        <v>196167</v>
      </c>
      <c r="B263" s="9" t="inlineStr">
        <is>
          <t>SUNY College at Geneseo</t>
        </is>
      </c>
      <c r="C263" s="9" t="inlineStr">
        <is>
          <t>Geneseo</t>
        </is>
      </c>
      <c r="D263" s="9" t="inlineStr">
        <is>
          <t>NY</t>
        </is>
      </c>
      <c r="E263" s="9" t="inlineStr">
        <is>
          <t>Public</t>
        </is>
      </c>
      <c r="F263" s="11" t="n">
        <v>18211</v>
      </c>
      <c r="G263" s="11" t="n">
        <v>67316</v>
      </c>
      <c r="H263" s="9">
        <f>COUNTIF($G$5:$G$1531,"&gt;"&amp;G263)+1</f>
        <v/>
      </c>
      <c r="I263" s="9" t="inlineStr"/>
      <c r="J263" s="11">
        <f>IF(E263="Private",F263,"")</f>
        <v/>
      </c>
      <c r="K263" s="11">
        <f>IF(E263="Private",G263,"")</f>
        <v/>
      </c>
    </row>
    <row r="264">
      <c r="A264" s="9" t="n">
        <v>195216</v>
      </c>
      <c r="B264" s="9" t="inlineStr">
        <is>
          <t>St Lawrence University</t>
        </is>
      </c>
      <c r="C264" s="9" t="inlineStr">
        <is>
          <t>Canton</t>
        </is>
      </c>
      <c r="D264" s="9" t="inlineStr">
        <is>
          <t>NY</t>
        </is>
      </c>
      <c r="E264" s="9" t="inlineStr">
        <is>
          <t>Private</t>
        </is>
      </c>
      <c r="F264" s="11" t="n">
        <v>28651</v>
      </c>
      <c r="G264" s="11" t="n">
        <v>67258</v>
      </c>
      <c r="H264" s="9">
        <f>COUNTIF($G$5:$G$1531,"&gt;"&amp;G264)+1</f>
        <v/>
      </c>
      <c r="I264" s="9" t="inlineStr"/>
      <c r="J264" s="11">
        <f>IF(E264="Private",F264,"")</f>
        <v/>
      </c>
      <c r="K264" s="11">
        <f>IF(E264="Private",G264,"")</f>
        <v/>
      </c>
    </row>
    <row r="265">
      <c r="A265" s="9" t="n">
        <v>171100</v>
      </c>
      <c r="B265" s="9" t="inlineStr">
        <is>
          <t>Michigan State University</t>
        </is>
      </c>
      <c r="C265" s="9" t="inlineStr">
        <is>
          <t>East Lansing</t>
        </is>
      </c>
      <c r="D265" s="9" t="inlineStr">
        <is>
          <t>MI</t>
        </is>
      </c>
      <c r="E265" s="9" t="inlineStr">
        <is>
          <t>Public</t>
        </is>
      </c>
      <c r="F265" s="11" t="n">
        <v>19680</v>
      </c>
      <c r="G265" s="11" t="n">
        <v>67253</v>
      </c>
      <c r="H265" s="9">
        <f>COUNTIF($G$5:$G$1531,"&gt;"&amp;G265)+1</f>
        <v/>
      </c>
      <c r="I265" s="9" t="inlineStr"/>
      <c r="J265" s="11">
        <f>IF(E265="Private",F265,"")</f>
        <v/>
      </c>
      <c r="K265" s="11">
        <f>IF(E265="Private",G265,"")</f>
        <v/>
      </c>
    </row>
    <row r="266">
      <c r="A266" s="9" t="n">
        <v>230764</v>
      </c>
      <c r="B266" s="9" t="inlineStr">
        <is>
          <t>University of Utah</t>
        </is>
      </c>
      <c r="C266" s="9" t="inlineStr">
        <is>
          <t>Salt Lake City</t>
        </is>
      </c>
      <c r="D266" s="9" t="inlineStr">
        <is>
          <t>UT</t>
        </is>
      </c>
      <c r="E266" s="9" t="inlineStr">
        <is>
          <t>Public</t>
        </is>
      </c>
      <c r="F266" s="11" t="n">
        <v>16200</v>
      </c>
      <c r="G266" s="11" t="n">
        <v>67170</v>
      </c>
      <c r="H266" s="9">
        <f>COUNTIF($G$5:$G$1531,"&gt;"&amp;G266)+1</f>
        <v/>
      </c>
      <c r="I266" s="9" t="inlineStr"/>
      <c r="J266" s="11">
        <f>IF(E266="Private",F266,"")</f>
        <v/>
      </c>
      <c r="K266" s="11">
        <f>IF(E266="Private",G266,"")</f>
        <v/>
      </c>
    </row>
    <row r="267">
      <c r="A267" s="9" t="n">
        <v>212832</v>
      </c>
      <c r="B267" s="9" t="inlineStr">
        <is>
          <t>Gwynedd Mercy University</t>
        </is>
      </c>
      <c r="C267" s="9" t="inlineStr">
        <is>
          <t>Gwynedd Valley</t>
        </is>
      </c>
      <c r="D267" s="9" t="inlineStr">
        <is>
          <t>PA</t>
        </is>
      </c>
      <c r="E267" s="9" t="inlineStr">
        <is>
          <t>Private</t>
        </is>
      </c>
      <c r="F267" s="11" t="n">
        <v>27483</v>
      </c>
      <c r="G267" s="11" t="n">
        <v>67145</v>
      </c>
      <c r="H267" s="9">
        <f>COUNTIF($G$5:$G$1531,"&gt;"&amp;G267)+1</f>
        <v/>
      </c>
      <c r="I267" s="9" t="inlineStr"/>
      <c r="J267" s="11">
        <f>IF(E267="Private",F267,"")</f>
        <v/>
      </c>
      <c r="K267" s="11">
        <f>IF(E267="Private",G267,"")</f>
        <v/>
      </c>
    </row>
    <row r="268">
      <c r="A268" s="9" t="n">
        <v>179043</v>
      </c>
      <c r="B268" s="9" t="inlineStr">
        <is>
          <t>Rockhurst University</t>
        </is>
      </c>
      <c r="C268" s="9" t="inlineStr">
        <is>
          <t>Kansas City</t>
        </is>
      </c>
      <c r="D268" s="9" t="inlineStr">
        <is>
          <t>MO</t>
        </is>
      </c>
      <c r="E268" s="9" t="inlineStr">
        <is>
          <t>Private</t>
        </is>
      </c>
      <c r="F268" s="11" t="n">
        <v>25884</v>
      </c>
      <c r="G268" s="11" t="n">
        <v>67102</v>
      </c>
      <c r="H268" s="9">
        <f>COUNTIF($G$5:$G$1531,"&gt;"&amp;G268)+1</f>
        <v/>
      </c>
      <c r="I268" s="9" t="inlineStr"/>
      <c r="J268" s="11">
        <f>IF(E268="Private",F268,"")</f>
        <v/>
      </c>
      <c r="K268" s="11">
        <f>IF(E268="Private",G268,"")</f>
        <v/>
      </c>
    </row>
    <row r="269">
      <c r="A269" s="9" t="n">
        <v>236230</v>
      </c>
      <c r="B269" s="9" t="inlineStr">
        <is>
          <t>Pacific Lutheran University</t>
        </is>
      </c>
      <c r="C269" s="9" t="inlineStr">
        <is>
          <t>Tacoma</t>
        </is>
      </c>
      <c r="D269" s="9" t="inlineStr">
        <is>
          <t>WA</t>
        </is>
      </c>
      <c r="E269" s="9" t="inlineStr">
        <is>
          <t>Private</t>
        </is>
      </c>
      <c r="F269" s="11" t="n">
        <v>19589</v>
      </c>
      <c r="G269" s="11" t="n">
        <v>66990</v>
      </c>
      <c r="H269" s="9">
        <f>COUNTIF($G$5:$G$1531,"&gt;"&amp;G269)+1</f>
        <v/>
      </c>
      <c r="I269" s="9" t="inlineStr"/>
      <c r="J269" s="11">
        <f>IF(E269="Private",F269,"")</f>
        <v/>
      </c>
      <c r="K269" s="11">
        <f>IF(E269="Private",G269,"")</f>
        <v/>
      </c>
    </row>
    <row r="270">
      <c r="A270" s="9" t="n">
        <v>195720</v>
      </c>
      <c r="B270" s="9" t="inlineStr">
        <is>
          <t>St. John Fisher University</t>
        </is>
      </c>
      <c r="C270" s="9" t="inlineStr">
        <is>
          <t>Rochester</t>
        </is>
      </c>
      <c r="D270" s="9" t="inlineStr">
        <is>
          <t>NY</t>
        </is>
      </c>
      <c r="E270" s="9" t="inlineStr">
        <is>
          <t>Private</t>
        </is>
      </c>
      <c r="F270" s="11" t="n">
        <v>28945</v>
      </c>
      <c r="G270" s="11" t="n">
        <v>66944</v>
      </c>
      <c r="H270" s="9">
        <f>COUNTIF($G$5:$G$1531,"&gt;"&amp;G270)+1</f>
        <v/>
      </c>
      <c r="I270" s="9" t="inlineStr"/>
      <c r="J270" s="11">
        <f>IF(E270="Private",F270,"")</f>
        <v/>
      </c>
      <c r="K270" s="11">
        <f>IF(E270="Private",G270,"")</f>
        <v/>
      </c>
    </row>
    <row r="271">
      <c r="A271" s="9" t="n">
        <v>190716</v>
      </c>
      <c r="B271" s="9" t="inlineStr">
        <is>
          <t>D'Youville  University</t>
        </is>
      </c>
      <c r="C271" s="9" t="inlineStr">
        <is>
          <t>Buffalo</t>
        </is>
      </c>
      <c r="D271" s="9" t="inlineStr">
        <is>
          <t>NY</t>
        </is>
      </c>
      <c r="E271" s="9" t="inlineStr">
        <is>
          <t>Private</t>
        </is>
      </c>
      <c r="F271" s="11" t="n">
        <v>20433</v>
      </c>
      <c r="G271" s="11" t="n">
        <v>66942</v>
      </c>
      <c r="H271" s="9">
        <f>COUNTIF($G$5:$G$1531,"&gt;"&amp;G271)+1</f>
        <v/>
      </c>
      <c r="I271" s="9" t="inlineStr"/>
      <c r="J271" s="11">
        <f>IF(E271="Private",F271,"")</f>
        <v/>
      </c>
      <c r="K271" s="11">
        <f>IF(E271="Private",G271,"")</f>
        <v/>
      </c>
    </row>
    <row r="272">
      <c r="A272" s="9" t="n">
        <v>143358</v>
      </c>
      <c r="B272" s="9" t="inlineStr">
        <is>
          <t>Bradley University</t>
        </is>
      </c>
      <c r="C272" s="9" t="inlineStr">
        <is>
          <t>Peoria</t>
        </is>
      </c>
      <c r="D272" s="9" t="inlineStr">
        <is>
          <t>IL</t>
        </is>
      </c>
      <c r="E272" s="9" t="inlineStr">
        <is>
          <t>Private</t>
        </is>
      </c>
      <c r="F272" s="11" t="n">
        <v>22719</v>
      </c>
      <c r="G272" s="11" t="n">
        <v>66852</v>
      </c>
      <c r="H272" s="9">
        <f>COUNTIF($G$5:$G$1531,"&gt;"&amp;G272)+1</f>
        <v/>
      </c>
      <c r="I272" s="9" t="inlineStr"/>
      <c r="J272" s="11">
        <f>IF(E272="Private",F272,"")</f>
        <v/>
      </c>
      <c r="K272" s="11">
        <f>IF(E272="Private",G272,"")</f>
        <v/>
      </c>
    </row>
    <row r="273">
      <c r="A273" s="9" t="n">
        <v>109785</v>
      </c>
      <c r="B273" s="9" t="inlineStr">
        <is>
          <t>Azusa Pacific University</t>
        </is>
      </c>
      <c r="C273" s="9" t="inlineStr">
        <is>
          <t>Azusa</t>
        </is>
      </c>
      <c r="D273" s="9" t="inlineStr">
        <is>
          <t>CA</t>
        </is>
      </c>
      <c r="E273" s="9" t="inlineStr">
        <is>
          <t>Private</t>
        </is>
      </c>
      <c r="F273" s="11" t="n">
        <v>22212</v>
      </c>
      <c r="G273" s="11" t="n">
        <v>66677</v>
      </c>
      <c r="H273" s="9">
        <f>COUNTIF($G$5:$G$1531,"&gt;"&amp;G273)+1</f>
        <v/>
      </c>
      <c r="I273" s="9" t="inlineStr"/>
      <c r="J273" s="11">
        <f>IF(E273="Private",F273,"")</f>
        <v/>
      </c>
      <c r="K273" s="11">
        <f>IF(E273="Private",G273,"")</f>
        <v/>
      </c>
    </row>
    <row r="274">
      <c r="A274" s="9" t="n">
        <v>221351</v>
      </c>
      <c r="B274" s="9" t="inlineStr">
        <is>
          <t>Rhodes College</t>
        </is>
      </c>
      <c r="C274" s="9" t="inlineStr">
        <is>
          <t>Memphis</t>
        </is>
      </c>
      <c r="D274" s="9" t="inlineStr">
        <is>
          <t>TN</t>
        </is>
      </c>
      <c r="E274" s="9" t="inlineStr">
        <is>
          <t>Private</t>
        </is>
      </c>
      <c r="F274" s="11" t="n">
        <v>28585</v>
      </c>
      <c r="G274" s="11" t="n">
        <v>66651</v>
      </c>
      <c r="H274" s="9">
        <f>COUNTIF($G$5:$G$1531,"&gt;"&amp;G274)+1</f>
        <v/>
      </c>
      <c r="I274" s="9" t="inlineStr"/>
      <c r="J274" s="11">
        <f>IF(E274="Private",F274,"")</f>
        <v/>
      </c>
      <c r="K274" s="11">
        <f>IF(E274="Private",G274,"")</f>
        <v/>
      </c>
    </row>
    <row r="275">
      <c r="A275" s="9" t="n">
        <v>183071</v>
      </c>
      <c r="B275" s="9" t="inlineStr">
        <is>
          <t>University of New Hampshire at Manchester</t>
        </is>
      </c>
      <c r="C275" s="9" t="inlineStr">
        <is>
          <t>Manchester</t>
        </is>
      </c>
      <c r="D275" s="9" t="inlineStr">
        <is>
          <t>NH</t>
        </is>
      </c>
      <c r="E275" s="9" t="inlineStr">
        <is>
          <t>Public</t>
        </is>
      </c>
      <c r="F275" s="11" t="n">
        <v>9992</v>
      </c>
      <c r="G275" s="11" t="n">
        <v>66479</v>
      </c>
      <c r="H275" s="9">
        <f>COUNTIF($G$5:$G$1531,"&gt;"&amp;G275)+1</f>
        <v/>
      </c>
      <c r="I275" s="9" t="inlineStr"/>
      <c r="J275" s="11">
        <f>IF(E275="Private",F275,"")</f>
        <v/>
      </c>
      <c r="K275" s="11">
        <f>IF(E275="Private",G275,"")</f>
        <v/>
      </c>
    </row>
    <row r="276">
      <c r="A276" s="9" t="n">
        <v>183044</v>
      </c>
      <c r="B276" s="9" t="inlineStr">
        <is>
          <t>University of New Hampshire-Main Campus</t>
        </is>
      </c>
      <c r="C276" s="9" t="inlineStr">
        <is>
          <t>Durham</t>
        </is>
      </c>
      <c r="D276" s="9" t="inlineStr">
        <is>
          <t>NH</t>
        </is>
      </c>
      <c r="E276" s="9" t="inlineStr">
        <is>
          <t>Public</t>
        </is>
      </c>
      <c r="F276" s="11" t="n">
        <v>23805</v>
      </c>
      <c r="G276" s="11" t="n">
        <v>66479</v>
      </c>
      <c r="H276" s="9">
        <f>COUNTIF($G$5:$G$1531,"&gt;"&amp;G276)+1</f>
        <v/>
      </c>
      <c r="I276" s="9" t="inlineStr"/>
      <c r="J276" s="11">
        <f>IF(E276="Private",F276,"")</f>
        <v/>
      </c>
      <c r="K276" s="11">
        <f>IF(E276="Private",G276,"")</f>
        <v/>
      </c>
    </row>
    <row r="277">
      <c r="A277" s="9" t="n">
        <v>183257</v>
      </c>
      <c r="B277" s="9" t="inlineStr">
        <is>
          <t>University of New Hampshire College of Professional Studies Online</t>
        </is>
      </c>
      <c r="C277" s="9" t="inlineStr">
        <is>
          <t>Manchester</t>
        </is>
      </c>
      <c r="D277" s="9" t="inlineStr">
        <is>
          <t>NH</t>
        </is>
      </c>
      <c r="E277" s="9" t="inlineStr">
        <is>
          <t>Public</t>
        </is>
      </c>
      <c r="F277" s="11" t="n">
        <v>10864</v>
      </c>
      <c r="G277" s="11" t="n">
        <v>66479</v>
      </c>
      <c r="H277" s="9">
        <f>COUNTIF($G$5:$G$1531,"&gt;"&amp;G277)+1</f>
        <v/>
      </c>
      <c r="I277" s="9" t="inlineStr"/>
      <c r="J277" s="11">
        <f>IF(E277="Private",F277,"")</f>
        <v/>
      </c>
      <c r="K277" s="11">
        <f>IF(E277="Private",G277,"")</f>
        <v/>
      </c>
    </row>
    <row r="278">
      <c r="A278" s="9" t="n">
        <v>156408</v>
      </c>
      <c r="B278" s="9" t="inlineStr">
        <is>
          <t>Centre College</t>
        </is>
      </c>
      <c r="C278" s="9" t="inlineStr">
        <is>
          <t>Danville</t>
        </is>
      </c>
      <c r="D278" s="9" t="inlineStr">
        <is>
          <t>KY</t>
        </is>
      </c>
      <c r="E278" s="9" t="inlineStr">
        <is>
          <t>Private</t>
        </is>
      </c>
      <c r="F278" s="11" t="n">
        <v>20781</v>
      </c>
      <c r="G278" s="11" t="n">
        <v>66240</v>
      </c>
      <c r="H278" s="9">
        <f>COUNTIF($G$5:$G$1531,"&gt;"&amp;G278)+1</f>
        <v/>
      </c>
      <c r="I278" s="9" t="inlineStr"/>
      <c r="J278" s="11">
        <f>IF(E278="Private",F278,"")</f>
        <v/>
      </c>
      <c r="K278" s="11">
        <f>IF(E278="Private",G278,"")</f>
        <v/>
      </c>
    </row>
    <row r="279">
      <c r="A279" s="9" t="n">
        <v>230807</v>
      </c>
      <c r="B279" s="9" t="inlineStr">
        <is>
          <t>Westminster University</t>
        </is>
      </c>
      <c r="C279" s="9" t="inlineStr">
        <is>
          <t>Salt Lake City</t>
        </is>
      </c>
      <c r="D279" s="9" t="inlineStr">
        <is>
          <t>UT</t>
        </is>
      </c>
      <c r="E279" s="9" t="inlineStr">
        <is>
          <t>Private</t>
        </is>
      </c>
      <c r="F279" s="11" t="n">
        <v>27094</v>
      </c>
      <c r="G279" s="11" t="n">
        <v>66215</v>
      </c>
      <c r="H279" s="9">
        <f>COUNTIF($G$5:$G$1531,"&gt;"&amp;G279)+1</f>
        <v/>
      </c>
      <c r="I279" s="9" t="inlineStr"/>
      <c r="J279" s="11">
        <f>IF(E279="Private",F279,"")</f>
        <v/>
      </c>
      <c r="K279" s="11">
        <f>IF(E279="Private",G279,"")</f>
        <v/>
      </c>
    </row>
    <row r="280">
      <c r="A280" s="9" t="n">
        <v>215266</v>
      </c>
      <c r="B280" s="9" t="inlineStr">
        <is>
          <t>University of Pittsburgh-Bradford</t>
        </is>
      </c>
      <c r="C280" s="9" t="inlineStr">
        <is>
          <t>Bradford</t>
        </is>
      </c>
      <c r="D280" s="9" t="inlineStr">
        <is>
          <t>PA</t>
        </is>
      </c>
      <c r="E280" s="9" t="inlineStr">
        <is>
          <t>Public</t>
        </is>
      </c>
      <c r="F280" s="11" t="n">
        <v>15350</v>
      </c>
      <c r="G280" s="11" t="n">
        <v>66125</v>
      </c>
      <c r="H280" s="9">
        <f>COUNTIF($G$5:$G$1531,"&gt;"&amp;G280)+1</f>
        <v/>
      </c>
      <c r="I280" s="9" t="inlineStr"/>
      <c r="J280" s="11">
        <f>IF(E280="Private",F280,"")</f>
        <v/>
      </c>
      <c r="K280" s="11">
        <f>IF(E280="Private",G280,"")</f>
        <v/>
      </c>
    </row>
    <row r="281">
      <c r="A281" s="9" t="n">
        <v>215275</v>
      </c>
      <c r="B281" s="9" t="inlineStr">
        <is>
          <t>University of Pittsburgh-Greensburg</t>
        </is>
      </c>
      <c r="C281" s="9" t="inlineStr">
        <is>
          <t>Greensburg</t>
        </is>
      </c>
      <c r="D281" s="9" t="inlineStr">
        <is>
          <t>PA</t>
        </is>
      </c>
      <c r="E281" s="9" t="inlineStr">
        <is>
          <t>Public</t>
        </is>
      </c>
      <c r="F281" s="11" t="n">
        <v>17945</v>
      </c>
      <c r="G281" s="11" t="n">
        <v>66125</v>
      </c>
      <c r="H281" s="9">
        <f>COUNTIF($G$5:$G$1531,"&gt;"&amp;G281)+1</f>
        <v/>
      </c>
      <c r="I281" s="9" t="inlineStr"/>
      <c r="J281" s="11">
        <f>IF(E281="Private",F281,"")</f>
        <v/>
      </c>
      <c r="K281" s="11">
        <f>IF(E281="Private",G281,"")</f>
        <v/>
      </c>
    </row>
    <row r="282">
      <c r="A282" s="9" t="n">
        <v>215293</v>
      </c>
      <c r="B282" s="9" t="inlineStr">
        <is>
          <t>University of Pittsburgh-Pittsburgh Campus</t>
        </is>
      </c>
      <c r="C282" s="9" t="inlineStr">
        <is>
          <t>Pittsburgh</t>
        </is>
      </c>
      <c r="D282" s="9" t="inlineStr">
        <is>
          <t>PA</t>
        </is>
      </c>
      <c r="E282" s="9" t="inlineStr">
        <is>
          <t>Public</t>
        </is>
      </c>
      <c r="F282" s="11" t="n">
        <v>30434</v>
      </c>
      <c r="G282" s="11" t="n">
        <v>66125</v>
      </c>
      <c r="H282" s="9">
        <f>COUNTIF($G$5:$G$1531,"&gt;"&amp;G282)+1</f>
        <v/>
      </c>
      <c r="I282" s="9" t="inlineStr"/>
      <c r="J282" s="11">
        <f>IF(E282="Private",F282,"")</f>
        <v/>
      </c>
      <c r="K282" s="11">
        <f>IF(E282="Private",G282,"")</f>
        <v/>
      </c>
    </row>
    <row r="283">
      <c r="A283" s="9" t="n">
        <v>215284</v>
      </c>
      <c r="B283" s="9" t="inlineStr">
        <is>
          <t>University of Pittsburgh-Johnstown</t>
        </is>
      </c>
      <c r="C283" s="9" t="inlineStr">
        <is>
          <t>Johnstown</t>
        </is>
      </c>
      <c r="D283" s="9" t="inlineStr">
        <is>
          <t>PA</t>
        </is>
      </c>
      <c r="E283" s="9" t="inlineStr">
        <is>
          <t>Public</t>
        </is>
      </c>
      <c r="F283" s="11" t="n">
        <v>18202</v>
      </c>
      <c r="G283" s="11" t="n">
        <v>66125</v>
      </c>
      <c r="H283" s="9">
        <f>COUNTIF($G$5:$G$1531,"&gt;"&amp;G283)+1</f>
        <v/>
      </c>
      <c r="I283" s="9" t="inlineStr"/>
      <c r="J283" s="11">
        <f>IF(E283="Private",F283,"")</f>
        <v/>
      </c>
      <c r="K283" s="11">
        <f>IF(E283="Private",G283,"")</f>
        <v/>
      </c>
    </row>
    <row r="284">
      <c r="A284" s="9" t="n">
        <v>146612</v>
      </c>
      <c r="B284" s="9" t="inlineStr">
        <is>
          <t>Lewis University</t>
        </is>
      </c>
      <c r="C284" s="9" t="inlineStr">
        <is>
          <t>Romeoville</t>
        </is>
      </c>
      <c r="D284" s="9" t="inlineStr">
        <is>
          <t>IL</t>
        </is>
      </c>
      <c r="E284" s="9" t="inlineStr">
        <is>
          <t>Private</t>
        </is>
      </c>
      <c r="F284" s="11" t="n">
        <v>17028</v>
      </c>
      <c r="G284" s="11" t="n">
        <v>66099</v>
      </c>
      <c r="H284" s="9">
        <f>COUNTIF($G$5:$G$1531,"&gt;"&amp;G284)+1</f>
        <v/>
      </c>
      <c r="I284" s="9" t="inlineStr"/>
      <c r="J284" s="11">
        <f>IF(E284="Private",F284,"")</f>
        <v/>
      </c>
      <c r="K284" s="11">
        <f>IF(E284="Private",G284,"")</f>
        <v/>
      </c>
    </row>
    <row r="285">
      <c r="A285" s="9" t="n">
        <v>190567</v>
      </c>
      <c r="B285" s="9" t="inlineStr">
        <is>
          <t>CUNY City College</t>
        </is>
      </c>
      <c r="C285" s="9" t="inlineStr">
        <is>
          <t>New York</t>
        </is>
      </c>
      <c r="D285" s="9" t="inlineStr">
        <is>
          <t>NY</t>
        </is>
      </c>
      <c r="E285" s="9" t="inlineStr">
        <is>
          <t>Public</t>
        </is>
      </c>
      <c r="F285" s="11" t="n">
        <v>3776</v>
      </c>
      <c r="G285" s="11" t="n">
        <v>66039</v>
      </c>
      <c r="H285" s="9">
        <f>COUNTIF($G$5:$G$1531,"&gt;"&amp;G285)+1</f>
        <v/>
      </c>
      <c r="I285" s="9" t="inlineStr"/>
      <c r="J285" s="11">
        <f>IF(E285="Private",F285,"")</f>
        <v/>
      </c>
      <c r="K285" s="11">
        <f>IF(E285="Private",G285,"")</f>
        <v/>
      </c>
    </row>
    <row r="286">
      <c r="A286" s="9" t="n">
        <v>123572</v>
      </c>
      <c r="B286" s="9" t="inlineStr">
        <is>
          <t>Sonoma State University</t>
        </is>
      </c>
      <c r="C286" s="9" t="inlineStr">
        <is>
          <t>Rohnert Park</t>
        </is>
      </c>
      <c r="D286" s="9" t="inlineStr">
        <is>
          <t>CA</t>
        </is>
      </c>
      <c r="E286" s="9" t="inlineStr">
        <is>
          <t>Public</t>
        </is>
      </c>
      <c r="F286" s="11" t="n">
        <v>12885</v>
      </c>
      <c r="G286" s="11" t="n">
        <v>65986</v>
      </c>
      <c r="H286" s="9">
        <f>COUNTIF($G$5:$G$1531,"&gt;"&amp;G286)+1</f>
        <v/>
      </c>
      <c r="I286" s="9" t="inlineStr"/>
      <c r="J286" s="11">
        <f>IF(E286="Private",F286,"")</f>
        <v/>
      </c>
      <c r="K286" s="11">
        <f>IF(E286="Private",G286,"")</f>
        <v/>
      </c>
    </row>
    <row r="287">
      <c r="A287" s="9" t="n">
        <v>174899</v>
      </c>
      <c r="B287" s="9" t="inlineStr">
        <is>
          <t>The College of Saint Scholastica</t>
        </is>
      </c>
      <c r="C287" s="9" t="inlineStr">
        <is>
          <t>Duluth</t>
        </is>
      </c>
      <c r="D287" s="9" t="inlineStr">
        <is>
          <t>MN</t>
        </is>
      </c>
      <c r="E287" s="9" t="inlineStr">
        <is>
          <t>Private</t>
        </is>
      </c>
      <c r="F287" s="11" t="n">
        <v>27846</v>
      </c>
      <c r="G287" s="11" t="n">
        <v>65934</v>
      </c>
      <c r="H287" s="9">
        <f>COUNTIF($G$5:$G$1531,"&gt;"&amp;G287)+1</f>
        <v/>
      </c>
      <c r="I287" s="9" t="inlineStr"/>
      <c r="J287" s="11">
        <f>IF(E287="Private",F287,"")</f>
        <v/>
      </c>
      <c r="K287" s="11">
        <f>IF(E287="Private",G287,"")</f>
        <v/>
      </c>
    </row>
    <row r="288">
      <c r="A288" s="9" t="n">
        <v>166638</v>
      </c>
      <c r="B288" s="9" t="inlineStr">
        <is>
          <t>University of Massachusetts-Boston</t>
        </is>
      </c>
      <c r="C288" s="9" t="inlineStr">
        <is>
          <t>Boston</t>
        </is>
      </c>
      <c r="D288" s="9" t="inlineStr">
        <is>
          <t>MA</t>
        </is>
      </c>
      <c r="E288" s="9" t="inlineStr">
        <is>
          <t>Public</t>
        </is>
      </c>
      <c r="F288" s="11" t="n">
        <v>17707</v>
      </c>
      <c r="G288" s="11" t="n">
        <v>65865</v>
      </c>
      <c r="H288" s="9">
        <f>COUNTIF($G$5:$G$1531,"&gt;"&amp;G288)+1</f>
        <v/>
      </c>
      <c r="I288" s="9" t="inlineStr"/>
      <c r="J288" s="11">
        <f>IF(E288="Private",F288,"")</f>
        <v/>
      </c>
      <c r="K288" s="11">
        <f>IF(E288="Private",G288,"")</f>
        <v/>
      </c>
    </row>
    <row r="289">
      <c r="A289" s="9" t="n">
        <v>223232</v>
      </c>
      <c r="B289" s="9" t="inlineStr">
        <is>
          <t>Baylor University</t>
        </is>
      </c>
      <c r="C289" s="9" t="inlineStr">
        <is>
          <t>Waco</t>
        </is>
      </c>
      <c r="D289" s="9" t="inlineStr">
        <is>
          <t>TX</t>
        </is>
      </c>
      <c r="E289" s="9" t="inlineStr">
        <is>
          <t>Private</t>
        </is>
      </c>
      <c r="F289" s="11" t="n">
        <v>41104</v>
      </c>
      <c r="G289" s="11" t="n">
        <v>65793</v>
      </c>
      <c r="H289" s="9">
        <f>COUNTIF($G$5:$G$1531,"&gt;"&amp;G289)+1</f>
        <v/>
      </c>
      <c r="I289" s="9" t="inlineStr"/>
      <c r="J289" s="11">
        <f>IF(E289="Private",F289,"")</f>
        <v/>
      </c>
      <c r="K289" s="11">
        <f>IF(E289="Private",G289,"")</f>
        <v/>
      </c>
    </row>
    <row r="290">
      <c r="A290" s="9" t="n">
        <v>193399</v>
      </c>
      <c r="B290" s="9" t="inlineStr">
        <is>
          <t>University of Mount Saint Vincent</t>
        </is>
      </c>
      <c r="C290" s="9" t="inlineStr">
        <is>
          <t>Bronx</t>
        </is>
      </c>
      <c r="D290" s="9" t="inlineStr">
        <is>
          <t>NY</t>
        </is>
      </c>
      <c r="E290" s="9" t="inlineStr">
        <is>
          <t>Private</t>
        </is>
      </c>
      <c r="F290" s="11" t="n">
        <v>21696</v>
      </c>
      <c r="G290" s="11" t="n">
        <v>65756</v>
      </c>
      <c r="H290" s="9">
        <f>COUNTIF($G$5:$G$1531,"&gt;"&amp;G290)+1</f>
        <v/>
      </c>
      <c r="I290" s="9" t="inlineStr"/>
      <c r="J290" s="11">
        <f>IF(E290="Private",F290,"")</f>
        <v/>
      </c>
      <c r="K290" s="11">
        <f>IF(E290="Private",G290,"")</f>
        <v/>
      </c>
    </row>
    <row r="291">
      <c r="A291" s="9" t="n">
        <v>262086</v>
      </c>
      <c r="B291" s="9" t="inlineStr">
        <is>
          <t>University of Massachusetts Global</t>
        </is>
      </c>
      <c r="C291" s="9" t="inlineStr">
        <is>
          <t>Aliso Viejo</t>
        </is>
      </c>
      <c r="D291" s="9" t="inlineStr">
        <is>
          <t>CA</t>
        </is>
      </c>
      <c r="E291" s="9" t="inlineStr">
        <is>
          <t>Public</t>
        </is>
      </c>
      <c r="F291" s="11" t="n">
        <v>32654</v>
      </c>
      <c r="G291" s="11" t="n">
        <v>65703</v>
      </c>
      <c r="H291" s="9">
        <f>COUNTIF($G$5:$G$1531,"&gt;"&amp;G291)+1</f>
        <v/>
      </c>
      <c r="I291" s="9" t="inlineStr"/>
      <c r="J291" s="11">
        <f>IF(E291="Private",F291,"")</f>
        <v/>
      </c>
      <c r="K291" s="11">
        <f>IF(E291="Private",G291,"")</f>
        <v/>
      </c>
    </row>
    <row r="292">
      <c r="A292" s="9" t="n">
        <v>125897</v>
      </c>
      <c r="B292" s="9" t="inlineStr">
        <is>
          <t>Woodbury University</t>
        </is>
      </c>
      <c r="C292" s="9" t="inlineStr">
        <is>
          <t>Burbank</t>
        </is>
      </c>
      <c r="D292" s="9" t="inlineStr">
        <is>
          <t>CA</t>
        </is>
      </c>
      <c r="E292" s="9" t="inlineStr">
        <is>
          <t>Private</t>
        </is>
      </c>
      <c r="F292" s="11" t="n">
        <v>33692</v>
      </c>
      <c r="G292" s="11" t="n">
        <v>65668</v>
      </c>
      <c r="H292" s="9">
        <f>COUNTIF($G$5:$G$1531,"&gt;"&amp;G292)+1</f>
        <v/>
      </c>
      <c r="I292" s="9" t="inlineStr"/>
      <c r="J292" s="11">
        <f>IF(E292="Private",F292,"")</f>
        <v/>
      </c>
      <c r="K292" s="11">
        <f>IF(E292="Private",G292,"")</f>
        <v/>
      </c>
    </row>
    <row r="293">
      <c r="A293" s="9" t="n">
        <v>173647</v>
      </c>
      <c r="B293" s="9" t="inlineStr">
        <is>
          <t>Gustavus Adolphus College</t>
        </is>
      </c>
      <c r="C293" s="9" t="inlineStr">
        <is>
          <t>Saint Peter</t>
        </is>
      </c>
      <c r="D293" s="9" t="inlineStr">
        <is>
          <t>MN</t>
        </is>
      </c>
      <c r="E293" s="9" t="inlineStr">
        <is>
          <t>Private</t>
        </is>
      </c>
      <c r="F293" s="11" t="n">
        <v>22900</v>
      </c>
      <c r="G293" s="11" t="n">
        <v>65607</v>
      </c>
      <c r="H293" s="9">
        <f>COUNTIF($G$5:$G$1531,"&gt;"&amp;G293)+1</f>
        <v/>
      </c>
      <c r="I293" s="9" t="inlineStr"/>
      <c r="J293" s="11">
        <f>IF(E293="Private",F293,"")</f>
        <v/>
      </c>
      <c r="K293" s="11">
        <f>IF(E293="Private",G293,"")</f>
        <v/>
      </c>
    </row>
    <row r="294">
      <c r="A294" s="9" t="n">
        <v>170532</v>
      </c>
      <c r="B294" s="9" t="inlineStr">
        <is>
          <t>Kalamazoo College</t>
        </is>
      </c>
      <c r="C294" s="9" t="inlineStr">
        <is>
          <t>Kalamazoo</t>
        </is>
      </c>
      <c r="D294" s="9" t="inlineStr">
        <is>
          <t>MI</t>
        </is>
      </c>
      <c r="E294" s="9" t="inlineStr">
        <is>
          <t>Private</t>
        </is>
      </c>
      <c r="F294" s="11" t="n">
        <v>19072</v>
      </c>
      <c r="G294" s="11" t="n">
        <v>65590</v>
      </c>
      <c r="H294" s="9">
        <f>COUNTIF($G$5:$G$1531,"&gt;"&amp;G294)+1</f>
        <v/>
      </c>
      <c r="I294" s="9" t="inlineStr"/>
      <c r="J294" s="11">
        <f>IF(E294="Private",F294,"")</f>
        <v/>
      </c>
      <c r="K294" s="11">
        <f>IF(E294="Private",G294,"")</f>
        <v/>
      </c>
    </row>
    <row r="295">
      <c r="A295" s="9" t="n">
        <v>230995</v>
      </c>
      <c r="B295" s="9" t="inlineStr">
        <is>
          <t>Norwich University</t>
        </is>
      </c>
      <c r="C295" s="9" t="inlineStr">
        <is>
          <t>Northfield</t>
        </is>
      </c>
      <c r="D295" s="9" t="inlineStr">
        <is>
          <t>VT</t>
        </is>
      </c>
      <c r="E295" s="9" t="inlineStr">
        <is>
          <t>Private</t>
        </is>
      </c>
      <c r="F295" s="11" t="n">
        <v>22257</v>
      </c>
      <c r="G295" s="11" t="n">
        <v>65575</v>
      </c>
      <c r="H295" s="9">
        <f>COUNTIF($G$5:$G$1531,"&gt;"&amp;G295)+1</f>
        <v/>
      </c>
      <c r="I295" s="9" t="inlineStr"/>
      <c r="J295" s="11">
        <f>IF(E295="Private",F295,"")</f>
        <v/>
      </c>
      <c r="K295" s="11">
        <f>IF(E295="Private",G295,"")</f>
        <v/>
      </c>
    </row>
    <row r="296">
      <c r="A296" s="9" t="n">
        <v>174844</v>
      </c>
      <c r="B296" s="9" t="inlineStr">
        <is>
          <t>St Olaf College</t>
        </is>
      </c>
      <c r="C296" s="9" t="inlineStr">
        <is>
          <t>Northfield</t>
        </is>
      </c>
      <c r="D296" s="9" t="inlineStr">
        <is>
          <t>MN</t>
        </is>
      </c>
      <c r="E296" s="9" t="inlineStr">
        <is>
          <t>Private</t>
        </is>
      </c>
      <c r="F296" s="11" t="n">
        <v>23874</v>
      </c>
      <c r="G296" s="11" t="n">
        <v>65543</v>
      </c>
      <c r="H296" s="9">
        <f>COUNTIF($G$5:$G$1531,"&gt;"&amp;G296)+1</f>
        <v/>
      </c>
      <c r="I296" s="9" t="inlineStr"/>
      <c r="J296" s="11">
        <f>IF(E296="Private",F296,"")</f>
        <v/>
      </c>
      <c r="K296" s="11">
        <f>IF(E296="Private",G296,"")</f>
        <v/>
      </c>
    </row>
    <row r="297">
      <c r="A297" s="9" t="n">
        <v>164216</v>
      </c>
      <c r="B297" s="9" t="inlineStr">
        <is>
          <t>Washington College</t>
        </is>
      </c>
      <c r="C297" s="9" t="inlineStr">
        <is>
          <t>Chestertown</t>
        </is>
      </c>
      <c r="D297" s="9" t="inlineStr">
        <is>
          <t>MD</t>
        </is>
      </c>
      <c r="E297" s="9" t="inlineStr">
        <is>
          <t>Private</t>
        </is>
      </c>
      <c r="F297" s="11" t="n">
        <v>27898</v>
      </c>
      <c r="G297" s="11" t="n">
        <v>65518</v>
      </c>
      <c r="H297" s="9">
        <f>COUNTIF($G$5:$G$1531,"&gt;"&amp;G297)+1</f>
        <v/>
      </c>
      <c r="I297" s="9" t="inlineStr"/>
      <c r="J297" s="11">
        <f>IF(E297="Private",F297,"")</f>
        <v/>
      </c>
      <c r="K297" s="11">
        <f>IF(E297="Private",G297,"")</f>
        <v/>
      </c>
    </row>
    <row r="298">
      <c r="A298" s="9" t="n">
        <v>117140</v>
      </c>
      <c r="B298" s="9" t="inlineStr">
        <is>
          <t>University of La Verne</t>
        </is>
      </c>
      <c r="C298" s="9" t="inlineStr">
        <is>
          <t>La Verne</t>
        </is>
      </c>
      <c r="D298" s="9" t="inlineStr">
        <is>
          <t>CA</t>
        </is>
      </c>
      <c r="E298" s="9" t="inlineStr">
        <is>
          <t>Private</t>
        </is>
      </c>
      <c r="F298" s="11" t="n">
        <v>20161</v>
      </c>
      <c r="G298" s="11" t="n">
        <v>65464</v>
      </c>
      <c r="H298" s="9">
        <f>COUNTIF($G$5:$G$1531,"&gt;"&amp;G298)+1</f>
        <v/>
      </c>
      <c r="I298" s="9" t="inlineStr"/>
      <c r="J298" s="11">
        <f>IF(E298="Private",F298,"")</f>
        <v/>
      </c>
      <c r="K298" s="11">
        <f>IF(E298="Private",G298,"")</f>
        <v/>
      </c>
    </row>
    <row r="299">
      <c r="A299" s="9" t="n">
        <v>163578</v>
      </c>
      <c r="B299" s="9" t="inlineStr">
        <is>
          <t>Notre Dame of Maryland University</t>
        </is>
      </c>
      <c r="C299" s="9" t="inlineStr">
        <is>
          <t>Baltimore</t>
        </is>
      </c>
      <c r="D299" s="9" t="inlineStr">
        <is>
          <t>MD</t>
        </is>
      </c>
      <c r="E299" s="9" t="inlineStr">
        <is>
          <t>Private</t>
        </is>
      </c>
      <c r="F299" s="11" t="n">
        <v>19169</v>
      </c>
      <c r="G299" s="11" t="n">
        <v>65344</v>
      </c>
      <c r="H299" s="9">
        <f>COUNTIF($G$5:$G$1531,"&gt;"&amp;G299)+1</f>
        <v/>
      </c>
      <c r="I299" s="9" t="inlineStr"/>
      <c r="J299" s="11">
        <f>IF(E299="Private",F299,"")</f>
        <v/>
      </c>
      <c r="K299" s="11">
        <f>IF(E299="Private",G299,"")</f>
        <v/>
      </c>
    </row>
    <row r="300">
      <c r="A300" s="9" t="n">
        <v>100858</v>
      </c>
      <c r="B300" s="9" t="inlineStr">
        <is>
          <t>Auburn University</t>
        </is>
      </c>
      <c r="C300" s="9" t="inlineStr">
        <is>
          <t>Auburn</t>
        </is>
      </c>
      <c r="D300" s="9" t="inlineStr">
        <is>
          <t>AL</t>
        </is>
      </c>
      <c r="E300" s="9" t="inlineStr">
        <is>
          <t>Public</t>
        </is>
      </c>
      <c r="F300" s="11" t="n">
        <v>24323</v>
      </c>
      <c r="G300" s="11" t="n">
        <v>65337</v>
      </c>
      <c r="H300" s="9">
        <f>COUNTIF($G$5:$G$1531,"&gt;"&amp;G300)+1</f>
        <v/>
      </c>
      <c r="I300" s="9" t="inlineStr"/>
      <c r="J300" s="11">
        <f>IF(E300="Private",F300,"")</f>
        <v/>
      </c>
      <c r="K300" s="11">
        <f>IF(E300="Private",G300,"")</f>
        <v/>
      </c>
    </row>
    <row r="301">
      <c r="A301" s="9" t="n">
        <v>163204</v>
      </c>
      <c r="B301" s="9" t="inlineStr">
        <is>
          <t>University of Maryland Global Campus</t>
        </is>
      </c>
      <c r="C301" s="9" t="inlineStr">
        <is>
          <t>Adelphi</t>
        </is>
      </c>
      <c r="D301" s="9" t="inlineStr">
        <is>
          <t>MD</t>
        </is>
      </c>
      <c r="E301" s="9" t="inlineStr">
        <is>
          <t>Public</t>
        </is>
      </c>
      <c r="F301" s="11" t="n">
        <v>22063</v>
      </c>
      <c r="G301" s="11" t="n">
        <v>65287</v>
      </c>
      <c r="H301" s="9">
        <f>COUNTIF($G$5:$G$1531,"&gt;"&amp;G301)+1</f>
        <v/>
      </c>
      <c r="I301" s="9" t="inlineStr"/>
      <c r="J301" s="11">
        <f>IF(E301="Private",F301,"")</f>
        <v/>
      </c>
      <c r="K301" s="11">
        <f>IF(E301="Private",G301,"")</f>
        <v/>
      </c>
    </row>
    <row r="302">
      <c r="A302" s="9" t="n">
        <v>126678</v>
      </c>
      <c r="B302" s="9" t="inlineStr">
        <is>
          <t>Colorado College</t>
        </is>
      </c>
      <c r="C302" s="9" t="inlineStr">
        <is>
          <t>Colorado Springs</t>
        </is>
      </c>
      <c r="D302" s="9" t="inlineStr">
        <is>
          <t>CO</t>
        </is>
      </c>
      <c r="E302" s="9" t="inlineStr">
        <is>
          <t>Private</t>
        </is>
      </c>
      <c r="F302" s="11" t="n">
        <v>33375</v>
      </c>
      <c r="G302" s="11" t="n">
        <v>65222</v>
      </c>
      <c r="H302" s="9">
        <f>COUNTIF($G$5:$G$1531,"&gt;"&amp;G302)+1</f>
        <v/>
      </c>
      <c r="I302" s="9" t="inlineStr"/>
      <c r="J302" s="11">
        <f>IF(E302="Private",F302,"")</f>
        <v/>
      </c>
      <c r="K302" s="11">
        <f>IF(E302="Private",G302,"")</f>
        <v/>
      </c>
    </row>
    <row r="303">
      <c r="A303" s="9" t="n">
        <v>112075</v>
      </c>
      <c r="B303" s="9" t="inlineStr">
        <is>
          <t>Concordia University-Irvine</t>
        </is>
      </c>
      <c r="C303" s="9" t="inlineStr">
        <is>
          <t>Irvine</t>
        </is>
      </c>
      <c r="D303" s="9" t="inlineStr">
        <is>
          <t>CA</t>
        </is>
      </c>
      <c r="E303" s="9" t="inlineStr">
        <is>
          <t>Private</t>
        </is>
      </c>
      <c r="F303" s="11" t="n">
        <v>28115</v>
      </c>
      <c r="G303" s="11" t="n">
        <v>65083</v>
      </c>
      <c r="H303" s="9">
        <f>COUNTIF($G$5:$G$1531,"&gt;"&amp;G303)+1</f>
        <v/>
      </c>
      <c r="I303" s="9" t="inlineStr"/>
      <c r="J303" s="11">
        <f>IF(E303="Private",F303,"")</f>
        <v/>
      </c>
      <c r="K303" s="11">
        <f>IF(E303="Private",G303,"")</f>
        <v/>
      </c>
    </row>
    <row r="304">
      <c r="A304" s="9" t="n">
        <v>188340</v>
      </c>
      <c r="B304" s="9" t="inlineStr">
        <is>
          <t>Vaughn College of Aeronautics and Technology</t>
        </is>
      </c>
      <c r="C304" s="9" t="inlineStr">
        <is>
          <t>Flushing</t>
        </is>
      </c>
      <c r="D304" s="9" t="inlineStr">
        <is>
          <t>NY</t>
        </is>
      </c>
      <c r="E304" s="9" t="inlineStr">
        <is>
          <t>Private</t>
        </is>
      </c>
      <c r="F304" s="11" t="n">
        <v>39986</v>
      </c>
      <c r="G304" s="11" t="n">
        <v>64973</v>
      </c>
      <c r="H304" s="9">
        <f>COUNTIF($G$5:$G$1531,"&gt;"&amp;G304)+1</f>
        <v/>
      </c>
      <c r="I304" s="9" t="inlineStr"/>
      <c r="J304" s="11">
        <f>IF(E304="Private",F304,"")</f>
        <v/>
      </c>
      <c r="K304" s="11">
        <f>IF(E304="Private",G304,"")</f>
        <v/>
      </c>
    </row>
    <row r="305">
      <c r="A305" s="9" t="n">
        <v>221519</v>
      </c>
      <c r="B305" s="9" t="inlineStr">
        <is>
          <t>The University of the South</t>
        </is>
      </c>
      <c r="C305" s="9" t="inlineStr">
        <is>
          <t>Sewanee</t>
        </is>
      </c>
      <c r="D305" s="9" t="inlineStr">
        <is>
          <t>TN</t>
        </is>
      </c>
      <c r="E305" s="9" t="inlineStr">
        <is>
          <t>Private</t>
        </is>
      </c>
      <c r="F305" s="11" t="n">
        <v>27872</v>
      </c>
      <c r="G305" s="11" t="n">
        <v>64911</v>
      </c>
      <c r="H305" s="9">
        <f>COUNTIF($G$5:$G$1531,"&gt;"&amp;G305)+1</f>
        <v/>
      </c>
      <c r="I305" s="9" t="inlineStr"/>
      <c r="J305" s="11">
        <f>IF(E305="Private",F305,"")</f>
        <v/>
      </c>
      <c r="K305" s="11">
        <f>IF(E305="Private",G305,"")</f>
        <v/>
      </c>
    </row>
    <row r="306">
      <c r="A306" s="9" t="n">
        <v>122409</v>
      </c>
      <c r="B306" s="9" t="inlineStr">
        <is>
          <t>San Diego State University</t>
        </is>
      </c>
      <c r="C306" s="9" t="inlineStr">
        <is>
          <t>San Diego</t>
        </is>
      </c>
      <c r="D306" s="9" t="inlineStr">
        <is>
          <t>CA</t>
        </is>
      </c>
      <c r="E306" s="9" t="inlineStr">
        <is>
          <t>Public</t>
        </is>
      </c>
      <c r="F306" s="11" t="n">
        <v>15364</v>
      </c>
      <c r="G306" s="11" t="n">
        <v>64909</v>
      </c>
      <c r="H306" s="9">
        <f>COUNTIF($G$5:$G$1531,"&gt;"&amp;G306)+1</f>
        <v/>
      </c>
      <c r="I306" s="9" t="inlineStr"/>
      <c r="J306" s="11">
        <f>IF(E306="Private",F306,"")</f>
        <v/>
      </c>
      <c r="K306" s="11">
        <f>IF(E306="Private",G306,"")</f>
        <v/>
      </c>
    </row>
    <row r="307">
      <c r="A307" s="9" t="n">
        <v>110617</v>
      </c>
      <c r="B307" s="9" t="inlineStr">
        <is>
          <t>California State University-Sacramento</t>
        </is>
      </c>
      <c r="C307" s="9" t="inlineStr">
        <is>
          <t>Sacramento</t>
        </is>
      </c>
      <c r="D307" s="9" t="inlineStr">
        <is>
          <t>CA</t>
        </is>
      </c>
      <c r="E307" s="9" t="inlineStr">
        <is>
          <t>Public</t>
        </is>
      </c>
      <c r="F307" s="11" t="n">
        <v>9338</v>
      </c>
      <c r="G307" s="11" t="n">
        <v>64876</v>
      </c>
      <c r="H307" s="9">
        <f>COUNTIF($G$5:$G$1531,"&gt;"&amp;G307)+1</f>
        <v/>
      </c>
      <c r="I307" s="9" t="inlineStr"/>
      <c r="J307" s="11">
        <f>IF(E307="Private",F307,"")</f>
        <v/>
      </c>
      <c r="K307" s="11">
        <f>IF(E307="Private",G307,"")</f>
        <v/>
      </c>
    </row>
    <row r="308">
      <c r="A308" s="9" t="n">
        <v>166513</v>
      </c>
      <c r="B308" s="9" t="inlineStr">
        <is>
          <t>University of Massachusetts-Lowell</t>
        </is>
      </c>
      <c r="C308" s="9" t="inlineStr">
        <is>
          <t>Lowell</t>
        </is>
      </c>
      <c r="D308" s="9" t="inlineStr">
        <is>
          <t>MA</t>
        </is>
      </c>
      <c r="E308" s="9" t="inlineStr">
        <is>
          <t>Public</t>
        </is>
      </c>
      <c r="F308" s="11" t="n">
        <v>17163</v>
      </c>
      <c r="G308" s="11" t="n">
        <v>64874</v>
      </c>
      <c r="H308" s="9">
        <f>COUNTIF($G$5:$G$1531,"&gt;"&amp;G308)+1</f>
        <v/>
      </c>
      <c r="I308" s="9" t="inlineStr"/>
      <c r="J308" s="11">
        <f>IF(E308="Private",F308,"")</f>
        <v/>
      </c>
      <c r="K308" s="11">
        <f>IF(E308="Private",G308,"")</f>
        <v/>
      </c>
    </row>
    <row r="309">
      <c r="A309" s="9" t="n">
        <v>206622</v>
      </c>
      <c r="B309" s="9" t="inlineStr">
        <is>
          <t>Xavier University</t>
        </is>
      </c>
      <c r="C309" s="9" t="inlineStr">
        <is>
          <t>Cincinnati</t>
        </is>
      </c>
      <c r="D309" s="9" t="inlineStr">
        <is>
          <t>OH</t>
        </is>
      </c>
      <c r="E309" s="9" t="inlineStr">
        <is>
          <t>Private</t>
        </is>
      </c>
      <c r="F309" s="11" t="n">
        <v>32997</v>
      </c>
      <c r="G309" s="11" t="n">
        <v>64873</v>
      </c>
      <c r="H309" s="9">
        <f>COUNTIF($G$5:$G$1531,"&gt;"&amp;G309)+1</f>
        <v/>
      </c>
      <c r="I309" s="9" t="inlineStr"/>
      <c r="J309" s="11">
        <f>IF(E309="Private",F309,"")</f>
        <v/>
      </c>
      <c r="K309" s="11">
        <f>IF(E309="Private",G309,"")</f>
        <v/>
      </c>
    </row>
    <row r="310">
      <c r="A310" s="9" t="n">
        <v>125727</v>
      </c>
      <c r="B310" s="9" t="inlineStr">
        <is>
          <t>Westmont College</t>
        </is>
      </c>
      <c r="C310" s="9" t="inlineStr">
        <is>
          <t>Santa Barbara</t>
        </is>
      </c>
      <c r="D310" s="9" t="inlineStr">
        <is>
          <t>CA</t>
        </is>
      </c>
      <c r="E310" s="9" t="inlineStr">
        <is>
          <t>Private</t>
        </is>
      </c>
      <c r="F310" s="11" t="n">
        <v>29053</v>
      </c>
      <c r="G310" s="11" t="n">
        <v>64778</v>
      </c>
      <c r="H310" s="9">
        <f>COUNTIF($G$5:$G$1531,"&gt;"&amp;G310)+1</f>
        <v/>
      </c>
      <c r="I310" s="9" t="inlineStr"/>
      <c r="J310" s="11">
        <f>IF(E310="Private",F310,"")</f>
        <v/>
      </c>
      <c r="K310" s="11">
        <f>IF(E310="Private",G310,"")</f>
        <v/>
      </c>
    </row>
    <row r="311">
      <c r="A311" s="9" t="n">
        <v>153658</v>
      </c>
      <c r="B311" s="9" t="inlineStr">
        <is>
          <t>University of Iowa</t>
        </is>
      </c>
      <c r="C311" s="9" t="inlineStr">
        <is>
          <t>Iowa City</t>
        </is>
      </c>
      <c r="D311" s="9" t="inlineStr">
        <is>
          <t>IA</t>
        </is>
      </c>
      <c r="E311" s="9" t="inlineStr">
        <is>
          <t>Public</t>
        </is>
      </c>
      <c r="F311" s="11" t="n">
        <v>22531</v>
      </c>
      <c r="G311" s="11" t="n">
        <v>64762</v>
      </c>
      <c r="H311" s="9">
        <f>COUNTIF($G$5:$G$1531,"&gt;"&amp;G311)+1</f>
        <v/>
      </c>
      <c r="I311" s="9" t="inlineStr"/>
      <c r="J311" s="11">
        <f>IF(E311="Private",F311,"")</f>
        <v/>
      </c>
      <c r="K311" s="11">
        <f>IF(E311="Private",G311,"")</f>
        <v/>
      </c>
    </row>
    <row r="312">
      <c r="A312" s="9" t="n">
        <v>174020</v>
      </c>
      <c r="B312" s="9" t="inlineStr">
        <is>
          <t>Metropolitan State University</t>
        </is>
      </c>
      <c r="C312" s="9" t="inlineStr">
        <is>
          <t>Saint Paul</t>
        </is>
      </c>
      <c r="D312" s="9" t="inlineStr">
        <is>
          <t>MN</t>
        </is>
      </c>
      <c r="E312" s="9" t="inlineStr">
        <is>
          <t>Public</t>
        </is>
      </c>
      <c r="F312" s="11" t="n">
        <v>16863</v>
      </c>
      <c r="G312" s="11" t="n">
        <v>64705</v>
      </c>
      <c r="H312" s="9">
        <f>COUNTIF($G$5:$G$1531,"&gt;"&amp;G312)+1</f>
        <v/>
      </c>
      <c r="I312" s="9" t="inlineStr"/>
      <c r="J312" s="11">
        <f>IF(E312="Private",F312,"")</f>
        <v/>
      </c>
      <c r="K312" s="11">
        <f>IF(E312="Private",G312,"")</f>
        <v/>
      </c>
    </row>
    <row r="313">
      <c r="A313" s="9" t="n">
        <v>236577</v>
      </c>
      <c r="B313" s="9" t="inlineStr">
        <is>
          <t>Seattle Pacific University</t>
        </is>
      </c>
      <c r="C313" s="9" t="inlineStr">
        <is>
          <t>Seattle</t>
        </is>
      </c>
      <c r="D313" s="9" t="inlineStr">
        <is>
          <t>WA</t>
        </is>
      </c>
      <c r="E313" s="9" t="inlineStr">
        <is>
          <t>Private</t>
        </is>
      </c>
      <c r="F313" s="11" t="n">
        <v>24488</v>
      </c>
      <c r="G313" s="11" t="n">
        <v>64506</v>
      </c>
      <c r="H313" s="9">
        <f>COUNTIF($G$5:$G$1531,"&gt;"&amp;G313)+1</f>
        <v/>
      </c>
      <c r="I313" s="9" t="inlineStr"/>
      <c r="J313" s="11">
        <f>IF(E313="Private",F313,"")</f>
        <v/>
      </c>
      <c r="K313" s="11">
        <f>IF(E313="Private",G313,"")</f>
        <v/>
      </c>
    </row>
    <row r="314">
      <c r="A314" s="9" t="n">
        <v>110583</v>
      </c>
      <c r="B314" s="9" t="inlineStr">
        <is>
          <t>California State University-Long Beach</t>
        </is>
      </c>
      <c r="C314" s="9" t="inlineStr">
        <is>
          <t>Long Beach</t>
        </is>
      </c>
      <c r="D314" s="9" t="inlineStr">
        <is>
          <t>CA</t>
        </is>
      </c>
      <c r="E314" s="9" t="inlineStr">
        <is>
          <t>Public</t>
        </is>
      </c>
      <c r="F314" s="11" t="n">
        <v>10440</v>
      </c>
      <c r="G314" s="11" t="n">
        <v>64403</v>
      </c>
      <c r="H314" s="9">
        <f>COUNTIF($G$5:$G$1531,"&gt;"&amp;G314)+1</f>
        <v/>
      </c>
      <c r="I314" s="9" t="inlineStr"/>
      <c r="J314" s="11">
        <f>IF(E314="Private",F314,"")</f>
        <v/>
      </c>
      <c r="K314" s="11">
        <f>IF(E314="Private",G314,"")</f>
        <v/>
      </c>
    </row>
    <row r="315">
      <c r="A315" s="9" t="n">
        <v>164076</v>
      </c>
      <c r="B315" s="9" t="inlineStr">
        <is>
          <t>Towson University</t>
        </is>
      </c>
      <c r="C315" s="9" t="inlineStr">
        <is>
          <t>Towson</t>
        </is>
      </c>
      <c r="D315" s="9" t="inlineStr">
        <is>
          <t>MD</t>
        </is>
      </c>
      <c r="E315" s="9" t="inlineStr">
        <is>
          <t>Public</t>
        </is>
      </c>
      <c r="F315" s="11" t="n">
        <v>17413</v>
      </c>
      <c r="G315" s="11" t="n">
        <v>64390</v>
      </c>
      <c r="H315" s="9">
        <f>COUNTIF($G$5:$G$1531,"&gt;"&amp;G315)+1</f>
        <v/>
      </c>
      <c r="I315" s="9" t="inlineStr"/>
      <c r="J315" s="11">
        <f>IF(E315="Private",F315,"")</f>
        <v/>
      </c>
      <c r="K315" s="11">
        <f>IF(E315="Private",G315,"")</f>
        <v/>
      </c>
    </row>
    <row r="316">
      <c r="A316" s="9" t="n">
        <v>445188</v>
      </c>
      <c r="B316" s="9" t="inlineStr">
        <is>
          <t>University of California-Merced</t>
        </is>
      </c>
      <c r="C316" s="9" t="inlineStr">
        <is>
          <t>Merced</t>
        </is>
      </c>
      <c r="D316" s="9" t="inlineStr">
        <is>
          <t>CA</t>
        </is>
      </c>
      <c r="E316" s="9" t="inlineStr">
        <is>
          <t>Public</t>
        </is>
      </c>
      <c r="F316" s="11" t="n">
        <v>11983</v>
      </c>
      <c r="G316" s="11" t="n">
        <v>64368</v>
      </c>
      <c r="H316" s="9">
        <f>COUNTIF($G$5:$G$1531,"&gt;"&amp;G316)+1</f>
        <v/>
      </c>
      <c r="I316" s="9" t="inlineStr"/>
      <c r="J316" s="11">
        <f>IF(E316="Private",F316,"")</f>
        <v/>
      </c>
      <c r="K316" s="11">
        <f>IF(E316="Private",G316,"")</f>
        <v/>
      </c>
    </row>
    <row r="317">
      <c r="A317" s="9" t="n">
        <v>196112</v>
      </c>
      <c r="B317" s="9" t="inlineStr">
        <is>
          <t>SUNY Polytechnic Institute</t>
        </is>
      </c>
      <c r="C317" s="9" t="inlineStr">
        <is>
          <t>Utica</t>
        </is>
      </c>
      <c r="D317" s="9" t="inlineStr">
        <is>
          <t>NY</t>
        </is>
      </c>
      <c r="E317" s="9" t="inlineStr">
        <is>
          <t>Public</t>
        </is>
      </c>
      <c r="F317" s="11" t="n">
        <v>14164</v>
      </c>
      <c r="G317" s="11" t="n">
        <v>64355</v>
      </c>
      <c r="H317" s="9">
        <f>COUNTIF($G$5:$G$1531,"&gt;"&amp;G317)+1</f>
        <v/>
      </c>
      <c r="I317" s="9" t="inlineStr"/>
      <c r="J317" s="11">
        <f>IF(E317="Private",F317,"")</f>
        <v/>
      </c>
      <c r="K317" s="11">
        <f>IF(E317="Private",G317,"")</f>
        <v/>
      </c>
    </row>
    <row r="318">
      <c r="A318" s="9" t="n">
        <v>214069</v>
      </c>
      <c r="B318" s="9" t="inlineStr">
        <is>
          <t>Misericordia University</t>
        </is>
      </c>
      <c r="C318" s="9" t="inlineStr">
        <is>
          <t>Dallas</t>
        </is>
      </c>
      <c r="D318" s="9" t="inlineStr">
        <is>
          <t>PA</t>
        </is>
      </c>
      <c r="E318" s="9" t="inlineStr">
        <is>
          <t>Private</t>
        </is>
      </c>
      <c r="F318" s="11" t="n">
        <v>37485</v>
      </c>
      <c r="G318" s="11" t="n">
        <v>64313</v>
      </c>
      <c r="H318" s="9">
        <f>COUNTIF($G$5:$G$1531,"&gt;"&amp;G318)+1</f>
        <v/>
      </c>
      <c r="I318" s="9" t="inlineStr"/>
      <c r="J318" s="11">
        <f>IF(E318="Private",F318,"")</f>
        <v/>
      </c>
      <c r="K318" s="11">
        <f>IF(E318="Private",G318,"")</f>
        <v/>
      </c>
    </row>
    <row r="319">
      <c r="A319" s="9" t="n">
        <v>126562</v>
      </c>
      <c r="B319" s="9" t="inlineStr">
        <is>
          <t>University of Colorado Denver/Anschutz Medical Campus</t>
        </is>
      </c>
      <c r="C319" s="9" t="inlineStr">
        <is>
          <t>Denver</t>
        </is>
      </c>
      <c r="D319" s="9" t="inlineStr">
        <is>
          <t>CO</t>
        </is>
      </c>
      <c r="E319" s="9" t="inlineStr">
        <is>
          <t>Public</t>
        </is>
      </c>
      <c r="F319" s="11" t="n">
        <v>11900</v>
      </c>
      <c r="G319" s="11" t="n">
        <v>64270</v>
      </c>
      <c r="H319" s="9">
        <f>COUNTIF($G$5:$G$1531,"&gt;"&amp;G319)+1</f>
        <v/>
      </c>
      <c r="I319" s="9" t="inlineStr"/>
      <c r="J319" s="11">
        <f>IF(E319="Private",F319,"")</f>
        <v/>
      </c>
      <c r="K319" s="11">
        <f>IF(E319="Private",G319,"")</f>
        <v/>
      </c>
    </row>
    <row r="320">
      <c r="A320" s="9" t="n">
        <v>162210</v>
      </c>
      <c r="B320" s="9" t="inlineStr">
        <is>
          <t>Washington Adventist University</t>
        </is>
      </c>
      <c r="C320" s="9" t="inlineStr">
        <is>
          <t>Takoma Park</t>
        </is>
      </c>
      <c r="D320" s="9" t="inlineStr">
        <is>
          <t>MD</t>
        </is>
      </c>
      <c r="E320" s="9" t="inlineStr">
        <is>
          <t>Private</t>
        </is>
      </c>
      <c r="F320" s="11" t="n">
        <v>18526</v>
      </c>
      <c r="G320" s="11" t="n">
        <v>64249</v>
      </c>
      <c r="H320" s="9">
        <f>COUNTIF($G$5:$G$1531,"&gt;"&amp;G320)+1</f>
        <v/>
      </c>
      <c r="I320" s="9" t="inlineStr"/>
      <c r="J320" s="11">
        <f>IF(E320="Private",F320,"")</f>
        <v/>
      </c>
      <c r="K320" s="11">
        <f>IF(E320="Private",G320,"")</f>
        <v/>
      </c>
    </row>
    <row r="321">
      <c r="A321" s="9" t="n">
        <v>128780</v>
      </c>
      <c r="B321" s="9" t="inlineStr">
        <is>
          <t>Charter Oak State College</t>
        </is>
      </c>
      <c r="C321" s="9" t="inlineStr">
        <is>
          <t>New Britain</t>
        </is>
      </c>
      <c r="D321" s="9" t="inlineStr">
        <is>
          <t>CT</t>
        </is>
      </c>
      <c r="E321" s="9" t="inlineStr">
        <is>
          <t>Public</t>
        </is>
      </c>
      <c r="F321" s="11" t="n">
        <v>15815</v>
      </c>
      <c r="G321" s="11" t="n">
        <v>64209</v>
      </c>
      <c r="H321" s="9">
        <f>COUNTIF($G$5:$G$1531,"&gt;"&amp;G321)+1</f>
        <v/>
      </c>
      <c r="I321" s="9" t="inlineStr"/>
      <c r="J321" s="11">
        <f>IF(E321="Private",F321,"")</f>
        <v/>
      </c>
      <c r="K321" s="11">
        <f>IF(E321="Private",G321,"")</f>
        <v/>
      </c>
    </row>
    <row r="322">
      <c r="A322" s="9" t="n">
        <v>110538</v>
      </c>
      <c r="B322" s="9" t="inlineStr">
        <is>
          <t>California State University-Chico</t>
        </is>
      </c>
      <c r="C322" s="9" t="inlineStr">
        <is>
          <t>Chico</t>
        </is>
      </c>
      <c r="D322" s="9" t="inlineStr">
        <is>
          <t>CA</t>
        </is>
      </c>
      <c r="E322" s="9" t="inlineStr">
        <is>
          <t>Public</t>
        </is>
      </c>
      <c r="F322" s="11" t="n">
        <v>14480</v>
      </c>
      <c r="G322" s="11" t="n">
        <v>64172</v>
      </c>
      <c r="H322" s="9">
        <f>COUNTIF($G$5:$G$1531,"&gt;"&amp;G322)+1</f>
        <v/>
      </c>
      <c r="I322" s="9" t="inlineStr"/>
      <c r="J322" s="11">
        <f>IF(E322="Private",F322,"")</f>
        <v/>
      </c>
      <c r="K322" s="11">
        <f>IF(E322="Private",G322,"")</f>
        <v/>
      </c>
    </row>
    <row r="323">
      <c r="A323" s="9" t="n">
        <v>163462</v>
      </c>
      <c r="B323" s="9" t="inlineStr">
        <is>
          <t>Mount St. Mary's University</t>
        </is>
      </c>
      <c r="C323" s="9" t="inlineStr">
        <is>
          <t>Emmitsburg</t>
        </is>
      </c>
      <c r="D323" s="9" t="inlineStr">
        <is>
          <t>MD</t>
        </is>
      </c>
      <c r="E323" s="9" t="inlineStr">
        <is>
          <t>Private</t>
        </is>
      </c>
      <c r="F323" s="11" t="n">
        <v>22655</v>
      </c>
      <c r="G323" s="11" t="n">
        <v>64072</v>
      </c>
      <c r="H323" s="9">
        <f>COUNTIF($G$5:$G$1531,"&gt;"&amp;G323)+1</f>
        <v/>
      </c>
      <c r="I323" s="9" t="inlineStr"/>
      <c r="J323" s="11">
        <f>IF(E323="Private",F323,"")</f>
        <v/>
      </c>
      <c r="K323" s="11">
        <f>IF(E323="Private",G323,"")</f>
        <v/>
      </c>
    </row>
    <row r="324">
      <c r="A324" s="9" t="n">
        <v>167835</v>
      </c>
      <c r="B324" s="9" t="inlineStr">
        <is>
          <t>Smith College</t>
        </is>
      </c>
      <c r="C324" s="9" t="inlineStr">
        <is>
          <t>Northampton</t>
        </is>
      </c>
      <c r="D324" s="9" t="inlineStr">
        <is>
          <t>MA</t>
        </is>
      </c>
      <c r="E324" s="9" t="inlineStr">
        <is>
          <t>Private</t>
        </is>
      </c>
      <c r="F324" s="11" t="n">
        <v>27579</v>
      </c>
      <c r="G324" s="11" t="n">
        <v>64027</v>
      </c>
      <c r="H324" s="9">
        <f>COUNTIF($G$5:$G$1531,"&gt;"&amp;G324)+1</f>
        <v/>
      </c>
      <c r="I324" s="9" t="inlineStr"/>
      <c r="J324" s="11">
        <f>IF(E324="Private",F324,"")</f>
        <v/>
      </c>
      <c r="K324" s="11">
        <f>IF(E324="Private",G324,"")</f>
        <v/>
      </c>
    </row>
    <row r="325">
      <c r="A325" s="9" t="n">
        <v>209542</v>
      </c>
      <c r="B325" s="9" t="inlineStr">
        <is>
          <t>Oregon State University</t>
        </is>
      </c>
      <c r="C325" s="9" t="inlineStr">
        <is>
          <t>Corvallis</t>
        </is>
      </c>
      <c r="D325" s="9" t="inlineStr">
        <is>
          <t>OR</t>
        </is>
      </c>
      <c r="E325" s="9" t="inlineStr">
        <is>
          <t>Public</t>
        </is>
      </c>
      <c r="F325" s="11" t="n">
        <v>19604</v>
      </c>
      <c r="G325" s="11" t="n">
        <v>64010</v>
      </c>
      <c r="H325" s="9">
        <f>COUNTIF($G$5:$G$1531,"&gt;"&amp;G325)+1</f>
        <v/>
      </c>
      <c r="I325" s="9" t="inlineStr"/>
      <c r="J325" s="11">
        <f>IF(E325="Private",F325,"")</f>
        <v/>
      </c>
      <c r="K325" s="11">
        <f>IF(E325="Private",G325,"")</f>
        <v/>
      </c>
    </row>
    <row r="326">
      <c r="A326" s="9" t="n">
        <v>121309</v>
      </c>
      <c r="B326" s="9" t="inlineStr">
        <is>
          <t>Point Loma Nazarene University</t>
        </is>
      </c>
      <c r="C326" s="9" t="inlineStr">
        <is>
          <t>San Diego</t>
        </is>
      </c>
      <c r="D326" s="9" t="inlineStr">
        <is>
          <t>CA</t>
        </is>
      </c>
      <c r="E326" s="9" t="inlineStr">
        <is>
          <t>Private</t>
        </is>
      </c>
      <c r="F326" s="11" t="n">
        <v>38729</v>
      </c>
      <c r="G326" s="11" t="n">
        <v>63998</v>
      </c>
      <c r="H326" s="9">
        <f>COUNTIF($G$5:$G$1531,"&gt;"&amp;G326)+1</f>
        <v/>
      </c>
      <c r="I326" s="9" t="inlineStr"/>
      <c r="J326" s="11">
        <f>IF(E326="Private",F326,"")</f>
        <v/>
      </c>
      <c r="K326" s="11">
        <f>IF(E326="Private",G326,"")</f>
        <v/>
      </c>
    </row>
    <row r="327">
      <c r="A327" s="9" t="n">
        <v>148584</v>
      </c>
      <c r="B327" s="9" t="inlineStr">
        <is>
          <t>University of St Francis</t>
        </is>
      </c>
      <c r="C327" s="9" t="inlineStr">
        <is>
          <t>Joliet</t>
        </is>
      </c>
      <c r="D327" s="9" t="inlineStr">
        <is>
          <t>IL</t>
        </is>
      </c>
      <c r="E327" s="9" t="inlineStr">
        <is>
          <t>Private</t>
        </is>
      </c>
      <c r="F327" s="11" t="n">
        <v>13006</v>
      </c>
      <c r="G327" s="11" t="n">
        <v>63926</v>
      </c>
      <c r="H327" s="9">
        <f>COUNTIF($G$5:$G$1531,"&gt;"&amp;G327)+1</f>
        <v/>
      </c>
      <c r="I327" s="9" t="inlineStr"/>
      <c r="J327" s="11">
        <f>IF(E327="Private",F327,"")</f>
        <v/>
      </c>
      <c r="K327" s="11">
        <f>IF(E327="Private",G327,"")</f>
        <v/>
      </c>
    </row>
    <row r="328">
      <c r="A328" s="9" t="n">
        <v>195544</v>
      </c>
      <c r="B328" s="9" t="inlineStr">
        <is>
          <t>St. Joseph's University-New York</t>
        </is>
      </c>
      <c r="C328" s="9" t="inlineStr">
        <is>
          <t>Brooklyn</t>
        </is>
      </c>
      <c r="D328" s="9" t="inlineStr">
        <is>
          <t>NY</t>
        </is>
      </c>
      <c r="E328" s="9" t="inlineStr">
        <is>
          <t>Private</t>
        </is>
      </c>
      <c r="F328" s="11" t="n">
        <v>19035</v>
      </c>
      <c r="G328" s="11" t="n">
        <v>63905</v>
      </c>
      <c r="H328" s="9">
        <f>COUNTIF($G$5:$G$1531,"&gt;"&amp;G328)+1</f>
        <v/>
      </c>
      <c r="I328" s="9" t="inlineStr"/>
      <c r="J328" s="11">
        <f>IF(E328="Private",F328,"")</f>
        <v/>
      </c>
      <c r="K328" s="11">
        <f>IF(E328="Private",G328,"")</f>
        <v/>
      </c>
    </row>
    <row r="329">
      <c r="A329" s="9" t="n">
        <v>173902</v>
      </c>
      <c r="B329" s="9" t="inlineStr">
        <is>
          <t>Macalester College</t>
        </is>
      </c>
      <c r="C329" s="9" t="inlineStr">
        <is>
          <t>Saint Paul</t>
        </is>
      </c>
      <c r="D329" s="9" t="inlineStr">
        <is>
          <t>MN</t>
        </is>
      </c>
      <c r="E329" s="9" t="inlineStr">
        <is>
          <t>Private</t>
        </is>
      </c>
      <c r="F329" s="11" t="n">
        <v>32149</v>
      </c>
      <c r="G329" s="11" t="n">
        <v>63878</v>
      </c>
      <c r="H329" s="9">
        <f>COUNTIF($G$5:$G$1531,"&gt;"&amp;G329)+1</f>
        <v/>
      </c>
      <c r="I329" s="9" t="inlineStr"/>
      <c r="J329" s="11">
        <f>IF(E329="Private",F329,"")</f>
        <v/>
      </c>
      <c r="K329" s="11">
        <f>IF(E329="Private",G329,"")</f>
        <v/>
      </c>
    </row>
    <row r="330">
      <c r="A330" s="9" t="n">
        <v>154688</v>
      </c>
      <c r="B330" s="9" t="inlineStr">
        <is>
          <t>Baker University</t>
        </is>
      </c>
      <c r="C330" s="9" t="inlineStr">
        <is>
          <t>Baldwin City</t>
        </is>
      </c>
      <c r="D330" s="9" t="inlineStr">
        <is>
          <t>KS</t>
        </is>
      </c>
      <c r="E330" s="9" t="inlineStr">
        <is>
          <t>Private</t>
        </is>
      </c>
      <c r="F330" s="11" t="n">
        <v>25301</v>
      </c>
      <c r="G330" s="11" t="n">
        <v>63855</v>
      </c>
      <c r="H330" s="9">
        <f>COUNTIF($G$5:$G$1531,"&gt;"&amp;G330)+1</f>
        <v/>
      </c>
      <c r="I330" s="9" t="inlineStr"/>
      <c r="J330" s="11">
        <f>IF(E330="Private",F330,"")</f>
        <v/>
      </c>
      <c r="K330" s="11">
        <f>IF(E330="Private",G330,"")</f>
        <v/>
      </c>
    </row>
    <row r="331">
      <c r="A331" s="9" t="n">
        <v>173160</v>
      </c>
      <c r="B331" s="9" t="inlineStr">
        <is>
          <t>Bethel University (Saint Paul, MN)</t>
        </is>
      </c>
      <c r="C331" s="9" t="inlineStr">
        <is>
          <t>Saint Paul</t>
        </is>
      </c>
      <c r="D331" s="9" t="inlineStr">
        <is>
          <t>MN</t>
        </is>
      </c>
      <c r="E331" s="9" t="inlineStr">
        <is>
          <t>Private</t>
        </is>
      </c>
      <c r="F331" s="11" t="n">
        <v>28556</v>
      </c>
      <c r="G331" s="11" t="n">
        <v>63764</v>
      </c>
      <c r="H331" s="9">
        <f>COUNTIF($G$5:$G$1531,"&gt;"&amp;G331)+1</f>
        <v/>
      </c>
      <c r="I331" s="9" t="inlineStr"/>
      <c r="J331" s="11">
        <f>IF(E331="Private",F331,"")</f>
        <v/>
      </c>
      <c r="K331" s="11">
        <f>IF(E331="Private",G331,"")</f>
        <v/>
      </c>
    </row>
    <row r="332">
      <c r="A332" s="9" t="n">
        <v>149781</v>
      </c>
      <c r="B332" s="9" t="inlineStr">
        <is>
          <t>Wheaton College</t>
        </is>
      </c>
      <c r="C332" s="9" t="inlineStr">
        <is>
          <t>Wheaton</t>
        </is>
      </c>
      <c r="D332" s="9" t="inlineStr">
        <is>
          <t>IL</t>
        </is>
      </c>
      <c r="E332" s="9" t="inlineStr">
        <is>
          <t>Private</t>
        </is>
      </c>
      <c r="F332" s="11" t="n">
        <v>26975</v>
      </c>
      <c r="G332" s="11" t="n">
        <v>63756</v>
      </c>
      <c r="H332" s="9">
        <f>COUNTIF($G$5:$G$1531,"&gt;"&amp;G332)+1</f>
        <v/>
      </c>
      <c r="I332" s="9" t="inlineStr"/>
      <c r="J332" s="11">
        <f>IF(E332="Private",F332,"")</f>
        <v/>
      </c>
      <c r="K332" s="11">
        <f>IF(E332="Private",G332,"")</f>
        <v/>
      </c>
    </row>
    <row r="333">
      <c r="A333" s="9" t="n">
        <v>151351</v>
      </c>
      <c r="B333" s="9" t="inlineStr">
        <is>
          <t>Indiana University-Bloomington</t>
        </is>
      </c>
      <c r="C333" s="9" t="inlineStr">
        <is>
          <t>Bloomington</t>
        </is>
      </c>
      <c r="D333" s="9" t="inlineStr">
        <is>
          <t>IN</t>
        </is>
      </c>
      <c r="E333" s="9" t="inlineStr">
        <is>
          <t>Public</t>
        </is>
      </c>
      <c r="F333" s="11" t="n">
        <v>16264</v>
      </c>
      <c r="G333" s="11" t="n">
        <v>63742</v>
      </c>
      <c r="H333" s="9">
        <f>COUNTIF($G$5:$G$1531,"&gt;"&amp;G333)+1</f>
        <v/>
      </c>
      <c r="I333" s="9" t="inlineStr"/>
      <c r="J333" s="11">
        <f>IF(E333="Private",F333,"")</f>
        <v/>
      </c>
      <c r="K333" s="11">
        <f>IF(E333="Private",G333,"")</f>
        <v/>
      </c>
    </row>
    <row r="334">
      <c r="A334" s="9" t="n">
        <v>216339</v>
      </c>
      <c r="B334" s="9" t="inlineStr">
        <is>
          <t>Temple University</t>
        </is>
      </c>
      <c r="C334" s="9" t="inlineStr">
        <is>
          <t>Philadelphia</t>
        </is>
      </c>
      <c r="D334" s="9" t="inlineStr">
        <is>
          <t>PA</t>
        </is>
      </c>
      <c r="E334" s="9" t="inlineStr">
        <is>
          <t>Public</t>
        </is>
      </c>
      <c r="F334" s="11" t="n">
        <v>28198</v>
      </c>
      <c r="G334" s="11" t="n">
        <v>63727</v>
      </c>
      <c r="H334" s="9">
        <f>COUNTIF($G$5:$G$1531,"&gt;"&amp;G334)+1</f>
        <v/>
      </c>
      <c r="I334" s="9" t="inlineStr"/>
      <c r="J334" s="11">
        <f>IF(E334="Private",F334,"")</f>
        <v/>
      </c>
      <c r="K334" s="11">
        <f>IF(E334="Private",G334,"")</f>
        <v/>
      </c>
    </row>
    <row r="335">
      <c r="A335" s="9" t="n">
        <v>184348</v>
      </c>
      <c r="B335" s="9" t="inlineStr">
        <is>
          <t>Drew University</t>
        </is>
      </c>
      <c r="C335" s="9" t="inlineStr">
        <is>
          <t>Madison</t>
        </is>
      </c>
      <c r="D335" s="9" t="inlineStr">
        <is>
          <t>NJ</t>
        </is>
      </c>
      <c r="E335" s="9" t="inlineStr">
        <is>
          <t>Private</t>
        </is>
      </c>
      <c r="F335" s="11" t="n">
        <v>24280</v>
      </c>
      <c r="G335" s="11" t="n">
        <v>63646</v>
      </c>
      <c r="H335" s="9">
        <f>COUNTIF($G$5:$G$1531,"&gt;"&amp;G335)+1</f>
        <v/>
      </c>
      <c r="I335" s="9" t="inlineStr"/>
      <c r="J335" s="11">
        <f>IF(E335="Private",F335,"")</f>
        <v/>
      </c>
      <c r="K335" s="11">
        <f>IF(E335="Private",G335,"")</f>
        <v/>
      </c>
    </row>
    <row r="336">
      <c r="A336" s="9" t="n">
        <v>200280</v>
      </c>
      <c r="B336" s="9" t="inlineStr">
        <is>
          <t>University of North Dakota</t>
        </is>
      </c>
      <c r="C336" s="9" t="inlineStr">
        <is>
          <t>Grand Forks</t>
        </is>
      </c>
      <c r="D336" s="9" t="inlineStr">
        <is>
          <t>ND</t>
        </is>
      </c>
      <c r="E336" s="9" t="inlineStr">
        <is>
          <t>Public</t>
        </is>
      </c>
      <c r="F336" s="11" t="n">
        <v>18551</v>
      </c>
      <c r="G336" s="11" t="n">
        <v>63552</v>
      </c>
      <c r="H336" s="9">
        <f>COUNTIF($G$5:$G$1531,"&gt;"&amp;G336)+1</f>
        <v/>
      </c>
      <c r="I336" s="9" t="inlineStr"/>
      <c r="J336" s="11">
        <f>IF(E336="Private",F336,"")</f>
        <v/>
      </c>
      <c r="K336" s="11">
        <f>IF(E336="Private",G336,"")</f>
        <v/>
      </c>
    </row>
    <row r="337">
      <c r="A337" s="9" t="n">
        <v>191968</v>
      </c>
      <c r="B337" s="9" t="inlineStr">
        <is>
          <t>Ithaca College</t>
        </is>
      </c>
      <c r="C337" s="9" t="inlineStr">
        <is>
          <t>Ithaca</t>
        </is>
      </c>
      <c r="D337" s="9" t="inlineStr">
        <is>
          <t>NY</t>
        </is>
      </c>
      <c r="E337" s="9" t="inlineStr">
        <is>
          <t>Private</t>
        </is>
      </c>
      <c r="F337" s="11" t="n">
        <v>33926</v>
      </c>
      <c r="G337" s="11" t="n">
        <v>63548</v>
      </c>
      <c r="H337" s="9">
        <f>COUNTIF($G$5:$G$1531,"&gt;"&amp;G337)+1</f>
        <v/>
      </c>
      <c r="I337" s="9" t="inlineStr"/>
      <c r="J337" s="11">
        <f>IF(E337="Private",F337,"")</f>
        <v/>
      </c>
      <c r="K337" s="11">
        <f>IF(E337="Private",G337,"")</f>
        <v/>
      </c>
    </row>
    <row r="338">
      <c r="A338" s="9" t="n">
        <v>442569</v>
      </c>
      <c r="B338" s="9" t="inlineStr">
        <is>
          <t>University of Arkansas Grantham</t>
        </is>
      </c>
      <c r="C338" s="9" t="inlineStr">
        <is>
          <t>LIttle Rock</t>
        </is>
      </c>
      <c r="D338" s="9" t="inlineStr">
        <is>
          <t>AR</t>
        </is>
      </c>
      <c r="E338" s="9" t="inlineStr">
        <is>
          <t>Public</t>
        </is>
      </c>
      <c r="F338" s="11" t="n">
        <v>8370</v>
      </c>
      <c r="G338" s="11" t="n">
        <v>63496</v>
      </c>
      <c r="H338" s="9">
        <f>COUNTIF($G$5:$G$1531,"&gt;"&amp;G338)+1</f>
        <v/>
      </c>
      <c r="I338" s="9" t="inlineStr"/>
      <c r="J338" s="11">
        <f>IF(E338="Private",F338,"")</f>
        <v/>
      </c>
      <c r="K338" s="11">
        <f>IF(E338="Private",G338,"")</f>
        <v/>
      </c>
    </row>
    <row r="339">
      <c r="A339" s="9" t="n">
        <v>167783</v>
      </c>
      <c r="B339" s="9" t="inlineStr">
        <is>
          <t>Simmons University</t>
        </is>
      </c>
      <c r="C339" s="9" t="inlineStr">
        <is>
          <t>Boston</t>
        </is>
      </c>
      <c r="D339" s="9" t="inlineStr">
        <is>
          <t>MA</t>
        </is>
      </c>
      <c r="E339" s="9" t="inlineStr">
        <is>
          <t>Private</t>
        </is>
      </c>
      <c r="F339" s="11" t="n">
        <v>25265</v>
      </c>
      <c r="G339" s="11" t="n">
        <v>63494</v>
      </c>
      <c r="H339" s="9">
        <f>COUNTIF($G$5:$G$1531,"&gt;"&amp;G339)+1</f>
        <v/>
      </c>
      <c r="I339" s="9" t="inlineStr"/>
      <c r="J339" s="11">
        <f>IF(E339="Private",F339,"")</f>
        <v/>
      </c>
      <c r="K339" s="11">
        <f>IF(E339="Private",G339,"")</f>
        <v/>
      </c>
    </row>
    <row r="340">
      <c r="A340" s="9" t="n">
        <v>216931</v>
      </c>
      <c r="B340" s="9" t="inlineStr">
        <is>
          <t>Wilkes University</t>
        </is>
      </c>
      <c r="C340" s="9" t="inlineStr">
        <is>
          <t>Wilkes-Barre</t>
        </is>
      </c>
      <c r="D340" s="9" t="inlineStr">
        <is>
          <t>PA</t>
        </is>
      </c>
      <c r="E340" s="9" t="inlineStr">
        <is>
          <t>Private</t>
        </is>
      </c>
      <c r="F340" s="11" t="n">
        <v>27743</v>
      </c>
      <c r="G340" s="11" t="n">
        <v>63454</v>
      </c>
      <c r="H340" s="9">
        <f>COUNTIF($G$5:$G$1531,"&gt;"&amp;G340)+1</f>
        <v/>
      </c>
      <c r="I340" s="9" t="inlineStr"/>
      <c r="J340" s="11">
        <f>IF(E340="Private",F340,"")</f>
        <v/>
      </c>
      <c r="K340" s="11">
        <f>IF(E340="Private",G340,"")</f>
        <v/>
      </c>
    </row>
    <row r="341">
      <c r="A341" s="9" t="n">
        <v>145619</v>
      </c>
      <c r="B341" s="9" t="inlineStr">
        <is>
          <t>Benedictine University</t>
        </is>
      </c>
      <c r="C341" s="9" t="inlineStr">
        <is>
          <t>Lisle</t>
        </is>
      </c>
      <c r="D341" s="9" t="inlineStr">
        <is>
          <t>IL</t>
        </is>
      </c>
      <c r="E341" s="9" t="inlineStr">
        <is>
          <t>Private</t>
        </is>
      </c>
      <c r="F341" s="11" t="n">
        <v>22313</v>
      </c>
      <c r="G341" s="11" t="n">
        <v>63446</v>
      </c>
      <c r="H341" s="9">
        <f>COUNTIF($G$5:$G$1531,"&gt;"&amp;G341)+1</f>
        <v/>
      </c>
      <c r="I341" s="9" t="inlineStr"/>
      <c r="J341" s="11">
        <f>IF(E341="Private",F341,"")</f>
        <v/>
      </c>
      <c r="K341" s="11">
        <f>IF(E341="Private",G341,"")</f>
        <v/>
      </c>
    </row>
    <row r="342">
      <c r="A342" s="9" t="n">
        <v>178396</v>
      </c>
      <c r="B342" s="9" t="inlineStr">
        <is>
          <t>University of Missouri-Columbia</t>
        </is>
      </c>
      <c r="C342" s="9" t="inlineStr">
        <is>
          <t>Columbia</t>
        </is>
      </c>
      <c r="D342" s="9" t="inlineStr">
        <is>
          <t>MO</t>
        </is>
      </c>
      <c r="E342" s="9" t="inlineStr">
        <is>
          <t>Public</t>
        </is>
      </c>
      <c r="F342" s="11" t="n">
        <v>20268</v>
      </c>
      <c r="G342" s="11" t="n">
        <v>63403</v>
      </c>
      <c r="H342" s="9">
        <f>COUNTIF($G$5:$G$1531,"&gt;"&amp;G342)+1</f>
        <v/>
      </c>
      <c r="I342" s="9" t="inlineStr"/>
      <c r="J342" s="11">
        <f>IF(E342="Private",F342,"")</f>
        <v/>
      </c>
      <c r="K342" s="11">
        <f>IF(E342="Private",G342,"")</f>
        <v/>
      </c>
    </row>
    <row r="343">
      <c r="A343" s="9" t="n">
        <v>153603</v>
      </c>
      <c r="B343" s="9" t="inlineStr">
        <is>
          <t>Iowa State University</t>
        </is>
      </c>
      <c r="C343" s="9" t="inlineStr">
        <is>
          <t>Ames</t>
        </is>
      </c>
      <c r="D343" s="9" t="inlineStr">
        <is>
          <t>IA</t>
        </is>
      </c>
      <c r="E343" s="9" t="inlineStr">
        <is>
          <t>Public</t>
        </is>
      </c>
      <c r="F343" s="11" t="n">
        <v>18589</v>
      </c>
      <c r="G343" s="11" t="n">
        <v>63386</v>
      </c>
      <c r="H343" s="9">
        <f>COUNTIF($G$5:$G$1531,"&gt;"&amp;G343)+1</f>
        <v/>
      </c>
      <c r="I343" s="9" t="inlineStr"/>
      <c r="J343" s="11">
        <f>IF(E343="Private",F343,"")</f>
        <v/>
      </c>
      <c r="K343" s="11">
        <f>IF(E343="Private",G343,"")</f>
        <v/>
      </c>
    </row>
    <row r="344">
      <c r="A344" s="9" t="n">
        <v>197045</v>
      </c>
      <c r="B344" s="9" t="inlineStr">
        <is>
          <t>Utica University</t>
        </is>
      </c>
      <c r="C344" s="9" t="inlineStr">
        <is>
          <t>Utica</t>
        </is>
      </c>
      <c r="D344" s="9" t="inlineStr">
        <is>
          <t>NY</t>
        </is>
      </c>
      <c r="E344" s="9" t="inlineStr">
        <is>
          <t>Private</t>
        </is>
      </c>
      <c r="F344" s="11" t="n">
        <v>19108</v>
      </c>
      <c r="G344" s="11" t="n">
        <v>63277</v>
      </c>
      <c r="H344" s="9">
        <f>COUNTIF($G$5:$G$1531,"&gt;"&amp;G344)+1</f>
        <v/>
      </c>
      <c r="I344" s="9" t="inlineStr"/>
      <c r="J344" s="11">
        <f>IF(E344="Private",F344,"")</f>
        <v/>
      </c>
      <c r="K344" s="11">
        <f>IF(E344="Private",G344,"")</f>
        <v/>
      </c>
    </row>
    <row r="345">
      <c r="A345" s="9" t="n">
        <v>160755</v>
      </c>
      <c r="B345" s="9" t="inlineStr">
        <is>
          <t>Tulane University of Louisiana</t>
        </is>
      </c>
      <c r="C345" s="9" t="inlineStr">
        <is>
          <t>New Orleans</t>
        </is>
      </c>
      <c r="D345" s="9" t="inlineStr">
        <is>
          <t>LA</t>
        </is>
      </c>
      <c r="E345" s="9" t="inlineStr">
        <is>
          <t>Private</t>
        </is>
      </c>
      <c r="F345" s="11" t="n">
        <v>39949</v>
      </c>
      <c r="G345" s="11" t="n">
        <v>63268</v>
      </c>
      <c r="H345" s="9">
        <f>COUNTIF($G$5:$G$1531,"&gt;"&amp;G345)+1</f>
        <v/>
      </c>
      <c r="I345" s="9" t="inlineStr"/>
      <c r="J345" s="11">
        <f>IF(E345="Private",F345,"")</f>
        <v/>
      </c>
      <c r="K345" s="11">
        <f>IF(E345="Private",G345,"")</f>
        <v/>
      </c>
    </row>
    <row r="346">
      <c r="A346" s="9" t="n">
        <v>174747</v>
      </c>
      <c r="B346" s="9" t="inlineStr">
        <is>
          <t>College of Saint Benedict</t>
        </is>
      </c>
      <c r="C346" s="9" t="inlineStr">
        <is>
          <t>Saint Joseph</t>
        </is>
      </c>
      <c r="D346" s="9" t="inlineStr">
        <is>
          <t>MN</t>
        </is>
      </c>
      <c r="E346" s="9" t="inlineStr">
        <is>
          <t>Private</t>
        </is>
      </c>
      <c r="F346" s="11" t="n">
        <v>26640</v>
      </c>
      <c r="G346" s="11" t="n">
        <v>63260</v>
      </c>
      <c r="H346" s="9">
        <f>COUNTIF($G$5:$G$1531,"&gt;"&amp;G346)+1</f>
        <v/>
      </c>
      <c r="I346" s="9" t="inlineStr"/>
      <c r="J346" s="11">
        <f>IF(E346="Private",F346,"")</f>
        <v/>
      </c>
      <c r="K346" s="11">
        <f>IF(E346="Private",G346,"")</f>
        <v/>
      </c>
    </row>
    <row r="347">
      <c r="A347" s="9" t="n">
        <v>228769</v>
      </c>
      <c r="B347" s="9" t="inlineStr">
        <is>
          <t>The University of Texas at Arlington</t>
        </is>
      </c>
      <c r="C347" s="9" t="inlineStr">
        <is>
          <t>Arlington</t>
        </is>
      </c>
      <c r="D347" s="9" t="inlineStr">
        <is>
          <t>TX</t>
        </is>
      </c>
      <c r="E347" s="9" t="inlineStr">
        <is>
          <t>Public</t>
        </is>
      </c>
      <c r="F347" s="11" t="n">
        <v>13951</v>
      </c>
      <c r="G347" s="11" t="n">
        <v>63199</v>
      </c>
      <c r="H347" s="9">
        <f>COUNTIF($G$5:$G$1531,"&gt;"&amp;G347)+1</f>
        <v/>
      </c>
      <c r="I347" s="9" t="inlineStr"/>
      <c r="J347" s="11">
        <f>IF(E347="Private",F347,"")</f>
        <v/>
      </c>
      <c r="K347" s="11">
        <f>IF(E347="Private",G347,"")</f>
        <v/>
      </c>
    </row>
    <row r="348">
      <c r="A348" s="9" t="n">
        <v>152600</v>
      </c>
      <c r="B348" s="9" t="inlineStr">
        <is>
          <t>Valparaiso University</t>
        </is>
      </c>
      <c r="C348" s="9" t="inlineStr">
        <is>
          <t>Valparaiso</t>
        </is>
      </c>
      <c r="D348" s="9" t="inlineStr">
        <is>
          <t>IN</t>
        </is>
      </c>
      <c r="E348" s="9" t="inlineStr">
        <is>
          <t>Private</t>
        </is>
      </c>
      <c r="F348" s="11" t="n">
        <v>18578</v>
      </c>
      <c r="G348" s="11" t="n">
        <v>63191</v>
      </c>
      <c r="H348" s="9">
        <f>COUNTIF($G$5:$G$1531,"&gt;"&amp;G348)+1</f>
        <v/>
      </c>
      <c r="I348" s="9" t="inlineStr"/>
      <c r="J348" s="11">
        <f>IF(E348="Private",F348,"")</f>
        <v/>
      </c>
      <c r="K348" s="11">
        <f>IF(E348="Private",G348,"")</f>
        <v/>
      </c>
    </row>
    <row r="349">
      <c r="A349" s="9" t="n">
        <v>110495</v>
      </c>
      <c r="B349" s="9" t="inlineStr">
        <is>
          <t>California State University-Stanislaus</t>
        </is>
      </c>
      <c r="C349" s="9" t="inlineStr">
        <is>
          <t>Turlock</t>
        </is>
      </c>
      <c r="D349" s="9" t="inlineStr">
        <is>
          <t>CA</t>
        </is>
      </c>
      <c r="E349" s="9" t="inlineStr">
        <is>
          <t>Public</t>
        </is>
      </c>
      <c r="F349" s="11" t="n">
        <v>6067</v>
      </c>
      <c r="G349" s="11" t="n">
        <v>63188</v>
      </c>
      <c r="H349" s="9">
        <f>COUNTIF($G$5:$G$1531,"&gt;"&amp;G349)+1</f>
        <v/>
      </c>
      <c r="I349" s="9" t="inlineStr"/>
      <c r="J349" s="11">
        <f>IF(E349="Private",F349,"")</f>
        <v/>
      </c>
      <c r="K349" s="11">
        <f>IF(E349="Private",G349,"")</f>
        <v/>
      </c>
    </row>
    <row r="350">
      <c r="A350" s="9" t="n">
        <v>190594</v>
      </c>
      <c r="B350" s="9" t="inlineStr">
        <is>
          <t>CUNY Hunter College</t>
        </is>
      </c>
      <c r="C350" s="9" t="inlineStr">
        <is>
          <t>New York</t>
        </is>
      </c>
      <c r="D350" s="9" t="inlineStr">
        <is>
          <t>NY</t>
        </is>
      </c>
      <c r="E350" s="9" t="inlineStr">
        <is>
          <t>Public</t>
        </is>
      </c>
      <c r="F350" s="11" t="n">
        <v>2984</v>
      </c>
      <c r="G350" s="11" t="n">
        <v>63163</v>
      </c>
      <c r="H350" s="9">
        <f>COUNTIF($G$5:$G$1531,"&gt;"&amp;G350)+1</f>
        <v/>
      </c>
      <c r="I350" s="9" t="inlineStr"/>
      <c r="J350" s="11">
        <f>IF(E350="Private",F350,"")</f>
        <v/>
      </c>
      <c r="K350" s="11">
        <f>IF(E350="Private",G350,"")</f>
        <v/>
      </c>
    </row>
    <row r="351">
      <c r="A351" s="9" t="n">
        <v>207500</v>
      </c>
      <c r="B351" s="9" t="inlineStr">
        <is>
          <t>University of Oklahoma-Norman Campus</t>
        </is>
      </c>
      <c r="C351" s="9" t="inlineStr">
        <is>
          <t>Norman</t>
        </is>
      </c>
      <c r="D351" s="9" t="inlineStr">
        <is>
          <t>OK</t>
        </is>
      </c>
      <c r="E351" s="9" t="inlineStr">
        <is>
          <t>Public</t>
        </is>
      </c>
      <c r="F351" s="11" t="n">
        <v>15300</v>
      </c>
      <c r="G351" s="11" t="n">
        <v>63126</v>
      </c>
      <c r="H351" s="9">
        <f>COUNTIF($G$5:$G$1531,"&gt;"&amp;G351)+1</f>
        <v/>
      </c>
      <c r="I351" s="9" t="inlineStr"/>
      <c r="J351" s="11">
        <f>IF(E351="Private",F351,"")</f>
        <v/>
      </c>
      <c r="K351" s="11">
        <f>IF(E351="Private",G351,"")</f>
        <v/>
      </c>
    </row>
    <row r="352">
      <c r="A352" s="9" t="n">
        <v>131520</v>
      </c>
      <c r="B352" s="9" t="inlineStr">
        <is>
          <t>Howard University</t>
        </is>
      </c>
      <c r="C352" s="9" t="inlineStr">
        <is>
          <t>Washington</t>
        </is>
      </c>
      <c r="D352" s="9" t="inlineStr">
        <is>
          <t>DC</t>
        </is>
      </c>
      <c r="E352" s="9" t="inlineStr">
        <is>
          <t>Private</t>
        </is>
      </c>
      <c r="F352" s="11" t="n">
        <v>50539</v>
      </c>
      <c r="G352" s="11" t="n">
        <v>63066</v>
      </c>
      <c r="H352" s="9">
        <f>COUNTIF($G$5:$G$1531,"&gt;"&amp;G352)+1</f>
        <v/>
      </c>
      <c r="I352" s="9" t="inlineStr"/>
      <c r="J352" s="11">
        <f>IF(E352="Private",F352,"")</f>
        <v/>
      </c>
      <c r="K352" s="11">
        <f>IF(E352="Private",G352,"")</f>
        <v/>
      </c>
    </row>
    <row r="353">
      <c r="A353" s="9" t="n">
        <v>155520</v>
      </c>
      <c r="B353" s="9" t="inlineStr">
        <is>
          <t>MidAmerica Nazarene University</t>
        </is>
      </c>
      <c r="C353" s="9" t="inlineStr">
        <is>
          <t>Olathe</t>
        </is>
      </c>
      <c r="D353" s="9" t="inlineStr">
        <is>
          <t>KS</t>
        </is>
      </c>
      <c r="E353" s="9" t="inlineStr">
        <is>
          <t>Private</t>
        </is>
      </c>
      <c r="F353" s="11" t="n">
        <v>32165</v>
      </c>
      <c r="G353" s="11" t="n">
        <v>62972</v>
      </c>
      <c r="H353" s="9">
        <f>COUNTIF($G$5:$G$1531,"&gt;"&amp;G353)+1</f>
        <v/>
      </c>
      <c r="I353" s="9" t="inlineStr"/>
      <c r="J353" s="11">
        <f>IF(E353="Private",F353,"")</f>
        <v/>
      </c>
      <c r="K353" s="11">
        <f>IF(E353="Private",G353,"")</f>
        <v/>
      </c>
    </row>
    <row r="354">
      <c r="A354" s="9" t="n">
        <v>143084</v>
      </c>
      <c r="B354" s="9" t="inlineStr">
        <is>
          <t>Augustana College</t>
        </is>
      </c>
      <c r="C354" s="9" t="inlineStr">
        <is>
          <t>Rock Island</t>
        </is>
      </c>
      <c r="D354" s="9" t="inlineStr">
        <is>
          <t>IL</t>
        </is>
      </c>
      <c r="E354" s="9" t="inlineStr">
        <is>
          <t>Private</t>
        </is>
      </c>
      <c r="F354" s="11" t="n">
        <v>22736</v>
      </c>
      <c r="G354" s="11" t="n">
        <v>62971</v>
      </c>
      <c r="H354" s="9">
        <f>COUNTIF($G$5:$G$1531,"&gt;"&amp;G354)+1</f>
        <v/>
      </c>
      <c r="I354" s="9" t="inlineStr"/>
      <c r="J354" s="11">
        <f>IF(E354="Private",F354,"")</f>
        <v/>
      </c>
      <c r="K354" s="11">
        <f>IF(E354="Private",G354,"")</f>
        <v/>
      </c>
    </row>
    <row r="355">
      <c r="A355" s="9" t="n">
        <v>110565</v>
      </c>
      <c r="B355" s="9" t="inlineStr">
        <is>
          <t>California State University-Fullerton</t>
        </is>
      </c>
      <c r="C355" s="9" t="inlineStr">
        <is>
          <t>Fullerton</t>
        </is>
      </c>
      <c r="D355" s="9" t="inlineStr">
        <is>
          <t>CA</t>
        </is>
      </c>
      <c r="E355" s="9" t="inlineStr">
        <is>
          <t>Public</t>
        </is>
      </c>
      <c r="F355" s="11" t="n">
        <v>6555</v>
      </c>
      <c r="G355" s="11" t="n">
        <v>62951</v>
      </c>
      <c r="H355" s="9">
        <f>COUNTIF($G$5:$G$1531,"&gt;"&amp;G355)+1</f>
        <v/>
      </c>
      <c r="I355" s="9" t="inlineStr"/>
      <c r="J355" s="11">
        <f>IF(E355="Private",F355,"")</f>
        <v/>
      </c>
      <c r="K355" s="11">
        <f>IF(E355="Private",G355,"")</f>
        <v/>
      </c>
    </row>
    <row r="356">
      <c r="A356" s="9" t="n">
        <v>209922</v>
      </c>
      <c r="B356" s="9" t="inlineStr">
        <is>
          <t>Reed College</t>
        </is>
      </c>
      <c r="C356" s="9" t="inlineStr">
        <is>
          <t>Portland</t>
        </is>
      </c>
      <c r="D356" s="9" t="inlineStr">
        <is>
          <t>OR</t>
        </is>
      </c>
      <c r="E356" s="9" t="inlineStr">
        <is>
          <t>Private</t>
        </is>
      </c>
      <c r="F356" s="11" t="n">
        <v>33013</v>
      </c>
      <c r="G356" s="11" t="n">
        <v>62927</v>
      </c>
      <c r="H356" s="9">
        <f>COUNTIF($G$5:$G$1531,"&gt;"&amp;G356)+1</f>
        <v/>
      </c>
      <c r="I356" s="9" t="inlineStr"/>
      <c r="J356" s="11">
        <f>IF(E356="Private",F356,"")</f>
        <v/>
      </c>
      <c r="K356" s="11">
        <f>IF(E356="Private",G356,"")</f>
        <v/>
      </c>
    </row>
    <row r="357">
      <c r="A357" s="9" t="n">
        <v>195243</v>
      </c>
      <c r="B357" s="9" t="inlineStr">
        <is>
          <t>St. Thomas Aquinas College</t>
        </is>
      </c>
      <c r="C357" s="9" t="inlineStr">
        <is>
          <t>Sparkill</t>
        </is>
      </c>
      <c r="D357" s="9" t="inlineStr">
        <is>
          <t>NY</t>
        </is>
      </c>
      <c r="E357" s="9" t="inlineStr">
        <is>
          <t>Private</t>
        </is>
      </c>
      <c r="F357" s="11" t="n">
        <v>19994</v>
      </c>
      <c r="G357" s="11" t="n">
        <v>62909</v>
      </c>
      <c r="H357" s="9">
        <f>COUNTIF($G$5:$G$1531,"&gt;"&amp;G357)+1</f>
        <v/>
      </c>
      <c r="I357" s="9" t="inlineStr"/>
      <c r="J357" s="11">
        <f>IF(E357="Private",F357,"")</f>
        <v/>
      </c>
      <c r="K357" s="11">
        <f>IF(E357="Private",G357,"")</f>
        <v/>
      </c>
    </row>
    <row r="358">
      <c r="A358" s="9" t="n">
        <v>366711</v>
      </c>
      <c r="B358" s="9" t="inlineStr">
        <is>
          <t>California State University-San Marcos</t>
        </is>
      </c>
      <c r="C358" s="9" t="inlineStr">
        <is>
          <t>San Marcos</t>
        </is>
      </c>
      <c r="D358" s="9" t="inlineStr">
        <is>
          <t>CA</t>
        </is>
      </c>
      <c r="E358" s="9" t="inlineStr">
        <is>
          <t>Public</t>
        </is>
      </c>
      <c r="F358" s="11" t="n">
        <v>10229</v>
      </c>
      <c r="G358" s="11" t="n">
        <v>62908</v>
      </c>
      <c r="H358" s="9">
        <f>COUNTIF($G$5:$G$1531,"&gt;"&amp;G358)+1</f>
        <v/>
      </c>
      <c r="I358" s="9" t="inlineStr"/>
      <c r="J358" s="11">
        <f>IF(E358="Private",F358,"")</f>
        <v/>
      </c>
      <c r="K358" s="11">
        <f>IF(E358="Private",G358,"")</f>
        <v/>
      </c>
    </row>
    <row r="359">
      <c r="A359" s="9" t="n">
        <v>203368</v>
      </c>
      <c r="B359" s="9" t="inlineStr">
        <is>
          <t>John Carroll University</t>
        </is>
      </c>
      <c r="C359" s="9" t="inlineStr">
        <is>
          <t>University Heights</t>
        </is>
      </c>
      <c r="D359" s="9" t="inlineStr">
        <is>
          <t>OH</t>
        </is>
      </c>
      <c r="E359" s="9" t="inlineStr">
        <is>
          <t>Private</t>
        </is>
      </c>
      <c r="F359" s="11" t="n">
        <v>28746</v>
      </c>
      <c r="G359" s="11" t="n">
        <v>62860</v>
      </c>
      <c r="H359" s="9">
        <f>COUNTIF($G$5:$G$1531,"&gt;"&amp;G359)+1</f>
        <v/>
      </c>
      <c r="I359" s="9" t="inlineStr"/>
      <c r="J359" s="11">
        <f>IF(E359="Private",F359,"")</f>
        <v/>
      </c>
      <c r="K359" s="11">
        <f>IF(E359="Private",G359,"")</f>
        <v/>
      </c>
    </row>
    <row r="360">
      <c r="A360" s="9" t="n">
        <v>165662</v>
      </c>
      <c r="B360" s="9" t="inlineStr">
        <is>
          <t>Emerson College</t>
        </is>
      </c>
      <c r="C360" s="9" t="inlineStr">
        <is>
          <t>Boston</t>
        </is>
      </c>
      <c r="D360" s="9" t="inlineStr">
        <is>
          <t>MA</t>
        </is>
      </c>
      <c r="E360" s="9" t="inlineStr">
        <is>
          <t>Private</t>
        </is>
      </c>
      <c r="F360" s="11" t="n">
        <v>49180</v>
      </c>
      <c r="G360" s="11" t="n">
        <v>62832</v>
      </c>
      <c r="H360" s="9">
        <f>COUNTIF($G$5:$G$1531,"&gt;"&amp;G360)+1</f>
        <v/>
      </c>
      <c r="I360" s="9" t="inlineStr"/>
      <c r="J360" s="11">
        <f>IF(E360="Private",F360,"")</f>
        <v/>
      </c>
      <c r="K360" s="11">
        <f>IF(E360="Private",G360,"")</f>
        <v/>
      </c>
    </row>
    <row r="361">
      <c r="A361" s="9" t="n">
        <v>153384</v>
      </c>
      <c r="B361" s="9" t="inlineStr">
        <is>
          <t>Grinnell College</t>
        </is>
      </c>
      <c r="C361" s="9" t="inlineStr">
        <is>
          <t>Grinnell</t>
        </is>
      </c>
      <c r="D361" s="9" t="inlineStr">
        <is>
          <t>IA</t>
        </is>
      </c>
      <c r="E361" s="9" t="inlineStr">
        <is>
          <t>Private</t>
        </is>
      </c>
      <c r="F361" s="11" t="n">
        <v>17648</v>
      </c>
      <c r="G361" s="11" t="n">
        <v>62830</v>
      </c>
      <c r="H361" s="9">
        <f>COUNTIF($G$5:$G$1531,"&gt;"&amp;G361)+1</f>
        <v/>
      </c>
      <c r="I361" s="9" t="inlineStr"/>
      <c r="J361" s="11">
        <f>IF(E361="Private",F361,"")</f>
        <v/>
      </c>
      <c r="K361" s="11">
        <f>IF(E361="Private",G361,"")</f>
        <v/>
      </c>
    </row>
    <row r="362">
      <c r="A362" s="9" t="n">
        <v>190664</v>
      </c>
      <c r="B362" s="9" t="inlineStr">
        <is>
          <t>CUNY Queens College</t>
        </is>
      </c>
      <c r="C362" s="9" t="inlineStr">
        <is>
          <t>Queens</t>
        </is>
      </c>
      <c r="D362" s="9" t="inlineStr">
        <is>
          <t>NY</t>
        </is>
      </c>
      <c r="E362" s="9" t="inlineStr">
        <is>
          <t>Public</t>
        </is>
      </c>
      <c r="F362" s="11" t="n">
        <v>4195</v>
      </c>
      <c r="G362" s="11" t="n">
        <v>62763</v>
      </c>
      <c r="H362" s="9">
        <f>COUNTIF($G$5:$G$1531,"&gt;"&amp;G362)+1</f>
        <v/>
      </c>
      <c r="I362" s="9" t="inlineStr"/>
      <c r="J362" s="11">
        <f>IF(E362="Private",F362,"")</f>
        <v/>
      </c>
      <c r="K362" s="11">
        <f>IF(E362="Private",G362,"")</f>
        <v/>
      </c>
    </row>
    <row r="363">
      <c r="A363" s="9" t="n">
        <v>192323</v>
      </c>
      <c r="B363" s="9" t="inlineStr">
        <is>
          <t>Le Moyne College</t>
        </is>
      </c>
      <c r="C363" s="9" t="inlineStr">
        <is>
          <t>Syracuse</t>
        </is>
      </c>
      <c r="D363" s="9" t="inlineStr">
        <is>
          <t>NY</t>
        </is>
      </c>
      <c r="E363" s="9" t="inlineStr">
        <is>
          <t>Private</t>
        </is>
      </c>
      <c r="F363" s="11" t="n">
        <v>22277</v>
      </c>
      <c r="G363" s="11" t="n">
        <v>62731</v>
      </c>
      <c r="H363" s="9">
        <f>COUNTIF($G$5:$G$1531,"&gt;"&amp;G363)+1</f>
        <v/>
      </c>
      <c r="I363" s="9" t="inlineStr"/>
      <c r="J363" s="11">
        <f>IF(E363="Private",F363,"")</f>
        <v/>
      </c>
      <c r="K363" s="11">
        <f>IF(E363="Private",G363,"")</f>
        <v/>
      </c>
    </row>
    <row r="364">
      <c r="A364" s="9" t="n">
        <v>191126</v>
      </c>
      <c r="B364" s="9" t="inlineStr">
        <is>
          <t>Fashion Institute of Technology</t>
        </is>
      </c>
      <c r="C364" s="9" t="inlineStr">
        <is>
          <t>New York</t>
        </is>
      </c>
      <c r="D364" s="9" t="inlineStr">
        <is>
          <t>NY</t>
        </is>
      </c>
      <c r="E364" s="9" t="inlineStr">
        <is>
          <t>Public</t>
        </is>
      </c>
      <c r="F364" s="11" t="n">
        <v>19095</v>
      </c>
      <c r="G364" s="11" t="n">
        <v>62696</v>
      </c>
      <c r="H364" s="9">
        <f>COUNTIF($G$5:$G$1531,"&gt;"&amp;G364)+1</f>
        <v/>
      </c>
      <c r="I364" s="9" t="inlineStr"/>
      <c r="J364" s="11">
        <f>IF(E364="Private",F364,"")</f>
        <v/>
      </c>
      <c r="K364" s="11">
        <f>IF(E364="Private",G364,"")</f>
        <v/>
      </c>
    </row>
    <row r="365">
      <c r="A365" s="9" t="n">
        <v>104151</v>
      </c>
      <c r="B365" s="9" t="inlineStr">
        <is>
          <t>Arizona State University Campus Immersion</t>
        </is>
      </c>
      <c r="C365" s="9" t="inlineStr">
        <is>
          <t>Tempe</t>
        </is>
      </c>
      <c r="D365" s="9" t="inlineStr">
        <is>
          <t>AZ</t>
        </is>
      </c>
      <c r="E365" s="9" t="inlineStr">
        <is>
          <t>Public</t>
        </is>
      </c>
      <c r="F365" s="11" t="n">
        <v>14967</v>
      </c>
      <c r="G365" s="11" t="n">
        <v>62668</v>
      </c>
      <c r="H365" s="9">
        <f>COUNTIF($G$5:$G$1531,"&gt;"&amp;G365)+1</f>
        <v/>
      </c>
      <c r="I365" s="9" t="inlineStr"/>
      <c r="J365" s="11">
        <f>IF(E365="Private",F365,"")</f>
        <v/>
      </c>
      <c r="K365" s="11">
        <f>IF(E365="Private",G365,"")</f>
        <v/>
      </c>
    </row>
    <row r="366">
      <c r="A366" s="9" t="n">
        <v>213507</v>
      </c>
      <c r="B366" s="9" t="inlineStr">
        <is>
          <t>Lebanon Valley College</t>
        </is>
      </c>
      <c r="C366" s="9" t="inlineStr">
        <is>
          <t>Annville</t>
        </is>
      </c>
      <c r="D366" s="9" t="inlineStr">
        <is>
          <t>PA</t>
        </is>
      </c>
      <c r="E366" s="9" t="inlineStr">
        <is>
          <t>Private</t>
        </is>
      </c>
      <c r="F366" s="11" t="n">
        <v>26979</v>
      </c>
      <c r="G366" s="11" t="n">
        <v>62621</v>
      </c>
      <c r="H366" s="9">
        <f>COUNTIF($G$5:$G$1531,"&gt;"&amp;G366)+1</f>
        <v/>
      </c>
      <c r="I366" s="9" t="inlineStr"/>
      <c r="J366" s="11">
        <f>IF(E366="Private",F366,"")</f>
        <v/>
      </c>
      <c r="K366" s="11">
        <f>IF(E366="Private",G366,"")</f>
        <v/>
      </c>
    </row>
    <row r="367">
      <c r="A367" s="9" t="n">
        <v>174233</v>
      </c>
      <c r="B367" s="9" t="inlineStr">
        <is>
          <t>University of Minnesota-Duluth</t>
        </is>
      </c>
      <c r="C367" s="9" t="inlineStr">
        <is>
          <t>Duluth</t>
        </is>
      </c>
      <c r="D367" s="9" t="inlineStr">
        <is>
          <t>MN</t>
        </is>
      </c>
      <c r="E367" s="9" t="inlineStr">
        <is>
          <t>Public</t>
        </is>
      </c>
      <c r="F367" s="11" t="n">
        <v>18743</v>
      </c>
      <c r="G367" s="11" t="n">
        <v>62616</v>
      </c>
      <c r="H367" s="9">
        <f>COUNTIF($G$5:$G$1531,"&gt;"&amp;G367)+1</f>
        <v/>
      </c>
      <c r="I367" s="9" t="inlineStr"/>
      <c r="J367" s="11">
        <f>IF(E367="Private",F367,"")</f>
        <v/>
      </c>
      <c r="K367" s="11">
        <f>IF(E367="Private",G367,"")</f>
        <v/>
      </c>
    </row>
    <row r="368">
      <c r="A368" s="9" t="n">
        <v>237011</v>
      </c>
      <c r="B368" s="9" t="inlineStr">
        <is>
          <t>Western Washington University</t>
        </is>
      </c>
      <c r="C368" s="9" t="inlineStr">
        <is>
          <t>Bellingham</t>
        </is>
      </c>
      <c r="D368" s="9" t="inlineStr">
        <is>
          <t>WA</t>
        </is>
      </c>
      <c r="E368" s="9" t="inlineStr">
        <is>
          <t>Public</t>
        </is>
      </c>
      <c r="F368" s="11" t="n">
        <v>21193</v>
      </c>
      <c r="G368" s="11" t="n">
        <v>62569</v>
      </c>
      <c r="H368" s="9">
        <f>COUNTIF($G$5:$G$1531,"&gt;"&amp;G368)+1</f>
        <v/>
      </c>
      <c r="I368" s="9" t="inlineStr"/>
      <c r="J368" s="11">
        <f>IF(E368="Private",F368,"")</f>
        <v/>
      </c>
      <c r="K368" s="11">
        <f>IF(E368="Private",G368,"")</f>
        <v/>
      </c>
    </row>
    <row r="369">
      <c r="A369" s="9" t="n">
        <v>231174</v>
      </c>
      <c r="B369" s="9" t="inlineStr">
        <is>
          <t>University of Vermont</t>
        </is>
      </c>
      <c r="C369" s="9" t="inlineStr">
        <is>
          <t>Burlington</t>
        </is>
      </c>
      <c r="D369" s="9" t="inlineStr">
        <is>
          <t>VT</t>
        </is>
      </c>
      <c r="E369" s="9" t="inlineStr">
        <is>
          <t>Public</t>
        </is>
      </c>
      <c r="F369" s="11" t="n">
        <v>19343</v>
      </c>
      <c r="G369" s="11" t="n">
        <v>62472</v>
      </c>
      <c r="H369" s="9">
        <f>COUNTIF($G$5:$G$1531,"&gt;"&amp;G369)+1</f>
        <v/>
      </c>
      <c r="I369" s="9" t="inlineStr"/>
      <c r="J369" s="11">
        <f>IF(E369="Private",F369,"")</f>
        <v/>
      </c>
      <c r="K369" s="11">
        <f>IF(E369="Private",G369,"")</f>
        <v/>
      </c>
    </row>
    <row r="370">
      <c r="A370" s="9" t="n">
        <v>229115</v>
      </c>
      <c r="B370" s="9" t="inlineStr">
        <is>
          <t>Texas Tech University</t>
        </is>
      </c>
      <c r="C370" s="9" t="inlineStr">
        <is>
          <t>Lubbock</t>
        </is>
      </c>
      <c r="D370" s="9" t="inlineStr">
        <is>
          <t>TX</t>
        </is>
      </c>
      <c r="E370" s="9" t="inlineStr">
        <is>
          <t>Public</t>
        </is>
      </c>
      <c r="F370" s="11" t="n">
        <v>19070</v>
      </c>
      <c r="G370" s="11" t="n">
        <v>62454</v>
      </c>
      <c r="H370" s="9">
        <f>COUNTIF($G$5:$G$1531,"&gt;"&amp;G370)+1</f>
        <v/>
      </c>
      <c r="I370" s="9" t="inlineStr"/>
      <c r="J370" s="11">
        <f>IF(E370="Private",F370,"")</f>
        <v/>
      </c>
      <c r="K370" s="11">
        <f>IF(E370="Private",G370,"")</f>
        <v/>
      </c>
    </row>
    <row r="371">
      <c r="A371" s="9" t="n">
        <v>212197</v>
      </c>
      <c r="B371" s="9" t="inlineStr">
        <is>
          <t>Elizabethtown College</t>
        </is>
      </c>
      <c r="C371" s="9" t="inlineStr">
        <is>
          <t>Elizabethtown</t>
        </is>
      </c>
      <c r="D371" s="9" t="inlineStr">
        <is>
          <t>PA</t>
        </is>
      </c>
      <c r="E371" s="9" t="inlineStr">
        <is>
          <t>Private</t>
        </is>
      </c>
      <c r="F371" s="11" t="n">
        <v>26598</v>
      </c>
      <c r="G371" s="11" t="n">
        <v>62399</v>
      </c>
      <c r="H371" s="9">
        <f>COUNTIF($G$5:$G$1531,"&gt;"&amp;G371)+1</f>
        <v/>
      </c>
      <c r="I371" s="9" t="inlineStr"/>
      <c r="J371" s="11">
        <f>IF(E371="Private",F371,"")</f>
        <v/>
      </c>
      <c r="K371" s="11">
        <f>IF(E371="Private",G371,"")</f>
        <v/>
      </c>
    </row>
    <row r="372">
      <c r="A372" s="9" t="n">
        <v>165334</v>
      </c>
      <c r="B372" s="9" t="inlineStr">
        <is>
          <t>Clark University</t>
        </is>
      </c>
      <c r="C372" s="9" t="inlineStr">
        <is>
          <t>Worcester</t>
        </is>
      </c>
      <c r="D372" s="9" t="inlineStr">
        <is>
          <t>MA</t>
        </is>
      </c>
      <c r="E372" s="9" t="inlineStr">
        <is>
          <t>Private</t>
        </is>
      </c>
      <c r="F372" s="11" t="n">
        <v>28714</v>
      </c>
      <c r="G372" s="11" t="n">
        <v>62381</v>
      </c>
      <c r="H372" s="9">
        <f>COUNTIF($G$5:$G$1531,"&gt;"&amp;G372)+1</f>
        <v/>
      </c>
      <c r="I372" s="9" t="inlineStr"/>
      <c r="J372" s="11">
        <f>IF(E372="Private",F372,"")</f>
        <v/>
      </c>
      <c r="K372" s="11">
        <f>IF(E372="Private",G372,"")</f>
        <v/>
      </c>
    </row>
    <row r="373">
      <c r="A373" s="9" t="n">
        <v>225511</v>
      </c>
      <c r="B373" s="9" t="inlineStr">
        <is>
          <t>University of Houston</t>
        </is>
      </c>
      <c r="C373" s="9" t="inlineStr">
        <is>
          <t>Houston</t>
        </is>
      </c>
      <c r="D373" s="9" t="inlineStr">
        <is>
          <t>TX</t>
        </is>
      </c>
      <c r="E373" s="9" t="inlineStr">
        <is>
          <t>Public</t>
        </is>
      </c>
      <c r="F373" s="11" t="n">
        <v>14276</v>
      </c>
      <c r="G373" s="11" t="n">
        <v>62377</v>
      </c>
      <c r="H373" s="9">
        <f>COUNTIF($G$5:$G$1531,"&gt;"&amp;G373)+1</f>
        <v/>
      </c>
      <c r="I373" s="9" t="inlineStr"/>
      <c r="J373" s="11">
        <f>IF(E373="Private",F373,"")</f>
        <v/>
      </c>
      <c r="K373" s="11">
        <f>IF(E373="Private",G373,"")</f>
        <v/>
      </c>
    </row>
    <row r="374">
      <c r="A374" s="9" t="n">
        <v>212984</v>
      </c>
      <c r="B374" s="9" t="inlineStr">
        <is>
          <t>Holy Family University</t>
        </is>
      </c>
      <c r="C374" s="9" t="inlineStr">
        <is>
          <t>Philadelphia</t>
        </is>
      </c>
      <c r="D374" s="9" t="inlineStr">
        <is>
          <t>PA</t>
        </is>
      </c>
      <c r="E374" s="9" t="inlineStr">
        <is>
          <t>Private</t>
        </is>
      </c>
      <c r="F374" s="11" t="n">
        <v>13143</v>
      </c>
      <c r="G374" s="11" t="n">
        <v>62235</v>
      </c>
      <c r="H374" s="9">
        <f>COUNTIF($G$5:$G$1531,"&gt;"&amp;G374)+1</f>
        <v/>
      </c>
      <c r="I374" s="9" t="inlineStr"/>
      <c r="J374" s="11">
        <f>IF(E374="Private",F374,"")</f>
        <v/>
      </c>
      <c r="K374" s="11">
        <f>IF(E374="Private",G374,"")</f>
        <v/>
      </c>
    </row>
    <row r="375">
      <c r="A375" s="9" t="n">
        <v>186283</v>
      </c>
      <c r="B375" s="9" t="inlineStr">
        <is>
          <t>Rider University</t>
        </is>
      </c>
      <c r="C375" s="9" t="inlineStr">
        <is>
          <t>Lawrenceville</t>
        </is>
      </c>
      <c r="D375" s="9" t="inlineStr">
        <is>
          <t>NJ</t>
        </is>
      </c>
      <c r="E375" s="9" t="inlineStr">
        <is>
          <t>Private</t>
        </is>
      </c>
      <c r="F375" s="11" t="n">
        <v>24792</v>
      </c>
      <c r="G375" s="11" t="n">
        <v>62208</v>
      </c>
      <c r="H375" s="9">
        <f>COUNTIF($G$5:$G$1531,"&gt;"&amp;G375)+1</f>
        <v/>
      </c>
      <c r="I375" s="9" t="inlineStr"/>
      <c r="J375" s="11">
        <f>IF(E375="Private",F375,"")</f>
        <v/>
      </c>
      <c r="K375" s="11">
        <f>IF(E375="Private",G375,"")</f>
        <v/>
      </c>
    </row>
    <row r="376">
      <c r="A376" s="9" t="n">
        <v>209056</v>
      </c>
      <c r="B376" s="9" t="inlineStr">
        <is>
          <t>Lewis &amp; Clark College</t>
        </is>
      </c>
      <c r="C376" s="9" t="inlineStr">
        <is>
          <t>Portland</t>
        </is>
      </c>
      <c r="D376" s="9" t="inlineStr">
        <is>
          <t>OR</t>
        </is>
      </c>
      <c r="E376" s="9" t="inlineStr">
        <is>
          <t>Private</t>
        </is>
      </c>
      <c r="F376" s="11" t="n">
        <v>36013</v>
      </c>
      <c r="G376" s="11" t="n">
        <v>62205</v>
      </c>
      <c r="H376" s="9">
        <f>COUNTIF($G$5:$G$1531,"&gt;"&amp;G376)+1</f>
        <v/>
      </c>
      <c r="I376" s="9" t="inlineStr"/>
      <c r="J376" s="11">
        <f>IF(E376="Private",F376,"")</f>
        <v/>
      </c>
      <c r="K376" s="11">
        <f>IF(E376="Private",G376,"")</f>
        <v/>
      </c>
    </row>
    <row r="377">
      <c r="A377" s="9" t="n">
        <v>200332</v>
      </c>
      <c r="B377" s="9" t="inlineStr">
        <is>
          <t>North Dakota State University-Main Campus</t>
        </is>
      </c>
      <c r="C377" s="9" t="inlineStr">
        <is>
          <t>Fargo</t>
        </is>
      </c>
      <c r="D377" s="9" t="inlineStr">
        <is>
          <t>ND</t>
        </is>
      </c>
      <c r="E377" s="9" t="inlineStr">
        <is>
          <t>Public</t>
        </is>
      </c>
      <c r="F377" s="11" t="n">
        <v>15543</v>
      </c>
      <c r="G377" s="11" t="n">
        <v>62203</v>
      </c>
      <c r="H377" s="9">
        <f>COUNTIF($G$5:$G$1531,"&gt;"&amp;G377)+1</f>
        <v/>
      </c>
      <c r="I377" s="9" t="inlineStr"/>
      <c r="J377" s="11">
        <f>IF(E377="Private",F377,"")</f>
        <v/>
      </c>
      <c r="K377" s="11">
        <f>IF(E377="Private",G377,"")</f>
        <v/>
      </c>
    </row>
    <row r="378">
      <c r="A378" s="9" t="n">
        <v>218663</v>
      </c>
      <c r="B378" s="9" t="inlineStr">
        <is>
          <t>University of South Carolina-Columbia</t>
        </is>
      </c>
      <c r="C378" s="9" t="inlineStr">
        <is>
          <t>Columbia</t>
        </is>
      </c>
      <c r="D378" s="9" t="inlineStr">
        <is>
          <t>SC</t>
        </is>
      </c>
      <c r="E378" s="9" t="inlineStr">
        <is>
          <t>Public</t>
        </is>
      </c>
      <c r="F378" s="11" t="n">
        <v>22811</v>
      </c>
      <c r="G378" s="11" t="n">
        <v>62177</v>
      </c>
      <c r="H378" s="9">
        <f>COUNTIF($G$5:$G$1531,"&gt;"&amp;G378)+1</f>
        <v/>
      </c>
      <c r="I378" s="9" t="inlineStr"/>
      <c r="J378" s="11">
        <f>IF(E378="Private",F378,"")</f>
        <v/>
      </c>
      <c r="K378" s="11">
        <f>IF(E378="Private",G378,"")</f>
        <v/>
      </c>
    </row>
    <row r="379">
      <c r="A379" s="9" t="n">
        <v>441937</v>
      </c>
      <c r="B379" s="9" t="inlineStr">
        <is>
          <t>California State University-Channel Islands</t>
        </is>
      </c>
      <c r="C379" s="9" t="inlineStr">
        <is>
          <t>Camarillo</t>
        </is>
      </c>
      <c r="D379" s="9" t="inlineStr">
        <is>
          <t>CA</t>
        </is>
      </c>
      <c r="E379" s="9" t="inlineStr">
        <is>
          <t>Public</t>
        </is>
      </c>
      <c r="F379" s="11" t="n">
        <v>9849</v>
      </c>
      <c r="G379" s="11" t="n">
        <v>62152</v>
      </c>
      <c r="H379" s="9">
        <f>COUNTIF($G$5:$G$1531,"&gt;"&amp;G379)+1</f>
        <v/>
      </c>
      <c r="I379" s="9" t="inlineStr"/>
      <c r="J379" s="11">
        <f>IF(E379="Private",F379,"")</f>
        <v/>
      </c>
      <c r="K379" s="11">
        <f>IF(E379="Private",G379,"")</f>
        <v/>
      </c>
    </row>
    <row r="380">
      <c r="A380" s="9" t="n">
        <v>145813</v>
      </c>
      <c r="B380" s="9" t="inlineStr">
        <is>
          <t>Illinois State University</t>
        </is>
      </c>
      <c r="C380" s="9" t="inlineStr">
        <is>
          <t>Normal</t>
        </is>
      </c>
      <c r="D380" s="9" t="inlineStr">
        <is>
          <t>IL</t>
        </is>
      </c>
      <c r="E380" s="9" t="inlineStr">
        <is>
          <t>Public</t>
        </is>
      </c>
      <c r="F380" s="11" t="n">
        <v>19398</v>
      </c>
      <c r="G380" s="11" t="n">
        <v>62117</v>
      </c>
      <c r="H380" s="9">
        <f>COUNTIF($G$5:$G$1531,"&gt;"&amp;G380)+1</f>
        <v/>
      </c>
      <c r="I380" s="9" t="inlineStr"/>
      <c r="J380" s="11">
        <f>IF(E380="Private",F380,"")</f>
        <v/>
      </c>
      <c r="K380" s="11">
        <f>IF(E380="Private",G380,"")</f>
        <v/>
      </c>
    </row>
    <row r="381">
      <c r="A381" s="9" t="n">
        <v>215655</v>
      </c>
      <c r="B381" s="9" t="inlineStr">
        <is>
          <t>Robert Morris University</t>
        </is>
      </c>
      <c r="C381" s="9" t="inlineStr">
        <is>
          <t>Moon Township</t>
        </is>
      </c>
      <c r="D381" s="9" t="inlineStr">
        <is>
          <t>PA</t>
        </is>
      </c>
      <c r="E381" s="9" t="inlineStr">
        <is>
          <t>Private</t>
        </is>
      </c>
      <c r="F381" s="11" t="n">
        <v>23003</v>
      </c>
      <c r="G381" s="11" t="n">
        <v>62105</v>
      </c>
      <c r="H381" s="9">
        <f>COUNTIF($G$5:$G$1531,"&gt;"&amp;G381)+1</f>
        <v/>
      </c>
      <c r="I381" s="9" t="inlineStr"/>
      <c r="J381" s="11">
        <f>IF(E381="Private",F381,"")</f>
        <v/>
      </c>
      <c r="K381" s="11">
        <f>IF(E381="Private",G381,"")</f>
        <v/>
      </c>
    </row>
    <row r="382">
      <c r="A382" s="9" t="n">
        <v>178059</v>
      </c>
      <c r="B382" s="9" t="inlineStr">
        <is>
          <t>Maryville University of Saint Louis</t>
        </is>
      </c>
      <c r="C382" s="9" t="inlineStr">
        <is>
          <t>Saint Louis</t>
        </is>
      </c>
      <c r="D382" s="9" t="inlineStr">
        <is>
          <t>MO</t>
        </is>
      </c>
      <c r="E382" s="9" t="inlineStr">
        <is>
          <t>Private</t>
        </is>
      </c>
      <c r="F382" s="11" t="n">
        <v>22066</v>
      </c>
      <c r="G382" s="11" t="n">
        <v>62105</v>
      </c>
      <c r="H382" s="9">
        <f>COUNTIF($G$5:$G$1531,"&gt;"&amp;G382)+1</f>
        <v/>
      </c>
      <c r="I382" s="9" t="inlineStr"/>
      <c r="J382" s="11">
        <f>IF(E382="Private",F382,"")</f>
        <v/>
      </c>
      <c r="K382" s="11">
        <f>IF(E382="Private",G382,"")</f>
        <v/>
      </c>
    </row>
    <row r="383">
      <c r="A383" s="9" t="n">
        <v>215743</v>
      </c>
      <c r="B383" s="9" t="inlineStr">
        <is>
          <t>Saint Francis University</t>
        </is>
      </c>
      <c r="C383" s="9" t="inlineStr">
        <is>
          <t>Loretto</t>
        </is>
      </c>
      <c r="D383" s="9" t="inlineStr">
        <is>
          <t>PA</t>
        </is>
      </c>
      <c r="E383" s="9" t="inlineStr">
        <is>
          <t>Private</t>
        </is>
      </c>
      <c r="F383" s="11" t="n">
        <v>23526</v>
      </c>
      <c r="G383" s="11" t="n">
        <v>62101</v>
      </c>
      <c r="H383" s="9">
        <f>COUNTIF($G$5:$G$1531,"&gt;"&amp;G383)+1</f>
        <v/>
      </c>
      <c r="I383" s="9" t="inlineStr"/>
      <c r="J383" s="11">
        <f>IF(E383="Private",F383,"")</f>
        <v/>
      </c>
      <c r="K383" s="11">
        <f>IF(E383="Private",G383,"")</f>
        <v/>
      </c>
    </row>
    <row r="384">
      <c r="A384" s="9" t="n">
        <v>236452</v>
      </c>
      <c r="B384" s="9" t="inlineStr">
        <is>
          <t>Saint Martin's University</t>
        </is>
      </c>
      <c r="C384" s="9" t="inlineStr">
        <is>
          <t>Lacey</t>
        </is>
      </c>
      <c r="D384" s="9" t="inlineStr">
        <is>
          <t>WA</t>
        </is>
      </c>
      <c r="E384" s="9" t="inlineStr">
        <is>
          <t>Private</t>
        </is>
      </c>
      <c r="F384" s="11" t="n">
        <v>28119</v>
      </c>
      <c r="G384" s="11" t="n">
        <v>62092</v>
      </c>
      <c r="H384" s="9">
        <f>COUNTIF($G$5:$G$1531,"&gt;"&amp;G384)+1</f>
        <v/>
      </c>
      <c r="I384" s="9" t="inlineStr"/>
      <c r="J384" s="11">
        <f>IF(E384="Private",F384,"")</f>
        <v/>
      </c>
      <c r="K384" s="11">
        <f>IF(E384="Private",G384,"")</f>
        <v/>
      </c>
    </row>
    <row r="385">
      <c r="A385" s="9" t="n">
        <v>164173</v>
      </c>
      <c r="B385" s="9" t="inlineStr">
        <is>
          <t>Stevenson University</t>
        </is>
      </c>
      <c r="C385" s="9" t="inlineStr">
        <is>
          <t>Owings Mills</t>
        </is>
      </c>
      <c r="D385" s="9" t="inlineStr">
        <is>
          <t>MD</t>
        </is>
      </c>
      <c r="E385" s="9" t="inlineStr">
        <is>
          <t>Private</t>
        </is>
      </c>
      <c r="F385" s="11" t="n">
        <v>26505</v>
      </c>
      <c r="G385" s="11" t="n">
        <v>62079</v>
      </c>
      <c r="H385" s="9">
        <f>COUNTIF($G$5:$G$1531,"&gt;"&amp;G385)+1</f>
        <v/>
      </c>
      <c r="I385" s="9" t="inlineStr"/>
      <c r="J385" s="11">
        <f>IF(E385="Private",F385,"")</f>
        <v/>
      </c>
      <c r="K385" s="11">
        <f>IF(E385="Private",G385,"")</f>
        <v/>
      </c>
    </row>
    <row r="386">
      <c r="A386" s="9" t="n">
        <v>156286</v>
      </c>
      <c r="B386" s="9" t="inlineStr">
        <is>
          <t>Bellarmine University</t>
        </is>
      </c>
      <c r="C386" s="9" t="inlineStr">
        <is>
          <t>Louisville</t>
        </is>
      </c>
      <c r="D386" s="9" t="inlineStr">
        <is>
          <t>KY</t>
        </is>
      </c>
      <c r="E386" s="9" t="inlineStr">
        <is>
          <t>Private</t>
        </is>
      </c>
      <c r="F386" s="11" t="n">
        <v>21499</v>
      </c>
      <c r="G386" s="11" t="n">
        <v>62069</v>
      </c>
      <c r="H386" s="9">
        <f>COUNTIF($G$5:$G$1531,"&gt;"&amp;G386)+1</f>
        <v/>
      </c>
      <c r="I386" s="9" t="inlineStr"/>
      <c r="J386" s="11">
        <f>IF(E386="Private",F386,"")</f>
        <v/>
      </c>
      <c r="K386" s="11">
        <f>IF(E386="Private",G386,"")</f>
        <v/>
      </c>
    </row>
    <row r="387">
      <c r="A387" s="9" t="n">
        <v>210669</v>
      </c>
      <c r="B387" s="9" t="inlineStr">
        <is>
          <t>Allegheny College</t>
        </is>
      </c>
      <c r="C387" s="9" t="inlineStr">
        <is>
          <t>Meadville</t>
        </is>
      </c>
      <c r="D387" s="9" t="inlineStr">
        <is>
          <t>PA</t>
        </is>
      </c>
      <c r="E387" s="9" t="inlineStr">
        <is>
          <t>Private</t>
        </is>
      </c>
      <c r="F387" s="11" t="n">
        <v>22940</v>
      </c>
      <c r="G387" s="11" t="n">
        <v>62069</v>
      </c>
      <c r="H387" s="9">
        <f>COUNTIF($G$5:$G$1531,"&gt;"&amp;G387)+1</f>
        <v/>
      </c>
      <c r="I387" s="9" t="inlineStr"/>
      <c r="J387" s="11">
        <f>IF(E387="Private",F387,"")</f>
        <v/>
      </c>
      <c r="K387" s="11">
        <f>IF(E387="Private",G387,"")</f>
        <v/>
      </c>
    </row>
    <row r="388">
      <c r="A388" s="9" t="n">
        <v>155317</v>
      </c>
      <c r="B388" s="9" t="inlineStr">
        <is>
          <t>University of Kansas</t>
        </is>
      </c>
      <c r="C388" s="9" t="inlineStr">
        <is>
          <t>Lawrence</t>
        </is>
      </c>
      <c r="D388" s="9" t="inlineStr">
        <is>
          <t>KS</t>
        </is>
      </c>
      <c r="E388" s="9" t="inlineStr">
        <is>
          <t>Public</t>
        </is>
      </c>
      <c r="F388" s="11" t="n">
        <v>18059</v>
      </c>
      <c r="G388" s="11" t="n">
        <v>61945</v>
      </c>
      <c r="H388" s="9">
        <f>COUNTIF($G$5:$G$1531,"&gt;"&amp;G388)+1</f>
        <v/>
      </c>
      <c r="I388" s="9" t="inlineStr"/>
      <c r="J388" s="11">
        <f>IF(E388="Private",F388,"")</f>
        <v/>
      </c>
      <c r="K388" s="11">
        <f>IF(E388="Private",G388,"")</f>
        <v/>
      </c>
    </row>
    <row r="389">
      <c r="A389" s="9" t="n">
        <v>236896</v>
      </c>
      <c r="B389" s="9" t="inlineStr">
        <is>
          <t>Walla Walla University</t>
        </is>
      </c>
      <c r="C389" s="9" t="inlineStr">
        <is>
          <t>College Place</t>
        </is>
      </c>
      <c r="D389" s="9" t="inlineStr">
        <is>
          <t>WA</t>
        </is>
      </c>
      <c r="E389" s="9" t="inlineStr">
        <is>
          <t>Private</t>
        </is>
      </c>
      <c r="F389" s="11" t="n">
        <v>23329</v>
      </c>
      <c r="G389" s="11" t="n">
        <v>61885</v>
      </c>
      <c r="H389" s="9">
        <f>COUNTIF($G$5:$G$1531,"&gt;"&amp;G389)+1</f>
        <v/>
      </c>
      <c r="I389" s="9" t="inlineStr"/>
      <c r="J389" s="11">
        <f>IF(E389="Private",F389,"")</f>
        <v/>
      </c>
      <c r="K389" s="11">
        <f>IF(E389="Private",G389,"")</f>
        <v/>
      </c>
    </row>
    <row r="390">
      <c r="A390" s="9" t="n">
        <v>214157</v>
      </c>
      <c r="B390" s="9" t="inlineStr">
        <is>
          <t>Moravian University</t>
        </is>
      </c>
      <c r="C390" s="9" t="inlineStr">
        <is>
          <t>Bethlehem</t>
        </is>
      </c>
      <c r="D390" s="9" t="inlineStr">
        <is>
          <t>PA</t>
        </is>
      </c>
      <c r="E390" s="9" t="inlineStr">
        <is>
          <t>Private</t>
        </is>
      </c>
      <c r="F390" s="11" t="n">
        <v>30670</v>
      </c>
      <c r="G390" s="11" t="n">
        <v>61860</v>
      </c>
      <c r="H390" s="9">
        <f>COUNTIF($G$5:$G$1531,"&gt;"&amp;G390)+1</f>
        <v/>
      </c>
      <c r="I390" s="9" t="inlineStr"/>
      <c r="J390" s="11">
        <f>IF(E390="Private",F390,"")</f>
        <v/>
      </c>
      <c r="K390" s="11">
        <f>IF(E390="Private",G390,"")</f>
        <v/>
      </c>
    </row>
    <row r="391">
      <c r="A391" s="9" t="n">
        <v>146481</v>
      </c>
      <c r="B391" s="9" t="inlineStr">
        <is>
          <t>Lake Forest College</t>
        </is>
      </c>
      <c r="C391" s="9" t="inlineStr">
        <is>
          <t>Lake Forest</t>
        </is>
      </c>
      <c r="D391" s="9" t="inlineStr">
        <is>
          <t>IL</t>
        </is>
      </c>
      <c r="E391" s="9" t="inlineStr">
        <is>
          <t>Private</t>
        </is>
      </c>
      <c r="F391" s="11" t="n">
        <v>28673</v>
      </c>
      <c r="G391" s="11" t="n">
        <v>61825</v>
      </c>
      <c r="H391" s="9">
        <f>COUNTIF($G$5:$G$1531,"&gt;"&amp;G391)+1</f>
        <v/>
      </c>
      <c r="I391" s="9" t="inlineStr"/>
      <c r="J391" s="11">
        <f>IF(E391="Private",F391,"")</f>
        <v/>
      </c>
      <c r="K391" s="11">
        <f>IF(E391="Private",G391,"")</f>
        <v/>
      </c>
    </row>
    <row r="392">
      <c r="A392" s="9" t="n">
        <v>117627</v>
      </c>
      <c r="B392" s="9" t="inlineStr">
        <is>
          <t>La Sierra University</t>
        </is>
      </c>
      <c r="C392" s="9" t="inlineStr">
        <is>
          <t>Riverside</t>
        </is>
      </c>
      <c r="D392" s="9" t="inlineStr">
        <is>
          <t>CA</t>
        </is>
      </c>
      <c r="E392" s="9" t="inlineStr">
        <is>
          <t>Private</t>
        </is>
      </c>
      <c r="F392" s="11" t="n">
        <v>45566</v>
      </c>
      <c r="G392" s="11" t="n">
        <v>61824</v>
      </c>
      <c r="H392" s="9">
        <f>COUNTIF($G$5:$G$1531,"&gt;"&amp;G392)+1</f>
        <v/>
      </c>
      <c r="I392" s="9" t="inlineStr"/>
      <c r="J392" s="11">
        <f>IF(E392="Private",F392,"")</f>
        <v/>
      </c>
      <c r="K392" s="11">
        <f>IF(E392="Private",G392,"")</f>
        <v/>
      </c>
    </row>
    <row r="393">
      <c r="A393" s="9" t="n">
        <v>190725</v>
      </c>
      <c r="B393" s="9" t="inlineStr">
        <is>
          <t>Daemen University</t>
        </is>
      </c>
      <c r="C393" s="9" t="inlineStr">
        <is>
          <t>Amherst</t>
        </is>
      </c>
      <c r="D393" s="9" t="inlineStr">
        <is>
          <t>NY</t>
        </is>
      </c>
      <c r="E393" s="9" t="inlineStr">
        <is>
          <t>Private</t>
        </is>
      </c>
      <c r="F393" s="11" t="n">
        <v>18693</v>
      </c>
      <c r="G393" s="11" t="n">
        <v>61808</v>
      </c>
      <c r="H393" s="9">
        <f>COUNTIF($G$5:$G$1531,"&gt;"&amp;G393)+1</f>
        <v/>
      </c>
      <c r="I393" s="9" t="inlineStr"/>
      <c r="J393" s="11">
        <f>IF(E393="Private",F393,"")</f>
        <v/>
      </c>
      <c r="K393" s="11">
        <f>IF(E393="Private",G393,"")</f>
        <v/>
      </c>
    </row>
    <row r="394">
      <c r="A394" s="9" t="n">
        <v>180106</v>
      </c>
      <c r="B394" s="9" t="inlineStr">
        <is>
          <t>Carroll College</t>
        </is>
      </c>
      <c r="C394" s="9" t="inlineStr">
        <is>
          <t>Helena</t>
        </is>
      </c>
      <c r="D394" s="9" t="inlineStr">
        <is>
          <t>MT</t>
        </is>
      </c>
      <c r="E394" s="9" t="inlineStr">
        <is>
          <t>Private</t>
        </is>
      </c>
      <c r="F394" s="11" t="n">
        <v>23960</v>
      </c>
      <c r="G394" s="11" t="n">
        <v>61772</v>
      </c>
      <c r="H394" s="9">
        <f>COUNTIF($G$5:$G$1531,"&gt;"&amp;G394)+1</f>
        <v/>
      </c>
      <c r="I394" s="9" t="inlineStr"/>
      <c r="J394" s="11">
        <f>IF(E394="Private",F394,"")</f>
        <v/>
      </c>
      <c r="K394" s="11">
        <f>IF(E394="Private",G394,"")</f>
        <v/>
      </c>
    </row>
    <row r="395">
      <c r="A395" s="9" t="n">
        <v>100706</v>
      </c>
      <c r="B395" s="9" t="inlineStr">
        <is>
          <t>University of Alabama in Huntsville</t>
        </is>
      </c>
      <c r="C395" s="9" t="inlineStr">
        <is>
          <t>Huntsville</t>
        </is>
      </c>
      <c r="D395" s="9" t="inlineStr">
        <is>
          <t>AL</t>
        </is>
      </c>
      <c r="E395" s="9" t="inlineStr">
        <is>
          <t>Public</t>
        </is>
      </c>
      <c r="F395" s="11" t="n">
        <v>18796</v>
      </c>
      <c r="G395" s="11" t="n">
        <v>61767</v>
      </c>
      <c r="H395" s="9">
        <f>COUNTIF($G$5:$G$1531,"&gt;"&amp;G395)+1</f>
        <v/>
      </c>
      <c r="I395" s="9" t="inlineStr"/>
      <c r="J395" s="11">
        <f>IF(E395="Private",F395,"")</f>
        <v/>
      </c>
      <c r="K395" s="11">
        <f>IF(E395="Private",G395,"")</f>
        <v/>
      </c>
    </row>
    <row r="396">
      <c r="A396" s="9" t="n">
        <v>240462</v>
      </c>
      <c r="B396" s="9" t="inlineStr">
        <is>
          <t>University of Wisconsin-Platteville</t>
        </is>
      </c>
      <c r="C396" s="9" t="inlineStr">
        <is>
          <t>Platteville</t>
        </is>
      </c>
      <c r="D396" s="9" t="inlineStr">
        <is>
          <t>WI</t>
        </is>
      </c>
      <c r="E396" s="9" t="inlineStr">
        <is>
          <t>Public</t>
        </is>
      </c>
      <c r="F396" s="11" t="n">
        <v>16032</v>
      </c>
      <c r="G396" s="11" t="n">
        <v>61760</v>
      </c>
      <c r="H396" s="9">
        <f>COUNTIF($G$5:$G$1531,"&gt;"&amp;G396)+1</f>
        <v/>
      </c>
      <c r="I396" s="9" t="inlineStr"/>
      <c r="J396" s="11">
        <f>IF(E396="Private",F396,"")</f>
        <v/>
      </c>
      <c r="K396" s="11">
        <f>IF(E396="Private",G396,"")</f>
        <v/>
      </c>
    </row>
    <row r="397">
      <c r="A397" s="9" t="n">
        <v>216278</v>
      </c>
      <c r="B397" s="9" t="inlineStr">
        <is>
          <t>Susquehanna University</t>
        </is>
      </c>
      <c r="C397" s="9" t="inlineStr">
        <is>
          <t>Selinsgrove</t>
        </is>
      </c>
      <c r="D397" s="9" t="inlineStr">
        <is>
          <t>PA</t>
        </is>
      </c>
      <c r="E397" s="9" t="inlineStr">
        <is>
          <t>Private</t>
        </is>
      </c>
      <c r="F397" s="11" t="n">
        <v>28819</v>
      </c>
      <c r="G397" s="11" t="n">
        <v>61723</v>
      </c>
      <c r="H397" s="9">
        <f>COUNTIF($G$5:$G$1531,"&gt;"&amp;G397)+1</f>
        <v/>
      </c>
      <c r="I397" s="9" t="inlineStr"/>
      <c r="J397" s="11">
        <f>IF(E397="Private",F397,"")</f>
        <v/>
      </c>
      <c r="K397" s="11">
        <f>IF(E397="Private",G397,"")</f>
        <v/>
      </c>
    </row>
    <row r="398">
      <c r="A398" s="9" t="n">
        <v>134097</v>
      </c>
      <c r="B398" s="9" t="inlineStr">
        <is>
          <t>Florida State University</t>
        </is>
      </c>
      <c r="C398" s="9" t="inlineStr">
        <is>
          <t>Tallahassee</t>
        </is>
      </c>
      <c r="D398" s="9" t="inlineStr">
        <is>
          <t>FL</t>
        </is>
      </c>
      <c r="E398" s="9" t="inlineStr">
        <is>
          <t>Public</t>
        </is>
      </c>
      <c r="F398" s="11" t="n">
        <v>11297</v>
      </c>
      <c r="G398" s="11" t="n">
        <v>61675</v>
      </c>
      <c r="H398" s="9">
        <f>COUNTIF($G$5:$G$1531,"&gt;"&amp;G398)+1</f>
        <v/>
      </c>
      <c r="I398" s="9" t="inlineStr"/>
      <c r="J398" s="11">
        <f>IF(E398="Private",F398,"")</f>
        <v/>
      </c>
      <c r="K398" s="11">
        <f>IF(E398="Private",G398,"")</f>
        <v/>
      </c>
    </row>
    <row r="399">
      <c r="A399" s="9" t="n">
        <v>234827</v>
      </c>
      <c r="B399" s="9" t="inlineStr">
        <is>
          <t>Central Washington University</t>
        </is>
      </c>
      <c r="C399" s="9" t="inlineStr">
        <is>
          <t>Ellensburg</t>
        </is>
      </c>
      <c r="D399" s="9" t="inlineStr">
        <is>
          <t>WA</t>
        </is>
      </c>
      <c r="E399" s="9" t="inlineStr">
        <is>
          <t>Public</t>
        </is>
      </c>
      <c r="F399" s="11" t="n">
        <v>18476</v>
      </c>
      <c r="G399" s="11" t="n">
        <v>61580</v>
      </c>
      <c r="H399" s="9">
        <f>COUNTIF($G$5:$G$1531,"&gt;"&amp;G399)+1</f>
        <v/>
      </c>
      <c r="I399" s="9" t="inlineStr"/>
      <c r="J399" s="11">
        <f>IF(E399="Private",F399,"")</f>
        <v/>
      </c>
      <c r="K399" s="11">
        <f>IF(E399="Private",G399,"")</f>
        <v/>
      </c>
    </row>
    <row r="400">
      <c r="A400" s="9" t="n">
        <v>163851</v>
      </c>
      <c r="B400" s="9" t="inlineStr">
        <is>
          <t>Salisbury University</t>
        </is>
      </c>
      <c r="C400" s="9" t="inlineStr">
        <is>
          <t>Salisbury</t>
        </is>
      </c>
      <c r="D400" s="9" t="inlineStr">
        <is>
          <t>MD</t>
        </is>
      </c>
      <c r="E400" s="9" t="inlineStr">
        <is>
          <t>Public</t>
        </is>
      </c>
      <c r="F400" s="11" t="n">
        <v>17743</v>
      </c>
      <c r="G400" s="11" t="n">
        <v>61515</v>
      </c>
      <c r="H400" s="9">
        <f>COUNTIF($G$5:$G$1531,"&gt;"&amp;G400)+1</f>
        <v/>
      </c>
      <c r="I400" s="9" t="inlineStr"/>
      <c r="J400" s="11">
        <f>IF(E400="Private",F400,"")</f>
        <v/>
      </c>
      <c r="K400" s="11">
        <f>IF(E400="Private",G400,"")</f>
        <v/>
      </c>
    </row>
    <row r="401">
      <c r="A401" s="9" t="n">
        <v>175227</v>
      </c>
      <c r="B401" s="9" t="inlineStr">
        <is>
          <t>Dunwoody College of Technology</t>
        </is>
      </c>
      <c r="C401" s="9" t="inlineStr">
        <is>
          <t>Minneapolis</t>
        </is>
      </c>
      <c r="D401" s="9" t="inlineStr">
        <is>
          <t>MN</t>
        </is>
      </c>
      <c r="E401" s="9" t="inlineStr">
        <is>
          <t>Private</t>
        </is>
      </c>
      <c r="F401" s="11" t="n">
        <v>26939</v>
      </c>
      <c r="G401" s="11" t="n">
        <v>61511</v>
      </c>
      <c r="H401" s="9">
        <f>COUNTIF($G$5:$G$1531,"&gt;"&amp;G401)+1</f>
        <v/>
      </c>
      <c r="I401" s="9" t="inlineStr"/>
      <c r="J401" s="11">
        <f>IF(E401="Private",F401,"")</f>
        <v/>
      </c>
      <c r="K401" s="11">
        <f>IF(E401="Private",G401,"")</f>
        <v/>
      </c>
    </row>
    <row r="402">
      <c r="A402" s="9" t="n">
        <v>110361</v>
      </c>
      <c r="B402" s="9" t="inlineStr">
        <is>
          <t>California Baptist University</t>
        </is>
      </c>
      <c r="C402" s="9" t="inlineStr">
        <is>
          <t>Riverside</t>
        </is>
      </c>
      <c r="D402" s="9" t="inlineStr">
        <is>
          <t>CA</t>
        </is>
      </c>
      <c r="E402" s="9" t="inlineStr">
        <is>
          <t>Private</t>
        </is>
      </c>
      <c r="F402" s="11" t="n">
        <v>26285</v>
      </c>
      <c r="G402" s="11" t="n">
        <v>61504</v>
      </c>
      <c r="H402" s="9">
        <f>COUNTIF($G$5:$G$1531,"&gt;"&amp;G402)+1</f>
        <v/>
      </c>
      <c r="I402" s="9" t="inlineStr"/>
      <c r="J402" s="11">
        <f>IF(E402="Private",F402,"")</f>
        <v/>
      </c>
      <c r="K402" s="11">
        <f>IF(E402="Private",G402,"")</f>
        <v/>
      </c>
    </row>
    <row r="403">
      <c r="A403" s="9" t="n">
        <v>144962</v>
      </c>
      <c r="B403" s="9" t="inlineStr">
        <is>
          <t>Elmhurst University</t>
        </is>
      </c>
      <c r="C403" s="9" t="inlineStr">
        <is>
          <t>Elmhurst</t>
        </is>
      </c>
      <c r="D403" s="9" t="inlineStr">
        <is>
          <t>IL</t>
        </is>
      </c>
      <c r="E403" s="9" t="inlineStr">
        <is>
          <t>Private</t>
        </is>
      </c>
      <c r="F403" s="11" t="n">
        <v>24185</v>
      </c>
      <c r="G403" s="11" t="n">
        <v>61462</v>
      </c>
      <c r="H403" s="9">
        <f>COUNTIF($G$5:$G$1531,"&gt;"&amp;G403)+1</f>
        <v/>
      </c>
      <c r="I403" s="9" t="inlineStr"/>
      <c r="J403" s="11">
        <f>IF(E403="Private",F403,"")</f>
        <v/>
      </c>
      <c r="K403" s="11">
        <f>IF(E403="Private",G403,"")</f>
        <v/>
      </c>
    </row>
    <row r="404">
      <c r="A404" s="9" t="n">
        <v>183822</v>
      </c>
      <c r="B404" s="9" t="inlineStr">
        <is>
          <t>Bloomfield College of Montclair State University</t>
        </is>
      </c>
      <c r="C404" s="9" t="inlineStr">
        <is>
          <t>Bloomfield</t>
        </is>
      </c>
      <c r="D404" s="9" t="inlineStr">
        <is>
          <t>NJ</t>
        </is>
      </c>
      <c r="E404" s="9" t="inlineStr">
        <is>
          <t>Public</t>
        </is>
      </c>
      <c r="F404" s="11" t="n">
        <v>28014</v>
      </c>
      <c r="G404" s="11" t="n">
        <v>61415</v>
      </c>
      <c r="H404" s="9">
        <f>COUNTIF($G$5:$G$1531,"&gt;"&amp;G404)+1</f>
        <v/>
      </c>
      <c r="I404" s="9" t="inlineStr"/>
      <c r="J404" s="11">
        <f>IF(E404="Private",F404,"")</f>
        <v/>
      </c>
      <c r="K404" s="11">
        <f>IF(E404="Private",G404,"")</f>
        <v/>
      </c>
    </row>
    <row r="405">
      <c r="A405" s="9" t="n">
        <v>185590</v>
      </c>
      <c r="B405" s="9" t="inlineStr">
        <is>
          <t>Montclair State University</t>
        </is>
      </c>
      <c r="C405" s="9" t="inlineStr">
        <is>
          <t>Montclair</t>
        </is>
      </c>
      <c r="D405" s="9" t="inlineStr">
        <is>
          <t>NJ</t>
        </is>
      </c>
      <c r="E405" s="9" t="inlineStr">
        <is>
          <t>Public</t>
        </is>
      </c>
      <c r="F405" s="11" t="n">
        <v>15566</v>
      </c>
      <c r="G405" s="11" t="n">
        <v>61415</v>
      </c>
      <c r="H405" s="9">
        <f>COUNTIF($G$5:$G$1531,"&gt;"&amp;G405)+1</f>
        <v/>
      </c>
      <c r="I405" s="9" t="inlineStr"/>
      <c r="J405" s="11">
        <f>IF(E405="Private",F405,"")</f>
        <v/>
      </c>
      <c r="K405" s="11">
        <f>IF(E405="Private",G405,"")</f>
        <v/>
      </c>
    </row>
    <row r="406">
      <c r="A406" s="9" t="n">
        <v>207971</v>
      </c>
      <c r="B406" s="9" t="inlineStr">
        <is>
          <t>University of Tulsa</t>
        </is>
      </c>
      <c r="C406" s="9" t="inlineStr">
        <is>
          <t>Tulsa</t>
        </is>
      </c>
      <c r="D406" s="9" t="inlineStr">
        <is>
          <t>OK</t>
        </is>
      </c>
      <c r="E406" s="9" t="inlineStr">
        <is>
          <t>Private</t>
        </is>
      </c>
      <c r="F406" s="11" t="n">
        <v>15000</v>
      </c>
      <c r="G406" s="11" t="n">
        <v>61408</v>
      </c>
      <c r="H406" s="9">
        <f>COUNTIF($G$5:$G$1531,"&gt;"&amp;G406)+1</f>
        <v/>
      </c>
      <c r="I406" s="9" t="inlineStr"/>
      <c r="J406" s="11">
        <f>IF(E406="Private",F406,"")</f>
        <v/>
      </c>
      <c r="K406" s="11">
        <f>IF(E406="Private",G406,"")</f>
        <v/>
      </c>
    </row>
    <row r="407">
      <c r="A407" s="9" t="n">
        <v>198695</v>
      </c>
      <c r="B407" s="9" t="inlineStr">
        <is>
          <t>High Point University</t>
        </is>
      </c>
      <c r="C407" s="9" t="inlineStr">
        <is>
          <t>High Point</t>
        </is>
      </c>
      <c r="D407" s="9" t="inlineStr">
        <is>
          <t>NC</t>
        </is>
      </c>
      <c r="E407" s="9" t="inlineStr">
        <is>
          <t>Private</t>
        </is>
      </c>
      <c r="F407" s="11" t="n">
        <v>38707</v>
      </c>
      <c r="G407" s="11" t="n">
        <v>61389</v>
      </c>
      <c r="H407" s="9">
        <f>COUNTIF($G$5:$G$1531,"&gt;"&amp;G407)+1</f>
        <v/>
      </c>
      <c r="I407" s="9" t="inlineStr"/>
      <c r="J407" s="11">
        <f>IF(E407="Private",F407,"")</f>
        <v/>
      </c>
      <c r="K407" s="11">
        <f>IF(E407="Private",G407,"")</f>
        <v/>
      </c>
    </row>
    <row r="408">
      <c r="A408" s="9" t="n">
        <v>161873</v>
      </c>
      <c r="B408" s="9" t="inlineStr">
        <is>
          <t>University of Baltimore</t>
        </is>
      </c>
      <c r="C408" s="9" t="inlineStr">
        <is>
          <t>Baltimore</t>
        </is>
      </c>
      <c r="D408" s="9" t="inlineStr">
        <is>
          <t>MD</t>
        </is>
      </c>
      <c r="E408" s="9" t="inlineStr">
        <is>
          <t>Public</t>
        </is>
      </c>
      <c r="F408" s="11" t="n">
        <v>13868</v>
      </c>
      <c r="G408" s="11" t="n">
        <v>61335</v>
      </c>
      <c r="H408" s="9">
        <f>COUNTIF($G$5:$G$1531,"&gt;"&amp;G408)+1</f>
        <v/>
      </c>
      <c r="I408" s="9" t="inlineStr"/>
      <c r="J408" s="11">
        <f>IF(E408="Private",F408,"")</f>
        <v/>
      </c>
      <c r="K408" s="11">
        <f>IF(E408="Private",G408,"")</f>
        <v/>
      </c>
    </row>
    <row r="409">
      <c r="A409" s="9" t="n">
        <v>209551</v>
      </c>
      <c r="B409" s="9" t="inlineStr">
        <is>
          <t>University of Oregon</t>
        </is>
      </c>
      <c r="C409" s="9" t="inlineStr">
        <is>
          <t>Eugene</t>
        </is>
      </c>
      <c r="D409" s="9" t="inlineStr">
        <is>
          <t>OR</t>
        </is>
      </c>
      <c r="E409" s="9" t="inlineStr">
        <is>
          <t>Public</t>
        </is>
      </c>
      <c r="F409" s="11" t="n">
        <v>22182</v>
      </c>
      <c r="G409" s="11" t="n">
        <v>61324</v>
      </c>
      <c r="H409" s="9">
        <f>COUNTIF($G$5:$G$1531,"&gt;"&amp;G409)+1</f>
        <v/>
      </c>
      <c r="I409" s="9" t="inlineStr"/>
      <c r="J409" s="11">
        <f>IF(E409="Private",F409,"")</f>
        <v/>
      </c>
      <c r="K409" s="11">
        <f>IF(E409="Private",G409,"")</f>
        <v/>
      </c>
    </row>
    <row r="410">
      <c r="A410" s="9" t="n">
        <v>231059</v>
      </c>
      <c r="B410" s="9" t="inlineStr">
        <is>
          <t>Saint Michael's College</t>
        </is>
      </c>
      <c r="C410" s="9" t="inlineStr">
        <is>
          <t>Colchester</t>
        </is>
      </c>
      <c r="D410" s="9" t="inlineStr">
        <is>
          <t>VT</t>
        </is>
      </c>
      <c r="E410" s="9" t="inlineStr">
        <is>
          <t>Private</t>
        </is>
      </c>
      <c r="F410" s="11" t="n">
        <v>25239</v>
      </c>
      <c r="G410" s="11" t="n">
        <v>61317</v>
      </c>
      <c r="H410" s="9">
        <f>COUNTIF($G$5:$G$1531,"&gt;"&amp;G410)+1</f>
        <v/>
      </c>
      <c r="I410" s="9" t="inlineStr"/>
      <c r="J410" s="11">
        <f>IF(E410="Private",F410,"")</f>
        <v/>
      </c>
      <c r="K410" s="11">
        <f>IF(E410="Private",G410,"")</f>
        <v/>
      </c>
    </row>
    <row r="411">
      <c r="A411" s="9" t="n">
        <v>222983</v>
      </c>
      <c r="B411" s="9" t="inlineStr">
        <is>
          <t>Austin College</t>
        </is>
      </c>
      <c r="C411" s="9" t="inlineStr">
        <is>
          <t>Sherman</t>
        </is>
      </c>
      <c r="D411" s="9" t="inlineStr">
        <is>
          <t>TX</t>
        </is>
      </c>
      <c r="E411" s="9" t="inlineStr">
        <is>
          <t>Private</t>
        </is>
      </c>
      <c r="F411" s="11" t="n">
        <v>21107</v>
      </c>
      <c r="G411" s="11" t="n">
        <v>61296</v>
      </c>
      <c r="H411" s="9">
        <f>COUNTIF($G$5:$G$1531,"&gt;"&amp;G411)+1</f>
        <v/>
      </c>
      <c r="I411" s="9" t="inlineStr"/>
      <c r="J411" s="11">
        <f>IF(E411="Private",F411,"")</f>
        <v/>
      </c>
      <c r="K411" s="11">
        <f>IF(E411="Private",G411,"")</f>
        <v/>
      </c>
    </row>
    <row r="412">
      <c r="A412" s="9" t="n">
        <v>210739</v>
      </c>
      <c r="B412" s="9" t="inlineStr">
        <is>
          <t>DeSales University</t>
        </is>
      </c>
      <c r="C412" s="9" t="inlineStr">
        <is>
          <t>Center Valley</t>
        </is>
      </c>
      <c r="D412" s="9" t="inlineStr">
        <is>
          <t>PA</t>
        </is>
      </c>
      <c r="E412" s="9" t="inlineStr">
        <is>
          <t>Private</t>
        </is>
      </c>
      <c r="F412" s="11" t="n">
        <v>31643</v>
      </c>
      <c r="G412" s="11" t="n">
        <v>61295</v>
      </c>
      <c r="H412" s="9">
        <f>COUNTIF($G$5:$G$1531,"&gt;"&amp;G412)+1</f>
        <v/>
      </c>
      <c r="I412" s="9" t="inlineStr"/>
      <c r="J412" s="11">
        <f>IF(E412="Private",F412,"")</f>
        <v/>
      </c>
      <c r="K412" s="11">
        <f>IF(E412="Private",G412,"")</f>
        <v/>
      </c>
    </row>
    <row r="413">
      <c r="A413" s="9" t="n">
        <v>180814</v>
      </c>
      <c r="B413" s="9" t="inlineStr">
        <is>
          <t>Bellevue University</t>
        </is>
      </c>
      <c r="C413" s="9" t="inlineStr">
        <is>
          <t>Bellevue</t>
        </is>
      </c>
      <c r="D413" s="9" t="inlineStr">
        <is>
          <t>NE</t>
        </is>
      </c>
      <c r="E413" s="9" t="inlineStr">
        <is>
          <t>Private</t>
        </is>
      </c>
      <c r="F413" s="11" t="n">
        <v>17550</v>
      </c>
      <c r="G413" s="11" t="n">
        <v>61289</v>
      </c>
      <c r="H413" s="9">
        <f>COUNTIF($G$5:$G$1531,"&gt;"&amp;G413)+1</f>
        <v/>
      </c>
      <c r="I413" s="9" t="inlineStr"/>
      <c r="J413" s="11">
        <f>IF(E413="Private",F413,"")</f>
        <v/>
      </c>
      <c r="K413" s="11">
        <f>IF(E413="Private",G413,"")</f>
        <v/>
      </c>
    </row>
    <row r="414">
      <c r="A414" s="9" t="n">
        <v>216764</v>
      </c>
      <c r="B414" s="9" t="inlineStr">
        <is>
          <t>West Chester University of Pennsylvania</t>
        </is>
      </c>
      <c r="C414" s="9" t="inlineStr">
        <is>
          <t>West Chester</t>
        </is>
      </c>
      <c r="D414" s="9" t="inlineStr">
        <is>
          <t>PA</t>
        </is>
      </c>
      <c r="E414" s="9" t="inlineStr">
        <is>
          <t>Public</t>
        </is>
      </c>
      <c r="F414" s="11" t="n">
        <v>23331</v>
      </c>
      <c r="G414" s="11" t="n">
        <v>61258</v>
      </c>
      <c r="H414" s="9">
        <f>COUNTIF($G$5:$G$1531,"&gt;"&amp;G414)+1</f>
        <v/>
      </c>
      <c r="I414" s="9" t="inlineStr"/>
      <c r="J414" s="11">
        <f>IF(E414="Private",F414,"")</f>
        <v/>
      </c>
      <c r="K414" s="11">
        <f>IF(E414="Private",G414,"")</f>
        <v/>
      </c>
    </row>
    <row r="415">
      <c r="A415" s="9" t="n">
        <v>159391</v>
      </c>
      <c r="B415" s="9" t="inlineStr">
        <is>
          <t>Louisiana State University and Agricultural &amp; Mechanical College</t>
        </is>
      </c>
      <c r="C415" s="9" t="inlineStr">
        <is>
          <t>Baton Rouge</t>
        </is>
      </c>
      <c r="D415" s="9" t="inlineStr">
        <is>
          <t>LA</t>
        </is>
      </c>
      <c r="E415" s="9" t="inlineStr">
        <is>
          <t>Public</t>
        </is>
      </c>
      <c r="F415" s="11" t="n">
        <v>19151</v>
      </c>
      <c r="G415" s="11" t="n">
        <v>61251</v>
      </c>
      <c r="H415" s="9">
        <f>COUNTIF($G$5:$G$1531,"&gt;"&amp;G415)+1</f>
        <v/>
      </c>
      <c r="I415" s="9" t="inlineStr"/>
      <c r="J415" s="11">
        <f>IF(E415="Private",F415,"")</f>
        <v/>
      </c>
      <c r="K415" s="11">
        <f>IF(E415="Private",G415,"")</f>
        <v/>
      </c>
    </row>
    <row r="416">
      <c r="A416" s="9" t="n">
        <v>110556</v>
      </c>
      <c r="B416" s="9" t="inlineStr">
        <is>
          <t>California State University-Fresno</t>
        </is>
      </c>
      <c r="C416" s="9" t="inlineStr">
        <is>
          <t>Fresno</t>
        </is>
      </c>
      <c r="D416" s="9" t="inlineStr">
        <is>
          <t>CA</t>
        </is>
      </c>
      <c r="E416" s="9" t="inlineStr">
        <is>
          <t>Public</t>
        </is>
      </c>
      <c r="F416" s="11" t="n">
        <v>7000</v>
      </c>
      <c r="G416" s="11" t="n">
        <v>61244</v>
      </c>
      <c r="H416" s="9">
        <f>COUNTIF($G$5:$G$1531,"&gt;"&amp;G416)+1</f>
        <v/>
      </c>
      <c r="I416" s="9" t="inlineStr"/>
      <c r="J416" s="11">
        <f>IF(E416="Private",F416,"")</f>
        <v/>
      </c>
      <c r="K416" s="11">
        <f>IF(E416="Private",G416,"")</f>
        <v/>
      </c>
    </row>
    <row r="417">
      <c r="A417" s="9" t="n">
        <v>190761</v>
      </c>
      <c r="B417" s="9" t="inlineStr">
        <is>
          <t>Dominican University New York</t>
        </is>
      </c>
      <c r="C417" s="9" t="inlineStr">
        <is>
          <t>Orangeburg</t>
        </is>
      </c>
      <c r="D417" s="9" t="inlineStr">
        <is>
          <t>NY</t>
        </is>
      </c>
      <c r="E417" s="9" t="inlineStr">
        <is>
          <t>Private</t>
        </is>
      </c>
      <c r="F417" s="11" t="n">
        <v>41832</v>
      </c>
      <c r="G417" s="11" t="n">
        <v>61171</v>
      </c>
      <c r="H417" s="9">
        <f>COUNTIF($G$5:$G$1531,"&gt;"&amp;G417)+1</f>
        <v/>
      </c>
      <c r="I417" s="9" t="inlineStr"/>
      <c r="J417" s="11">
        <f>IF(E417="Private",F417,"")</f>
        <v/>
      </c>
      <c r="K417" s="11">
        <f>IF(E417="Private",G417,"")</f>
        <v/>
      </c>
    </row>
    <row r="418">
      <c r="A418" s="9" t="n">
        <v>191533</v>
      </c>
      <c r="B418" s="9" t="inlineStr">
        <is>
          <t>Hartwick College</t>
        </is>
      </c>
      <c r="C418" s="9" t="inlineStr">
        <is>
          <t>Oneonta</t>
        </is>
      </c>
      <c r="D418" s="9" t="inlineStr">
        <is>
          <t>NY</t>
        </is>
      </c>
      <c r="E418" s="9" t="inlineStr">
        <is>
          <t>Private</t>
        </is>
      </c>
      <c r="F418" s="11" t="n">
        <v>31320</v>
      </c>
      <c r="G418" s="11" t="n">
        <v>61107</v>
      </c>
      <c r="H418" s="9">
        <f>COUNTIF($G$5:$G$1531,"&gt;"&amp;G418)+1</f>
        <v/>
      </c>
      <c r="I418" s="9" t="inlineStr"/>
      <c r="J418" s="11">
        <f>IF(E418="Private",F418,"")</f>
        <v/>
      </c>
      <c r="K418" s="11">
        <f>IF(E418="Private",G418,"")</f>
        <v/>
      </c>
    </row>
    <row r="419">
      <c r="A419" s="9" t="n">
        <v>173665</v>
      </c>
      <c r="B419" s="9" t="inlineStr">
        <is>
          <t>Hamline University</t>
        </is>
      </c>
      <c r="C419" s="9" t="inlineStr">
        <is>
          <t>Saint Paul</t>
        </is>
      </c>
      <c r="D419" s="9" t="inlineStr">
        <is>
          <t>MN</t>
        </is>
      </c>
      <c r="E419" s="9" t="inlineStr">
        <is>
          <t>Private</t>
        </is>
      </c>
      <c r="F419" s="11" t="n">
        <v>20744</v>
      </c>
      <c r="G419" s="11" t="n">
        <v>61106</v>
      </c>
      <c r="H419" s="9">
        <f>COUNTIF($G$5:$G$1531,"&gt;"&amp;G419)+1</f>
        <v/>
      </c>
      <c r="I419" s="9" t="inlineStr"/>
      <c r="J419" s="11">
        <f>IF(E419="Private",F419,"")</f>
        <v/>
      </c>
      <c r="K419" s="11">
        <f>IF(E419="Private",G419,"")</f>
        <v/>
      </c>
    </row>
    <row r="420">
      <c r="A420" s="9" t="n">
        <v>217059</v>
      </c>
      <c r="B420" s="9" t="inlineStr">
        <is>
          <t>York College of Pennsylvania</t>
        </is>
      </c>
      <c r="C420" s="9" t="inlineStr">
        <is>
          <t>York</t>
        </is>
      </c>
      <c r="D420" s="9" t="inlineStr">
        <is>
          <t>PA</t>
        </is>
      </c>
      <c r="E420" s="9" t="inlineStr">
        <is>
          <t>Private</t>
        </is>
      </c>
      <c r="F420" s="11" t="n">
        <v>18556</v>
      </c>
      <c r="G420" s="11" t="n">
        <v>61012</v>
      </c>
      <c r="H420" s="9">
        <f>COUNTIF($G$5:$G$1531,"&gt;"&amp;G420)+1</f>
        <v/>
      </c>
      <c r="I420" s="9" t="inlineStr"/>
      <c r="J420" s="11">
        <f>IF(E420="Private",F420,"")</f>
        <v/>
      </c>
      <c r="K420" s="11">
        <f>IF(E420="Private",G420,"")</f>
        <v/>
      </c>
    </row>
    <row r="421">
      <c r="A421" s="9" t="n">
        <v>200217</v>
      </c>
      <c r="B421" s="9" t="inlineStr">
        <is>
          <t>University of Mary</t>
        </is>
      </c>
      <c r="C421" s="9" t="inlineStr">
        <is>
          <t>Bismarck</t>
        </is>
      </c>
      <c r="D421" s="9" t="inlineStr">
        <is>
          <t>ND</t>
        </is>
      </c>
      <c r="E421" s="9" t="inlineStr">
        <is>
          <t>Private</t>
        </is>
      </c>
      <c r="F421" s="11" t="n">
        <v>17770</v>
      </c>
      <c r="G421" s="11" t="n">
        <v>60909</v>
      </c>
      <c r="H421" s="9">
        <f>COUNTIF($G$5:$G$1531,"&gt;"&amp;G421)+1</f>
        <v/>
      </c>
      <c r="I421" s="9" t="inlineStr"/>
      <c r="J421" s="11">
        <f>IF(E421="Private",F421,"")</f>
        <v/>
      </c>
      <c r="K421" s="11">
        <f>IF(E421="Private",G421,"")</f>
        <v/>
      </c>
    </row>
    <row r="422">
      <c r="A422" s="9" t="n">
        <v>224004</v>
      </c>
      <c r="B422" s="9" t="inlineStr">
        <is>
          <t>Concordia University Texas</t>
        </is>
      </c>
      <c r="C422" s="9" t="inlineStr">
        <is>
          <t>Austin</t>
        </is>
      </c>
      <c r="D422" s="9" t="inlineStr">
        <is>
          <t>TX</t>
        </is>
      </c>
      <c r="E422" s="9" t="inlineStr">
        <is>
          <t>Private</t>
        </is>
      </c>
      <c r="F422" s="11" t="n">
        <v>23131</v>
      </c>
      <c r="G422" s="11" t="n">
        <v>60883</v>
      </c>
      <c r="H422" s="9">
        <f>COUNTIF($G$5:$G$1531,"&gt;"&amp;G422)+1</f>
        <v/>
      </c>
      <c r="I422" s="9" t="inlineStr"/>
      <c r="J422" s="11">
        <f>IF(E422="Private",F422,"")</f>
        <v/>
      </c>
      <c r="K422" s="11">
        <f>IF(E422="Private",G422,"")</f>
        <v/>
      </c>
    </row>
    <row r="423">
      <c r="A423" s="9" t="n">
        <v>129525</v>
      </c>
      <c r="B423" s="9" t="inlineStr">
        <is>
          <t>University of Hartford</t>
        </is>
      </c>
      <c r="C423" s="9" t="inlineStr">
        <is>
          <t>West Hartford</t>
        </is>
      </c>
      <c r="D423" s="9" t="inlineStr">
        <is>
          <t>CT</t>
        </is>
      </c>
      <c r="E423" s="9" t="inlineStr">
        <is>
          <t>Private</t>
        </is>
      </c>
      <c r="F423" s="11" t="n">
        <v>30282</v>
      </c>
      <c r="G423" s="11" t="n">
        <v>60823</v>
      </c>
      <c r="H423" s="9">
        <f>COUNTIF($G$5:$G$1531,"&gt;"&amp;G423)+1</f>
        <v/>
      </c>
      <c r="I423" s="9" t="inlineStr"/>
      <c r="J423" s="11">
        <f>IF(E423="Private",F423,"")</f>
        <v/>
      </c>
      <c r="K423" s="11">
        <f>IF(E423="Private",G423,"")</f>
        <v/>
      </c>
    </row>
    <row r="424">
      <c r="A424" s="9" t="n">
        <v>154013</v>
      </c>
      <c r="B424" s="9" t="inlineStr">
        <is>
          <t>Mount Mercy University</t>
        </is>
      </c>
      <c r="C424" s="9" t="inlineStr">
        <is>
          <t>Cedar Rapids</t>
        </is>
      </c>
      <c r="D424" s="9" t="inlineStr">
        <is>
          <t>IA</t>
        </is>
      </c>
      <c r="E424" s="9" t="inlineStr">
        <is>
          <t>Private</t>
        </is>
      </c>
      <c r="F424" s="11" t="n">
        <v>20168</v>
      </c>
      <c r="G424" s="11" t="n">
        <v>60787</v>
      </c>
      <c r="H424" s="9">
        <f>COUNTIF($G$5:$G$1531,"&gt;"&amp;G424)+1</f>
        <v/>
      </c>
      <c r="I424" s="9" t="inlineStr"/>
      <c r="J424" s="11">
        <f>IF(E424="Private",F424,"")</f>
        <v/>
      </c>
      <c r="K424" s="11">
        <f>IF(E424="Private",G424,"")</f>
        <v/>
      </c>
    </row>
    <row r="425">
      <c r="A425" s="9" t="n">
        <v>190549</v>
      </c>
      <c r="B425" s="9" t="inlineStr">
        <is>
          <t>CUNY Brooklyn College</t>
        </is>
      </c>
      <c r="C425" s="9" t="inlineStr">
        <is>
          <t>Brooklyn</t>
        </is>
      </c>
      <c r="D425" s="9" t="inlineStr">
        <is>
          <t>NY</t>
        </is>
      </c>
      <c r="E425" s="9" t="inlineStr">
        <is>
          <t>Public</t>
        </is>
      </c>
      <c r="F425" s="11" t="n">
        <v>3103</v>
      </c>
      <c r="G425" s="11" t="n">
        <v>60752</v>
      </c>
      <c r="H425" s="9">
        <f>COUNTIF($G$5:$G$1531,"&gt;"&amp;G425)+1</f>
        <v/>
      </c>
      <c r="I425" s="9" t="inlineStr"/>
      <c r="J425" s="11">
        <f>IF(E425="Private",F425,"")</f>
        <v/>
      </c>
      <c r="K425" s="11">
        <f>IF(E425="Private",G425,"")</f>
        <v/>
      </c>
    </row>
    <row r="426">
      <c r="A426" s="9" t="n">
        <v>189705</v>
      </c>
      <c r="B426" s="9" t="inlineStr">
        <is>
          <t>Canisius University</t>
        </is>
      </c>
      <c r="C426" s="9" t="inlineStr">
        <is>
          <t>Buffalo</t>
        </is>
      </c>
      <c r="D426" s="9" t="inlineStr">
        <is>
          <t>NY</t>
        </is>
      </c>
      <c r="E426" s="9" t="inlineStr">
        <is>
          <t>Private</t>
        </is>
      </c>
      <c r="F426" s="11" t="n">
        <v>17940</v>
      </c>
      <c r="G426" s="11" t="n">
        <v>60681</v>
      </c>
      <c r="H426" s="9">
        <f>COUNTIF($G$5:$G$1531,"&gt;"&amp;G426)+1</f>
        <v/>
      </c>
      <c r="I426" s="9" t="inlineStr"/>
      <c r="J426" s="11">
        <f>IF(E426="Private",F426,"")</f>
        <v/>
      </c>
      <c r="K426" s="11">
        <f>IF(E426="Private",G426,"")</f>
        <v/>
      </c>
    </row>
    <row r="427">
      <c r="A427" s="9" t="n">
        <v>164270</v>
      </c>
      <c r="B427" s="9" t="inlineStr">
        <is>
          <t>McDaniel College</t>
        </is>
      </c>
      <c r="C427" s="9" t="inlineStr">
        <is>
          <t>Westminster</t>
        </is>
      </c>
      <c r="D427" s="9" t="inlineStr">
        <is>
          <t>MD</t>
        </is>
      </c>
      <c r="E427" s="9" t="inlineStr">
        <is>
          <t>Private</t>
        </is>
      </c>
      <c r="F427" s="11" t="n">
        <v>21916</v>
      </c>
      <c r="G427" s="11" t="n">
        <v>60663</v>
      </c>
      <c r="H427" s="9">
        <f>COUNTIF($G$5:$G$1531,"&gt;"&amp;G427)+1</f>
        <v/>
      </c>
      <c r="I427" s="9" t="inlineStr"/>
      <c r="J427" s="11">
        <f>IF(E427="Private",F427,"")</f>
        <v/>
      </c>
      <c r="K427" s="11">
        <f>IF(E427="Private",G427,"")</f>
        <v/>
      </c>
    </row>
    <row r="428">
      <c r="A428" s="9" t="n">
        <v>168430</v>
      </c>
      <c r="B428" s="9" t="inlineStr">
        <is>
          <t>Worcester State University</t>
        </is>
      </c>
      <c r="C428" s="9" t="inlineStr">
        <is>
          <t>Worcester</t>
        </is>
      </c>
      <c r="D428" s="9" t="inlineStr">
        <is>
          <t>MA</t>
        </is>
      </c>
      <c r="E428" s="9" t="inlineStr">
        <is>
          <t>Public</t>
        </is>
      </c>
      <c r="F428" s="11" t="n">
        <v>13381</v>
      </c>
      <c r="G428" s="11" t="n">
        <v>60624</v>
      </c>
      <c r="H428" s="9">
        <f>COUNTIF($G$5:$G$1531,"&gt;"&amp;G428)+1</f>
        <v/>
      </c>
      <c r="I428" s="9" t="inlineStr"/>
      <c r="J428" s="11">
        <f>IF(E428="Private",F428,"")</f>
        <v/>
      </c>
      <c r="K428" s="11">
        <f>IF(E428="Private",G428,"")</f>
        <v/>
      </c>
    </row>
    <row r="429">
      <c r="A429" s="9" t="n">
        <v>433387</v>
      </c>
      <c r="B429" s="9" t="inlineStr">
        <is>
          <t>Western Governors University</t>
        </is>
      </c>
      <c r="C429" s="9" t="inlineStr">
        <is>
          <t>Salt Lake City</t>
        </is>
      </c>
      <c r="D429" s="9" t="inlineStr">
        <is>
          <t>UT</t>
        </is>
      </c>
      <c r="E429" s="9" t="inlineStr">
        <is>
          <t>Private</t>
        </is>
      </c>
      <c r="F429" s="11" t="n">
        <v>12548</v>
      </c>
      <c r="G429" s="11" t="n">
        <v>60615</v>
      </c>
      <c r="H429" s="9">
        <f>COUNTIF($G$5:$G$1531,"&gt;"&amp;G429)+1</f>
        <v/>
      </c>
      <c r="I429" s="9" t="inlineStr"/>
      <c r="J429" s="11">
        <f>IF(E429="Private",F429,"")</f>
        <v/>
      </c>
      <c r="K429" s="11">
        <f>IF(E429="Private",G429,"")</f>
        <v/>
      </c>
    </row>
    <row r="430">
      <c r="A430" s="9" t="n">
        <v>182290</v>
      </c>
      <c r="B430" s="9" t="inlineStr">
        <is>
          <t>University of Nevada-Reno</t>
        </is>
      </c>
      <c r="C430" s="9" t="inlineStr">
        <is>
          <t>Reno</t>
        </is>
      </c>
      <c r="D430" s="9" t="inlineStr">
        <is>
          <t>NV</t>
        </is>
      </c>
      <c r="E430" s="9" t="inlineStr">
        <is>
          <t>Public</t>
        </is>
      </c>
      <c r="F430" s="11" t="n">
        <v>15927</v>
      </c>
      <c r="G430" s="11" t="n">
        <v>60614</v>
      </c>
      <c r="H430" s="9">
        <f>COUNTIF($G$5:$G$1531,"&gt;"&amp;G430)+1</f>
        <v/>
      </c>
      <c r="I430" s="9" t="inlineStr"/>
      <c r="J430" s="11">
        <f>IF(E430="Private",F430,"")</f>
        <v/>
      </c>
      <c r="K430" s="11">
        <f>IF(E430="Private",G430,"")</f>
        <v/>
      </c>
    </row>
    <row r="431">
      <c r="A431" s="9" t="n">
        <v>232681</v>
      </c>
      <c r="B431" s="9" t="inlineStr">
        <is>
          <t>University of Mary Washington</t>
        </is>
      </c>
      <c r="C431" s="9" t="inlineStr">
        <is>
          <t>Fredericksburg</t>
        </is>
      </c>
      <c r="D431" s="9" t="inlineStr">
        <is>
          <t>VA</t>
        </is>
      </c>
      <c r="E431" s="9" t="inlineStr">
        <is>
          <t>Public</t>
        </is>
      </c>
      <c r="F431" s="11" t="n">
        <v>20667</v>
      </c>
      <c r="G431" s="11" t="n">
        <v>60613</v>
      </c>
      <c r="H431" s="9">
        <f>COUNTIF($G$5:$G$1531,"&gt;"&amp;G431)+1</f>
        <v/>
      </c>
      <c r="I431" s="9" t="inlineStr"/>
      <c r="J431" s="11">
        <f>IF(E431="Private",F431,"")</f>
        <v/>
      </c>
      <c r="K431" s="11">
        <f>IF(E431="Private",G431,"")</f>
        <v/>
      </c>
    </row>
    <row r="432">
      <c r="A432" s="9" t="n">
        <v>209612</v>
      </c>
      <c r="B432" s="9" t="inlineStr">
        <is>
          <t>Pacific University</t>
        </is>
      </c>
      <c r="C432" s="9" t="inlineStr">
        <is>
          <t>Forest Grove</t>
        </is>
      </c>
      <c r="D432" s="9" t="inlineStr">
        <is>
          <t>OR</t>
        </is>
      </c>
      <c r="E432" s="9" t="inlineStr">
        <is>
          <t>Private</t>
        </is>
      </c>
      <c r="F432" s="11" t="n">
        <v>35273</v>
      </c>
      <c r="G432" s="11" t="n">
        <v>60583</v>
      </c>
      <c r="H432" s="9">
        <f>COUNTIF($G$5:$G$1531,"&gt;"&amp;G432)+1</f>
        <v/>
      </c>
      <c r="I432" s="9" t="inlineStr"/>
      <c r="J432" s="11">
        <f>IF(E432="Private",F432,"")</f>
        <v/>
      </c>
      <c r="K432" s="11">
        <f>IF(E432="Private",G432,"")</f>
        <v/>
      </c>
    </row>
    <row r="433">
      <c r="A433" s="9" t="n">
        <v>126818</v>
      </c>
      <c r="B433" s="9" t="inlineStr">
        <is>
          <t>Colorado State University-Fort Collins</t>
        </is>
      </c>
      <c r="C433" s="9" t="inlineStr">
        <is>
          <t>Fort Collins</t>
        </is>
      </c>
      <c r="D433" s="9" t="inlineStr">
        <is>
          <t>CO</t>
        </is>
      </c>
      <c r="E433" s="9" t="inlineStr">
        <is>
          <t>Public</t>
        </is>
      </c>
      <c r="F433" s="11" t="n">
        <v>21279</v>
      </c>
      <c r="G433" s="11" t="n">
        <v>60543</v>
      </c>
      <c r="H433" s="9">
        <f>COUNTIF($G$5:$G$1531,"&gt;"&amp;G433)+1</f>
        <v/>
      </c>
      <c r="I433" s="9" t="inlineStr"/>
      <c r="J433" s="11">
        <f>IF(E433="Private",F433,"")</f>
        <v/>
      </c>
      <c r="K433" s="11">
        <f>IF(E433="Private",G433,"")</f>
        <v/>
      </c>
    </row>
    <row r="434">
      <c r="A434" s="9" t="n">
        <v>231712</v>
      </c>
      <c r="B434" s="9" t="inlineStr">
        <is>
          <t>Christopher Newport University</t>
        </is>
      </c>
      <c r="C434" s="9" t="inlineStr">
        <is>
          <t>Newport News</t>
        </is>
      </c>
      <c r="D434" s="9" t="inlineStr">
        <is>
          <t>VA</t>
        </is>
      </c>
      <c r="E434" s="9" t="inlineStr">
        <is>
          <t>Public</t>
        </is>
      </c>
      <c r="F434" s="11" t="n">
        <v>23015</v>
      </c>
      <c r="G434" s="11" t="n">
        <v>60509</v>
      </c>
      <c r="H434" s="9">
        <f>COUNTIF($G$5:$G$1531,"&gt;"&amp;G434)+1</f>
        <v/>
      </c>
      <c r="I434" s="9" t="inlineStr"/>
      <c r="J434" s="11">
        <f>IF(E434="Private",F434,"")</f>
        <v/>
      </c>
      <c r="K434" s="11">
        <f>IF(E434="Private",G434,"")</f>
        <v/>
      </c>
    </row>
    <row r="435">
      <c r="A435" s="9" t="n">
        <v>204680</v>
      </c>
      <c r="B435" s="9" t="inlineStr">
        <is>
          <t>Ohio State University-Mansfield Campus</t>
        </is>
      </c>
      <c r="C435" s="9" t="inlineStr">
        <is>
          <t>Mansfield</t>
        </is>
      </c>
      <c r="D435" s="9" t="inlineStr">
        <is>
          <t>OH</t>
        </is>
      </c>
      <c r="E435" s="9" t="inlineStr">
        <is>
          <t>Public</t>
        </is>
      </c>
      <c r="F435" s="11" t="n">
        <v>16197</v>
      </c>
      <c r="G435" s="11" t="n">
        <v>60409</v>
      </c>
      <c r="H435" s="9">
        <f>COUNTIF($G$5:$G$1531,"&gt;"&amp;G435)+1</f>
        <v/>
      </c>
      <c r="I435" s="9" t="inlineStr"/>
      <c r="J435" s="11">
        <f>IF(E435="Private",F435,"")</f>
        <v/>
      </c>
      <c r="K435" s="11">
        <f>IF(E435="Private",G435,"")</f>
        <v/>
      </c>
    </row>
    <row r="436">
      <c r="A436" s="9" t="n">
        <v>204671</v>
      </c>
      <c r="B436" s="9" t="inlineStr">
        <is>
          <t>Ohio State University-Lima Campus</t>
        </is>
      </c>
      <c r="C436" s="9" t="inlineStr">
        <is>
          <t>Lima</t>
        </is>
      </c>
      <c r="D436" s="9" t="inlineStr">
        <is>
          <t>OH</t>
        </is>
      </c>
      <c r="E436" s="9" t="inlineStr">
        <is>
          <t>Public</t>
        </is>
      </c>
      <c r="F436" s="11" t="n">
        <v>12940</v>
      </c>
      <c r="G436" s="11" t="n">
        <v>60409</v>
      </c>
      <c r="H436" s="9">
        <f>COUNTIF($G$5:$G$1531,"&gt;"&amp;G436)+1</f>
        <v/>
      </c>
      <c r="I436" s="9" t="inlineStr"/>
      <c r="J436" s="11">
        <f>IF(E436="Private",F436,"")</f>
        <v/>
      </c>
      <c r="K436" s="11">
        <f>IF(E436="Private",G436,"")</f>
        <v/>
      </c>
    </row>
    <row r="437">
      <c r="A437" s="9" t="n">
        <v>204796</v>
      </c>
      <c r="B437" s="9" t="inlineStr">
        <is>
          <t>Ohio State University-Main Campus</t>
        </is>
      </c>
      <c r="C437" s="9" t="inlineStr">
        <is>
          <t>Columbus</t>
        </is>
      </c>
      <c r="D437" s="9" t="inlineStr">
        <is>
          <t>OH</t>
        </is>
      </c>
      <c r="E437" s="9" t="inlineStr">
        <is>
          <t>Public</t>
        </is>
      </c>
      <c r="F437" s="11" t="n">
        <v>17339</v>
      </c>
      <c r="G437" s="11" t="n">
        <v>60409</v>
      </c>
      <c r="H437" s="9">
        <f>COUNTIF($G$5:$G$1531,"&gt;"&amp;G437)+1</f>
        <v/>
      </c>
      <c r="I437" s="9" t="inlineStr"/>
      <c r="J437" s="11">
        <f>IF(E437="Private",F437,"")</f>
        <v/>
      </c>
      <c r="K437" s="11">
        <f>IF(E437="Private",G437,"")</f>
        <v/>
      </c>
    </row>
    <row r="438">
      <c r="A438" s="9" t="n">
        <v>204699</v>
      </c>
      <c r="B438" s="9" t="inlineStr">
        <is>
          <t>Ohio State University-Marion Campus</t>
        </is>
      </c>
      <c r="C438" s="9" t="inlineStr">
        <is>
          <t>Marion</t>
        </is>
      </c>
      <c r="D438" s="9" t="inlineStr">
        <is>
          <t>OH</t>
        </is>
      </c>
      <c r="E438" s="9" t="inlineStr">
        <is>
          <t>Public</t>
        </is>
      </c>
      <c r="F438" s="11" t="n">
        <v>11488</v>
      </c>
      <c r="G438" s="11" t="n">
        <v>60409</v>
      </c>
      <c r="H438" s="9">
        <f>COUNTIF($G$5:$G$1531,"&gt;"&amp;G438)+1</f>
        <v/>
      </c>
      <c r="I438" s="9" t="inlineStr"/>
      <c r="J438" s="11">
        <f>IF(E438="Private",F438,"")</f>
        <v/>
      </c>
      <c r="K438" s="11">
        <f>IF(E438="Private",G438,"")</f>
        <v/>
      </c>
    </row>
    <row r="439">
      <c r="A439" s="9" t="n">
        <v>204705</v>
      </c>
      <c r="B439" s="9" t="inlineStr">
        <is>
          <t>Ohio State University-Newark Campus</t>
        </is>
      </c>
      <c r="C439" s="9" t="inlineStr">
        <is>
          <t>Newark</t>
        </is>
      </c>
      <c r="D439" s="9" t="inlineStr">
        <is>
          <t>OH</t>
        </is>
      </c>
      <c r="E439" s="9" t="inlineStr">
        <is>
          <t>Public</t>
        </is>
      </c>
      <c r="F439" s="11" t="n">
        <v>14767</v>
      </c>
      <c r="G439" s="11" t="n">
        <v>60409</v>
      </c>
      <c r="H439" s="9">
        <f>COUNTIF($G$5:$G$1531,"&gt;"&amp;G439)+1</f>
        <v/>
      </c>
      <c r="I439" s="9" t="inlineStr"/>
      <c r="J439" s="11">
        <f>IF(E439="Private",F439,"")</f>
        <v/>
      </c>
      <c r="K439" s="11">
        <f>IF(E439="Private",G439,"")</f>
        <v/>
      </c>
    </row>
    <row r="440">
      <c r="A440" s="9" t="n">
        <v>196185</v>
      </c>
      <c r="B440" s="9" t="inlineStr">
        <is>
          <t>SUNY Oneonta</t>
        </is>
      </c>
      <c r="C440" s="9" t="inlineStr">
        <is>
          <t>Oneonta</t>
        </is>
      </c>
      <c r="D440" s="9" t="inlineStr">
        <is>
          <t>NY</t>
        </is>
      </c>
      <c r="E440" s="9" t="inlineStr">
        <is>
          <t>Public</t>
        </is>
      </c>
      <c r="F440" s="11" t="n">
        <v>19158</v>
      </c>
      <c r="G440" s="11" t="n">
        <v>60386</v>
      </c>
      <c r="H440" s="9">
        <f>COUNTIF($G$5:$G$1531,"&gt;"&amp;G440)+1</f>
        <v/>
      </c>
      <c r="I440" s="9" t="inlineStr"/>
      <c r="J440" s="11">
        <f>IF(E440="Private",F440,"")</f>
        <v/>
      </c>
      <c r="K440" s="11">
        <f>IF(E440="Private",G440,"")</f>
        <v/>
      </c>
    </row>
    <row r="441">
      <c r="A441" s="9" t="n">
        <v>240329</v>
      </c>
      <c r="B441" s="9" t="inlineStr">
        <is>
          <t>University of Wisconsin-La Crosse</t>
        </is>
      </c>
      <c r="C441" s="9" t="inlineStr">
        <is>
          <t>La Crosse</t>
        </is>
      </c>
      <c r="D441" s="9" t="inlineStr">
        <is>
          <t>WI</t>
        </is>
      </c>
      <c r="E441" s="9" t="inlineStr">
        <is>
          <t>Public</t>
        </is>
      </c>
      <c r="F441" s="11" t="n">
        <v>16210</v>
      </c>
      <c r="G441" s="11" t="n">
        <v>60378</v>
      </c>
      <c r="H441" s="9">
        <f>COUNTIF($G$5:$G$1531,"&gt;"&amp;G441)+1</f>
        <v/>
      </c>
      <c r="I441" s="9" t="inlineStr"/>
      <c r="J441" s="11">
        <f>IF(E441="Private",F441,"")</f>
        <v/>
      </c>
      <c r="K441" s="11">
        <f>IF(E441="Private",G441,"")</f>
        <v/>
      </c>
    </row>
    <row r="442">
      <c r="A442" s="9" t="n">
        <v>107080</v>
      </c>
      <c r="B442" s="9" t="inlineStr">
        <is>
          <t>Hendrix College</t>
        </is>
      </c>
      <c r="C442" s="9" t="inlineStr">
        <is>
          <t>Conway</t>
        </is>
      </c>
      <c r="D442" s="9" t="inlineStr">
        <is>
          <t>AR</t>
        </is>
      </c>
      <c r="E442" s="9" t="inlineStr">
        <is>
          <t>Private</t>
        </is>
      </c>
      <c r="F442" s="11" t="n">
        <v>24149</v>
      </c>
      <c r="G442" s="11" t="n">
        <v>60376</v>
      </c>
      <c r="H442" s="9">
        <f>COUNTIF($G$5:$G$1531,"&gt;"&amp;G442)+1</f>
        <v/>
      </c>
      <c r="I442" s="9" t="inlineStr"/>
      <c r="J442" s="11">
        <f>IF(E442="Private",F442,"")</f>
        <v/>
      </c>
      <c r="K442" s="11">
        <f>IF(E442="Private",G442,"")</f>
        <v/>
      </c>
    </row>
    <row r="443">
      <c r="A443" s="9" t="n">
        <v>148496</v>
      </c>
      <c r="B443" s="9" t="inlineStr">
        <is>
          <t>Dominican University</t>
        </is>
      </c>
      <c r="C443" s="9" t="inlineStr">
        <is>
          <t>River Forest</t>
        </is>
      </c>
      <c r="D443" s="9" t="inlineStr">
        <is>
          <t>IL</t>
        </is>
      </c>
      <c r="E443" s="9" t="inlineStr">
        <is>
          <t>Private</t>
        </is>
      </c>
      <c r="F443" s="11" t="n">
        <v>11745</v>
      </c>
      <c r="G443" s="11" t="n">
        <v>60327</v>
      </c>
      <c r="H443" s="9">
        <f>COUNTIF($G$5:$G$1531,"&gt;"&amp;G443)+1</f>
        <v/>
      </c>
      <c r="I443" s="9" t="inlineStr"/>
      <c r="J443" s="11">
        <f>IF(E443="Private",F443,"")</f>
        <v/>
      </c>
      <c r="K443" s="11">
        <f>IF(E443="Private",G443,"")</f>
        <v/>
      </c>
    </row>
    <row r="444">
      <c r="A444" s="9" t="n">
        <v>133951</v>
      </c>
      <c r="B444" s="9" t="inlineStr">
        <is>
          <t>Florida International University</t>
        </is>
      </c>
      <c r="C444" s="9" t="inlineStr">
        <is>
          <t>Miami</t>
        </is>
      </c>
      <c r="D444" s="9" t="inlineStr">
        <is>
          <t>FL</t>
        </is>
      </c>
      <c r="E444" s="9" t="inlineStr">
        <is>
          <t>Public</t>
        </is>
      </c>
      <c r="F444" s="11" t="n">
        <v>9288</v>
      </c>
      <c r="G444" s="11" t="n">
        <v>60249</v>
      </c>
      <c r="H444" s="9">
        <f>COUNTIF($G$5:$G$1531,"&gt;"&amp;G444)+1</f>
        <v/>
      </c>
      <c r="I444" s="9" t="inlineStr"/>
      <c r="J444" s="11">
        <f>IF(E444="Private",F444,"")</f>
        <v/>
      </c>
      <c r="K444" s="11">
        <f>IF(E444="Private",G444,"")</f>
        <v/>
      </c>
    </row>
    <row r="445">
      <c r="A445" s="9" t="n">
        <v>221759</v>
      </c>
      <c r="B445" s="9" t="inlineStr">
        <is>
          <t>The University of Tennessee-Knoxville</t>
        </is>
      </c>
      <c r="C445" s="9" t="inlineStr">
        <is>
          <t>Knoxville</t>
        </is>
      </c>
      <c r="D445" s="9" t="inlineStr">
        <is>
          <t>TN</t>
        </is>
      </c>
      <c r="E445" s="9" t="inlineStr">
        <is>
          <t>Public</t>
        </is>
      </c>
      <c r="F445" s="11" t="n">
        <v>18976</v>
      </c>
      <c r="G445" s="11" t="n">
        <v>60249</v>
      </c>
      <c r="H445" s="9">
        <f>COUNTIF($G$5:$G$1531,"&gt;"&amp;G445)+1</f>
        <v/>
      </c>
      <c r="I445" s="9" t="inlineStr"/>
      <c r="J445" s="11">
        <f>IF(E445="Private",F445,"")</f>
        <v/>
      </c>
      <c r="K445" s="11">
        <f>IF(E445="Private",G445,"")</f>
        <v/>
      </c>
    </row>
    <row r="446">
      <c r="A446" s="9" t="n">
        <v>196149</v>
      </c>
      <c r="B446" s="9" t="inlineStr">
        <is>
          <t>State University of New York at Cortland</t>
        </is>
      </c>
      <c r="C446" s="9" t="inlineStr">
        <is>
          <t>Cortland</t>
        </is>
      </c>
      <c r="D446" s="9" t="inlineStr">
        <is>
          <t>NY</t>
        </is>
      </c>
      <c r="E446" s="9" t="inlineStr">
        <is>
          <t>Public</t>
        </is>
      </c>
      <c r="F446" s="11" t="n">
        <v>22345</v>
      </c>
      <c r="G446" s="11" t="n">
        <v>60236</v>
      </c>
      <c r="H446" s="9">
        <f>COUNTIF($G$5:$G$1531,"&gt;"&amp;G446)+1</f>
        <v/>
      </c>
      <c r="I446" s="9" t="inlineStr"/>
      <c r="J446" s="11">
        <f>IF(E446="Private",F446,"")</f>
        <v/>
      </c>
      <c r="K446" s="11">
        <f>IF(E446="Private",G446,"")</f>
        <v/>
      </c>
    </row>
    <row r="447">
      <c r="A447" s="9" t="n">
        <v>218539</v>
      </c>
      <c r="B447" s="9" t="inlineStr">
        <is>
          <t>Presbyterian College</t>
        </is>
      </c>
      <c r="C447" s="9" t="inlineStr">
        <is>
          <t>Clinton</t>
        </is>
      </c>
      <c r="D447" s="9" t="inlineStr">
        <is>
          <t>SC</t>
        </is>
      </c>
      <c r="E447" s="9" t="inlineStr">
        <is>
          <t>Private</t>
        </is>
      </c>
      <c r="F447" s="11" t="n">
        <v>20528</v>
      </c>
      <c r="G447" s="11" t="n">
        <v>60194</v>
      </c>
      <c r="H447" s="9">
        <f>COUNTIF($G$5:$G$1531,"&gt;"&amp;G447)+1</f>
        <v/>
      </c>
      <c r="I447" s="9" t="inlineStr"/>
      <c r="J447" s="11">
        <f>IF(E447="Private",F447,"")</f>
        <v/>
      </c>
      <c r="K447" s="11">
        <f>IF(E447="Private",G447,"")</f>
        <v/>
      </c>
    </row>
    <row r="448">
      <c r="A448" s="9" t="n">
        <v>128498</v>
      </c>
      <c r="B448" s="9" t="inlineStr">
        <is>
          <t>Albertus Magnus College</t>
        </is>
      </c>
      <c r="C448" s="9" t="inlineStr">
        <is>
          <t>New Haven</t>
        </is>
      </c>
      <c r="D448" s="9" t="inlineStr">
        <is>
          <t>CT</t>
        </is>
      </c>
      <c r="E448" s="9" t="inlineStr">
        <is>
          <t>Private</t>
        </is>
      </c>
      <c r="F448" s="11" t="n">
        <v>34028</v>
      </c>
      <c r="G448" s="11" t="n">
        <v>60144</v>
      </c>
      <c r="H448" s="9">
        <f>COUNTIF($G$5:$G$1531,"&gt;"&amp;G448)+1</f>
        <v/>
      </c>
      <c r="I448" s="9" t="inlineStr"/>
      <c r="J448" s="11">
        <f>IF(E448="Private",F448,"")</f>
        <v/>
      </c>
      <c r="K448" s="11">
        <f>IF(E448="Private",G448,"")</f>
        <v/>
      </c>
    </row>
    <row r="449">
      <c r="A449" s="9" t="n">
        <v>129941</v>
      </c>
      <c r="B449" s="9" t="inlineStr">
        <is>
          <t>University of New Haven</t>
        </is>
      </c>
      <c r="C449" s="9" t="inlineStr">
        <is>
          <t>West Haven</t>
        </is>
      </c>
      <c r="D449" s="9" t="inlineStr">
        <is>
          <t>CT</t>
        </is>
      </c>
      <c r="E449" s="9" t="inlineStr">
        <is>
          <t>Private</t>
        </is>
      </c>
      <c r="F449" s="11" t="n">
        <v>34192</v>
      </c>
      <c r="G449" s="11" t="n">
        <v>60126</v>
      </c>
      <c r="H449" s="9">
        <f>COUNTIF($G$5:$G$1531,"&gt;"&amp;G449)+1</f>
        <v/>
      </c>
      <c r="I449" s="9" t="inlineStr"/>
      <c r="J449" s="11">
        <f>IF(E449="Private",F449,"")</f>
        <v/>
      </c>
      <c r="K449" s="11">
        <f>IF(E449="Private",G449,"")</f>
        <v/>
      </c>
    </row>
    <row r="450">
      <c r="A450" s="9" t="n">
        <v>147660</v>
      </c>
      <c r="B450" s="9" t="inlineStr">
        <is>
          <t>North Central College</t>
        </is>
      </c>
      <c r="C450" s="9" t="inlineStr">
        <is>
          <t>Naperville</t>
        </is>
      </c>
      <c r="D450" s="9" t="inlineStr">
        <is>
          <t>IL</t>
        </is>
      </c>
      <c r="E450" s="9" t="inlineStr">
        <is>
          <t>Private</t>
        </is>
      </c>
      <c r="F450" s="11" t="n">
        <v>21044</v>
      </c>
      <c r="G450" s="11" t="n">
        <v>60123</v>
      </c>
      <c r="H450" s="9">
        <f>COUNTIF($G$5:$G$1531,"&gt;"&amp;G450)+1</f>
        <v/>
      </c>
      <c r="I450" s="9" t="inlineStr"/>
      <c r="J450" s="11">
        <f>IF(E450="Private",F450,"")</f>
        <v/>
      </c>
      <c r="K450" s="11">
        <f>IF(E450="Private",G450,"")</f>
        <v/>
      </c>
    </row>
    <row r="451">
      <c r="A451" s="9" t="n">
        <v>163912</v>
      </c>
      <c r="B451" s="9" t="inlineStr">
        <is>
          <t>St. Mary's College of Maryland</t>
        </is>
      </c>
      <c r="C451" s="9" t="inlineStr">
        <is>
          <t>St. Mary's City</t>
        </is>
      </c>
      <c r="D451" s="9" t="inlineStr">
        <is>
          <t>MD</t>
        </is>
      </c>
      <c r="E451" s="9" t="inlineStr">
        <is>
          <t>Public</t>
        </is>
      </c>
      <c r="F451" s="11" t="n">
        <v>18441</v>
      </c>
      <c r="G451" s="11" t="n">
        <v>60110</v>
      </c>
      <c r="H451" s="9">
        <f>COUNTIF($G$5:$G$1531,"&gt;"&amp;G451)+1</f>
        <v/>
      </c>
      <c r="I451" s="9" t="inlineStr"/>
      <c r="J451" s="11">
        <f>IF(E451="Private",F451,"")</f>
        <v/>
      </c>
      <c r="K451" s="11">
        <f>IF(E451="Private",G451,"")</f>
        <v/>
      </c>
    </row>
    <row r="452">
      <c r="A452" s="9" t="n">
        <v>141060</v>
      </c>
      <c r="B452" s="9" t="inlineStr">
        <is>
          <t>Spelman College</t>
        </is>
      </c>
      <c r="C452" s="9" t="inlineStr">
        <is>
          <t>Atlanta</t>
        </is>
      </c>
      <c r="D452" s="9" t="inlineStr">
        <is>
          <t>GA</t>
        </is>
      </c>
      <c r="E452" s="9" t="inlineStr">
        <is>
          <t>Private</t>
        </is>
      </c>
      <c r="F452" s="11" t="n">
        <v>38967</v>
      </c>
      <c r="G452" s="11" t="n">
        <v>59993</v>
      </c>
      <c r="H452" s="9">
        <f>COUNTIF($G$5:$G$1531,"&gt;"&amp;G452)+1</f>
        <v/>
      </c>
      <c r="I452" s="9" t="inlineStr"/>
      <c r="J452" s="11">
        <f>IF(E452="Private",F452,"")</f>
        <v/>
      </c>
      <c r="K452" s="11">
        <f>IF(E452="Private",G452,"")</f>
        <v/>
      </c>
    </row>
    <row r="453">
      <c r="A453" s="9" t="n">
        <v>184782</v>
      </c>
      <c r="B453" s="9" t="inlineStr">
        <is>
          <t>Rowan University</t>
        </is>
      </c>
      <c r="C453" s="9" t="inlineStr">
        <is>
          <t>Glassboro</t>
        </is>
      </c>
      <c r="D453" s="9" t="inlineStr">
        <is>
          <t>NJ</t>
        </is>
      </c>
      <c r="E453" s="9" t="inlineStr">
        <is>
          <t>Public</t>
        </is>
      </c>
      <c r="F453" s="11" t="n">
        <v>22408</v>
      </c>
      <c r="G453" s="11" t="n">
        <v>59988</v>
      </c>
      <c r="H453" s="9">
        <f>COUNTIF($G$5:$G$1531,"&gt;"&amp;G453)+1</f>
        <v/>
      </c>
      <c r="I453" s="9" t="inlineStr"/>
      <c r="J453" s="11">
        <f>IF(E453="Private",F453,"")</f>
        <v/>
      </c>
      <c r="K453" s="11">
        <f>IF(E453="Private",G453,"")</f>
        <v/>
      </c>
    </row>
    <row r="454">
      <c r="A454" s="9" t="n">
        <v>151801</v>
      </c>
      <c r="B454" s="9" t="inlineStr">
        <is>
          <t>Indiana Wesleyan University-Marion</t>
        </is>
      </c>
      <c r="C454" s="9" t="inlineStr">
        <is>
          <t>Marion</t>
        </is>
      </c>
      <c r="D454" s="9" t="inlineStr">
        <is>
          <t>IN</t>
        </is>
      </c>
      <c r="E454" s="9" t="inlineStr">
        <is>
          <t>Private</t>
        </is>
      </c>
      <c r="F454" s="11" t="n">
        <v>22866</v>
      </c>
      <c r="G454" s="11" t="n">
        <v>59986</v>
      </c>
      <c r="H454" s="9">
        <f>COUNTIF($G$5:$G$1531,"&gt;"&amp;G454)+1</f>
        <v/>
      </c>
      <c r="I454" s="9" t="inlineStr"/>
      <c r="J454" s="11">
        <f>IF(E454="Private",F454,"")</f>
        <v/>
      </c>
      <c r="K454" s="11">
        <f>IF(E454="Private",G454,"")</f>
        <v/>
      </c>
    </row>
    <row r="455">
      <c r="A455" s="9" t="n">
        <v>488679</v>
      </c>
      <c r="B455" s="9" t="inlineStr">
        <is>
          <t>Indiana Wesleyan University-National &amp; Global</t>
        </is>
      </c>
      <c r="C455" s="9" t="inlineStr">
        <is>
          <t>Marion</t>
        </is>
      </c>
      <c r="D455" s="9" t="inlineStr">
        <is>
          <t>IN</t>
        </is>
      </c>
      <c r="E455" s="9" t="inlineStr">
        <is>
          <t>Private</t>
        </is>
      </c>
      <c r="F455" s="11" t="n">
        <v>16898</v>
      </c>
      <c r="G455" s="11" t="n">
        <v>59986</v>
      </c>
      <c r="H455" s="9">
        <f>COUNTIF($G$5:$G$1531,"&gt;"&amp;G455)+1</f>
        <v/>
      </c>
      <c r="I455" s="9" t="inlineStr"/>
      <c r="J455" s="11">
        <f>IF(E455="Private",F455,"")</f>
        <v/>
      </c>
      <c r="K455" s="11">
        <f>IF(E455="Private",G455,"")</f>
        <v/>
      </c>
    </row>
    <row r="456">
      <c r="A456" s="9" t="n">
        <v>215798</v>
      </c>
      <c r="B456" s="9" t="inlineStr">
        <is>
          <t>Saint Vincent College</t>
        </is>
      </c>
      <c r="C456" s="9" t="inlineStr">
        <is>
          <t>Latrobe</t>
        </is>
      </c>
      <c r="D456" s="9" t="inlineStr">
        <is>
          <t>PA</t>
        </is>
      </c>
      <c r="E456" s="9" t="inlineStr">
        <is>
          <t>Private</t>
        </is>
      </c>
      <c r="F456" s="11" t="n">
        <v>23510</v>
      </c>
      <c r="G456" s="11" t="n">
        <v>59982</v>
      </c>
      <c r="H456" s="9">
        <f>COUNTIF($G$5:$G$1531,"&gt;"&amp;G456)+1</f>
        <v/>
      </c>
      <c r="I456" s="9" t="inlineStr"/>
      <c r="J456" s="11">
        <f>IF(E456="Private",F456,"")</f>
        <v/>
      </c>
      <c r="K456" s="11">
        <f>IF(E456="Private",G456,"")</f>
        <v/>
      </c>
    </row>
    <row r="457">
      <c r="A457" s="9" t="n">
        <v>104179</v>
      </c>
      <c r="B457" s="9" t="inlineStr">
        <is>
          <t>University of Arizona</t>
        </is>
      </c>
      <c r="C457" s="9" t="inlineStr">
        <is>
          <t>Tucson</t>
        </is>
      </c>
      <c r="D457" s="9" t="inlineStr">
        <is>
          <t>AZ</t>
        </is>
      </c>
      <c r="E457" s="9" t="inlineStr">
        <is>
          <t>Public</t>
        </is>
      </c>
      <c r="F457" s="11" t="n">
        <v>16674</v>
      </c>
      <c r="G457" s="11" t="n">
        <v>59979</v>
      </c>
      <c r="H457" s="9">
        <f>COUNTIF($G$5:$G$1531,"&gt;"&amp;G457)+1</f>
        <v/>
      </c>
      <c r="I457" s="9" t="inlineStr"/>
      <c r="J457" s="11">
        <f>IF(E457="Private",F457,"")</f>
        <v/>
      </c>
      <c r="K457" s="11">
        <f>IF(E457="Private",G457,"")</f>
        <v/>
      </c>
    </row>
    <row r="458">
      <c r="A458" s="9" t="n">
        <v>110510</v>
      </c>
      <c r="B458" s="9" t="inlineStr">
        <is>
          <t>California State University-San Bernardino</t>
        </is>
      </c>
      <c r="C458" s="9" t="inlineStr">
        <is>
          <t>San Bernardino</t>
        </is>
      </c>
      <c r="D458" s="9" t="inlineStr">
        <is>
          <t>CA</t>
        </is>
      </c>
      <c r="E458" s="9" t="inlineStr">
        <is>
          <t>Public</t>
        </is>
      </c>
      <c r="F458" s="11" t="n">
        <v>4564</v>
      </c>
      <c r="G458" s="11" t="n">
        <v>59977</v>
      </c>
      <c r="H458" s="9">
        <f>COUNTIF($G$5:$G$1531,"&gt;"&amp;G458)+1</f>
        <v/>
      </c>
      <c r="I458" s="9" t="inlineStr"/>
      <c r="J458" s="11">
        <f>IF(E458="Private",F458,"")</f>
        <v/>
      </c>
      <c r="K458" s="11">
        <f>IF(E458="Private",G458,"")</f>
        <v/>
      </c>
    </row>
    <row r="459">
      <c r="A459" s="9" t="n">
        <v>192448</v>
      </c>
      <c r="B459" s="9" t="inlineStr">
        <is>
          <t>Long Island University</t>
        </is>
      </c>
      <c r="C459" s="9" t="inlineStr">
        <is>
          <t>Brookville</t>
        </is>
      </c>
      <c r="D459" s="9" t="inlineStr">
        <is>
          <t>NY</t>
        </is>
      </c>
      <c r="E459" s="9" t="inlineStr">
        <is>
          <t>Private</t>
        </is>
      </c>
      <c r="F459" s="11" t="n">
        <v>33062</v>
      </c>
      <c r="G459" s="11" t="n">
        <v>59950</v>
      </c>
      <c r="H459" s="9">
        <f>COUNTIF($G$5:$G$1531,"&gt;"&amp;G459)+1</f>
        <v/>
      </c>
      <c r="I459" s="9" t="inlineStr"/>
      <c r="J459" s="11">
        <f>IF(E459="Private",F459,"")</f>
        <v/>
      </c>
      <c r="K459" s="11">
        <f>IF(E459="Private",G459,"")</f>
        <v/>
      </c>
    </row>
    <row r="460">
      <c r="A460" s="9" t="n">
        <v>130314</v>
      </c>
      <c r="B460" s="9" t="inlineStr">
        <is>
          <t>University of Saint Joseph</t>
        </is>
      </c>
      <c r="C460" s="9" t="inlineStr">
        <is>
          <t>West Hartford</t>
        </is>
      </c>
      <c r="D460" s="9" t="inlineStr">
        <is>
          <t>CT</t>
        </is>
      </c>
      <c r="E460" s="9" t="inlineStr">
        <is>
          <t>Private</t>
        </is>
      </c>
      <c r="F460" s="11" t="n">
        <v>27989</v>
      </c>
      <c r="G460" s="11" t="n">
        <v>59908</v>
      </c>
      <c r="H460" s="9">
        <f>COUNTIF($G$5:$G$1531,"&gt;"&amp;G460)+1</f>
        <v/>
      </c>
      <c r="I460" s="9" t="inlineStr"/>
      <c r="J460" s="11">
        <f>IF(E460="Private",F460,"")</f>
        <v/>
      </c>
      <c r="K460" s="11">
        <f>IF(E460="Private",G460,"")</f>
        <v/>
      </c>
    </row>
    <row r="461">
      <c r="A461" s="9" t="n">
        <v>130989</v>
      </c>
      <c r="B461" s="9" t="inlineStr">
        <is>
          <t>Goldey-Beacom College</t>
        </is>
      </c>
      <c r="C461" s="9" t="inlineStr">
        <is>
          <t>Wilmington</t>
        </is>
      </c>
      <c r="D461" s="9" t="inlineStr">
        <is>
          <t>DE</t>
        </is>
      </c>
      <c r="E461" s="9" t="inlineStr">
        <is>
          <t>Private</t>
        </is>
      </c>
      <c r="F461" s="11" t="n">
        <v>15554</v>
      </c>
      <c r="G461" s="11" t="n">
        <v>59892</v>
      </c>
      <c r="H461" s="9">
        <f>COUNTIF($G$5:$G$1531,"&gt;"&amp;G461)+1</f>
        <v/>
      </c>
      <c r="I461" s="9" t="inlineStr"/>
      <c r="J461" s="11">
        <f>IF(E461="Private",F461,"")</f>
        <v/>
      </c>
      <c r="K461" s="11">
        <f>IF(E461="Private",G461,"")</f>
        <v/>
      </c>
    </row>
    <row r="462">
      <c r="A462" s="9" t="n">
        <v>173328</v>
      </c>
      <c r="B462" s="9" t="inlineStr">
        <is>
          <t>Concordia University-Saint Paul</t>
        </is>
      </c>
      <c r="C462" s="9" t="inlineStr">
        <is>
          <t>Saint Paul</t>
        </is>
      </c>
      <c r="D462" s="9" t="inlineStr">
        <is>
          <t>MN</t>
        </is>
      </c>
      <c r="E462" s="9" t="inlineStr">
        <is>
          <t>Private</t>
        </is>
      </c>
      <c r="F462" s="11" t="n">
        <v>18462</v>
      </c>
      <c r="G462" s="11" t="n">
        <v>59871</v>
      </c>
      <c r="H462" s="9">
        <f>COUNTIF($G$5:$G$1531,"&gt;"&amp;G462)+1</f>
        <v/>
      </c>
      <c r="I462" s="9" t="inlineStr"/>
      <c r="J462" s="11">
        <f>IF(E462="Private",F462,"")</f>
        <v/>
      </c>
      <c r="K462" s="11">
        <f>IF(E462="Private",G462,"")</f>
        <v/>
      </c>
    </row>
    <row r="463">
      <c r="A463" s="9" t="n">
        <v>153834</v>
      </c>
      <c r="B463" s="9" t="inlineStr">
        <is>
          <t>Luther College</t>
        </is>
      </c>
      <c r="C463" s="9" t="inlineStr">
        <is>
          <t>Decorah</t>
        </is>
      </c>
      <c r="D463" s="9" t="inlineStr">
        <is>
          <t>IA</t>
        </is>
      </c>
      <c r="E463" s="9" t="inlineStr">
        <is>
          <t>Private</t>
        </is>
      </c>
      <c r="F463" s="11" t="n">
        <v>23097</v>
      </c>
      <c r="G463" s="11" t="n">
        <v>59850</v>
      </c>
      <c r="H463" s="9">
        <f>COUNTIF($G$5:$G$1531,"&gt;"&amp;G463)+1</f>
        <v/>
      </c>
      <c r="I463" s="9" t="inlineStr"/>
      <c r="J463" s="11">
        <f>IF(E463="Private",F463,"")</f>
        <v/>
      </c>
      <c r="K463" s="11">
        <f>IF(E463="Private",G463,"")</f>
        <v/>
      </c>
    </row>
    <row r="464">
      <c r="A464" s="9" t="n">
        <v>206835</v>
      </c>
      <c r="B464" s="9" t="inlineStr">
        <is>
          <t>Oklahoma Wesleyan University</t>
        </is>
      </c>
      <c r="C464" s="9" t="inlineStr">
        <is>
          <t>Bartlesville</t>
        </is>
      </c>
      <c r="D464" s="9" t="inlineStr">
        <is>
          <t>OK</t>
        </is>
      </c>
      <c r="E464" s="9" t="inlineStr">
        <is>
          <t>Private</t>
        </is>
      </c>
      <c r="F464" s="11" t="n">
        <v>28358</v>
      </c>
      <c r="G464" s="11" t="n">
        <v>59841</v>
      </c>
      <c r="H464" s="9">
        <f>COUNTIF($G$5:$G$1531,"&gt;"&amp;G464)+1</f>
        <v/>
      </c>
      <c r="I464" s="9" t="inlineStr"/>
      <c r="J464" s="11">
        <f>IF(E464="Private",F464,"")</f>
        <v/>
      </c>
      <c r="K464" s="11">
        <f>IF(E464="Private",G464,"")</f>
        <v/>
      </c>
    </row>
    <row r="465">
      <c r="A465" s="9" t="n">
        <v>220516</v>
      </c>
      <c r="B465" s="9" t="inlineStr">
        <is>
          <t>King University</t>
        </is>
      </c>
      <c r="C465" s="9" t="inlineStr">
        <is>
          <t>Bristol</t>
        </is>
      </c>
      <c r="D465" s="9" t="inlineStr">
        <is>
          <t>TN</t>
        </is>
      </c>
      <c r="E465" s="9" t="inlineStr">
        <is>
          <t>Private</t>
        </is>
      </c>
      <c r="F465" s="11" t="n">
        <v>22347</v>
      </c>
      <c r="G465" s="11" t="n">
        <v>59831</v>
      </c>
      <c r="H465" s="9">
        <f>COUNTIF($G$5:$G$1531,"&gt;"&amp;G465)+1</f>
        <v/>
      </c>
      <c r="I465" s="9" t="inlineStr"/>
      <c r="J465" s="11">
        <f>IF(E465="Private",F465,"")</f>
        <v/>
      </c>
      <c r="K465" s="11">
        <f>IF(E465="Private",G465,"")</f>
        <v/>
      </c>
    </row>
    <row r="466">
      <c r="A466" s="9" t="n">
        <v>206437</v>
      </c>
      <c r="B466" s="9" t="inlineStr">
        <is>
          <t>Walsh University</t>
        </is>
      </c>
      <c r="C466" s="9" t="inlineStr">
        <is>
          <t>North Canton</t>
        </is>
      </c>
      <c r="D466" s="9" t="inlineStr">
        <is>
          <t>OH</t>
        </is>
      </c>
      <c r="E466" s="9" t="inlineStr">
        <is>
          <t>Private</t>
        </is>
      </c>
      <c r="F466" s="11" t="n">
        <v>20493</v>
      </c>
      <c r="G466" s="11" t="n">
        <v>59764</v>
      </c>
      <c r="H466" s="9">
        <f>COUNTIF($G$5:$G$1531,"&gt;"&amp;G466)+1</f>
        <v/>
      </c>
      <c r="I466" s="9" t="inlineStr"/>
      <c r="J466" s="11">
        <f>IF(E466="Private",F466,"")</f>
        <v/>
      </c>
      <c r="K466" s="11">
        <f>IF(E466="Private",G466,"")</f>
        <v/>
      </c>
    </row>
    <row r="467">
      <c r="A467" s="9" t="n">
        <v>208822</v>
      </c>
      <c r="B467" s="9" t="inlineStr">
        <is>
          <t>George Fox University</t>
        </is>
      </c>
      <c r="C467" s="9" t="inlineStr">
        <is>
          <t>Newberg</t>
        </is>
      </c>
      <c r="D467" s="9" t="inlineStr">
        <is>
          <t>OR</t>
        </is>
      </c>
      <c r="E467" s="9" t="inlineStr">
        <is>
          <t>Private</t>
        </is>
      </c>
      <c r="F467" s="11" t="n">
        <v>31679</v>
      </c>
      <c r="G467" s="11" t="n">
        <v>59761</v>
      </c>
      <c r="H467" s="9">
        <f>COUNTIF($G$5:$G$1531,"&gt;"&amp;G467)+1</f>
        <v/>
      </c>
      <c r="I467" s="9" t="inlineStr"/>
      <c r="J467" s="11">
        <f>IF(E467="Private",F467,"")</f>
        <v/>
      </c>
      <c r="K467" s="11">
        <f>IF(E467="Private",G467,"")</f>
        <v/>
      </c>
    </row>
    <row r="468">
      <c r="A468" s="9" t="n">
        <v>238661</v>
      </c>
      <c r="B468" s="9" t="inlineStr">
        <is>
          <t>Edgewood University</t>
        </is>
      </c>
      <c r="C468" s="9" t="inlineStr">
        <is>
          <t>Madison</t>
        </is>
      </c>
      <c r="D468" s="9" t="inlineStr">
        <is>
          <t>WI</t>
        </is>
      </c>
      <c r="E468" s="9" t="inlineStr">
        <is>
          <t>Private</t>
        </is>
      </c>
      <c r="F468" s="11" t="n">
        <v>26113</v>
      </c>
      <c r="G468" s="11" t="n">
        <v>59728</v>
      </c>
      <c r="H468" s="9">
        <f>COUNTIF($G$5:$G$1531,"&gt;"&amp;G468)+1</f>
        <v/>
      </c>
      <c r="I468" s="9" t="inlineStr"/>
      <c r="J468" s="11">
        <f>IF(E468="Private",F468,"")</f>
        <v/>
      </c>
      <c r="K468" s="11">
        <f>IF(E468="Private",G468,"")</f>
        <v/>
      </c>
    </row>
    <row r="469">
      <c r="A469" s="9" t="n">
        <v>171137</v>
      </c>
      <c r="B469" s="9" t="inlineStr">
        <is>
          <t>University of Michigan-Dearborn</t>
        </is>
      </c>
      <c r="C469" s="9" t="inlineStr">
        <is>
          <t>Dearborn</t>
        </is>
      </c>
      <c r="D469" s="9" t="inlineStr">
        <is>
          <t>MI</t>
        </is>
      </c>
      <c r="E469" s="9" t="inlineStr">
        <is>
          <t>Public</t>
        </is>
      </c>
      <c r="F469" s="11" t="n">
        <v>9492</v>
      </c>
      <c r="G469" s="11" t="n">
        <v>59649</v>
      </c>
      <c r="H469" s="9">
        <f>COUNTIF($G$5:$G$1531,"&gt;"&amp;G469)+1</f>
        <v/>
      </c>
      <c r="I469" s="9" t="inlineStr"/>
      <c r="J469" s="11">
        <f>IF(E469="Private",F469,"")</f>
        <v/>
      </c>
      <c r="K469" s="11">
        <f>IF(E469="Private",G469,"")</f>
        <v/>
      </c>
    </row>
    <row r="470">
      <c r="A470" s="9" t="n">
        <v>178402</v>
      </c>
      <c r="B470" s="9" t="inlineStr">
        <is>
          <t>University of Missouri-Kansas City</t>
        </is>
      </c>
      <c r="C470" s="9" t="inlineStr">
        <is>
          <t>Kansas City</t>
        </is>
      </c>
      <c r="D470" s="9" t="inlineStr">
        <is>
          <t>MO</t>
        </is>
      </c>
      <c r="E470" s="9" t="inlineStr">
        <is>
          <t>Public</t>
        </is>
      </c>
      <c r="F470" s="11" t="n">
        <v>13310</v>
      </c>
      <c r="G470" s="11" t="n">
        <v>59637</v>
      </c>
      <c r="H470" s="9">
        <f>COUNTIF($G$5:$G$1531,"&gt;"&amp;G470)+1</f>
        <v/>
      </c>
      <c r="I470" s="9" t="inlineStr"/>
      <c r="J470" s="11">
        <f>IF(E470="Private",F470,"")</f>
        <v/>
      </c>
      <c r="K470" s="11">
        <f>IF(E470="Private",G470,"")</f>
        <v/>
      </c>
    </row>
    <row r="471">
      <c r="A471" s="9" t="n">
        <v>206589</v>
      </c>
      <c r="B471" s="9" t="inlineStr">
        <is>
          <t>The College of Wooster</t>
        </is>
      </c>
      <c r="C471" s="9" t="inlineStr">
        <is>
          <t>Wooster</t>
        </is>
      </c>
      <c r="D471" s="9" t="inlineStr">
        <is>
          <t>OH</t>
        </is>
      </c>
      <c r="E471" s="9" t="inlineStr">
        <is>
          <t>Private</t>
        </is>
      </c>
      <c r="F471" s="11" t="n">
        <v>23458</v>
      </c>
      <c r="G471" s="11" t="n">
        <v>59629</v>
      </c>
      <c r="H471" s="9">
        <f>COUNTIF($G$5:$G$1531,"&gt;"&amp;G471)+1</f>
        <v/>
      </c>
      <c r="I471" s="9" t="inlineStr"/>
      <c r="J471" s="11">
        <f>IF(E471="Private",F471,"")</f>
        <v/>
      </c>
      <c r="K471" s="11">
        <f>IF(E471="Private",G471,"")</f>
        <v/>
      </c>
    </row>
    <row r="472">
      <c r="A472" s="9" t="n">
        <v>141644</v>
      </c>
      <c r="B472" s="9" t="inlineStr">
        <is>
          <t>Hawaii Pacific University</t>
        </is>
      </c>
      <c r="C472" s="9" t="inlineStr">
        <is>
          <t>Honolulu</t>
        </is>
      </c>
      <c r="D472" s="9" t="inlineStr">
        <is>
          <t>HI</t>
        </is>
      </c>
      <c r="E472" s="9" t="inlineStr">
        <is>
          <t>Private</t>
        </is>
      </c>
      <c r="F472" s="11" t="n">
        <v>29657</v>
      </c>
      <c r="G472" s="11" t="n">
        <v>59593</v>
      </c>
      <c r="H472" s="9">
        <f>COUNTIF($G$5:$G$1531,"&gt;"&amp;G472)+1</f>
        <v/>
      </c>
      <c r="I472" s="9" t="inlineStr"/>
      <c r="J472" s="11">
        <f>IF(E472="Private",F472,"")</f>
        <v/>
      </c>
      <c r="K472" s="11">
        <f>IF(E472="Private",G472,"")</f>
        <v/>
      </c>
    </row>
    <row r="473">
      <c r="A473" s="9" t="n">
        <v>147679</v>
      </c>
      <c r="B473" s="9" t="inlineStr">
        <is>
          <t>North Park University</t>
        </is>
      </c>
      <c r="C473" s="9" t="inlineStr">
        <is>
          <t>Chicago</t>
        </is>
      </c>
      <c r="D473" s="9" t="inlineStr">
        <is>
          <t>IL</t>
        </is>
      </c>
      <c r="E473" s="9" t="inlineStr">
        <is>
          <t>Private</t>
        </is>
      </c>
      <c r="F473" s="11" t="n">
        <v>16948</v>
      </c>
      <c r="G473" s="11" t="n">
        <v>59572</v>
      </c>
      <c r="H473" s="9">
        <f>COUNTIF($G$5:$G$1531,"&gt;"&amp;G473)+1</f>
        <v/>
      </c>
      <c r="I473" s="9" t="inlineStr"/>
      <c r="J473" s="11">
        <f>IF(E473="Private",F473,"")</f>
        <v/>
      </c>
      <c r="K473" s="11">
        <f>IF(E473="Private",G473,"")</f>
        <v/>
      </c>
    </row>
    <row r="474">
      <c r="A474" s="9" t="n">
        <v>123651</v>
      </c>
      <c r="B474" s="9" t="inlineStr">
        <is>
          <t>Vanguard University of Southern California</t>
        </is>
      </c>
      <c r="C474" s="9" t="inlineStr">
        <is>
          <t>Costa Mesa</t>
        </is>
      </c>
      <c r="D474" s="9" t="inlineStr">
        <is>
          <t>CA</t>
        </is>
      </c>
      <c r="E474" s="9" t="inlineStr">
        <is>
          <t>Private</t>
        </is>
      </c>
      <c r="F474" s="11" t="n">
        <v>21241</v>
      </c>
      <c r="G474" s="11" t="n">
        <v>59541</v>
      </c>
      <c r="H474" s="9">
        <f>COUNTIF($G$5:$G$1531,"&gt;"&amp;G474)+1</f>
        <v/>
      </c>
      <c r="I474" s="9" t="inlineStr"/>
      <c r="J474" s="11">
        <f>IF(E474="Private",F474,"")</f>
        <v/>
      </c>
      <c r="K474" s="11">
        <f>IF(E474="Private",G474,"")</f>
        <v/>
      </c>
    </row>
    <row r="475">
      <c r="A475" s="9" t="n">
        <v>154235</v>
      </c>
      <c r="B475" s="9" t="inlineStr">
        <is>
          <t>Saint Ambrose University</t>
        </is>
      </c>
      <c r="C475" s="9" t="inlineStr">
        <is>
          <t>Davenport</t>
        </is>
      </c>
      <c r="D475" s="9" t="inlineStr">
        <is>
          <t>IA</t>
        </is>
      </c>
      <c r="E475" s="9" t="inlineStr">
        <is>
          <t>Private</t>
        </is>
      </c>
      <c r="F475" s="11" t="n">
        <v>24691</v>
      </c>
      <c r="G475" s="11" t="n">
        <v>59531</v>
      </c>
      <c r="H475" s="9">
        <f>COUNTIF($G$5:$G$1531,"&gt;"&amp;G475)+1</f>
        <v/>
      </c>
      <c r="I475" s="9" t="inlineStr"/>
      <c r="J475" s="11">
        <f>IF(E475="Private",F475,"")</f>
        <v/>
      </c>
      <c r="K475" s="11">
        <f>IF(E475="Private",G475,"")</f>
        <v/>
      </c>
    </row>
    <row r="476">
      <c r="A476" s="9" t="n">
        <v>213321</v>
      </c>
      <c r="B476" s="9" t="inlineStr">
        <is>
          <t>King's College</t>
        </is>
      </c>
      <c r="C476" s="9" t="inlineStr">
        <is>
          <t>Wilkes-Barre</t>
        </is>
      </c>
      <c r="D476" s="9" t="inlineStr">
        <is>
          <t>PA</t>
        </is>
      </c>
      <c r="E476" s="9" t="inlineStr">
        <is>
          <t>Private</t>
        </is>
      </c>
      <c r="F476" s="11" t="n">
        <v>23093</v>
      </c>
      <c r="G476" s="11" t="n">
        <v>59498</v>
      </c>
      <c r="H476" s="9">
        <f>COUNTIF($G$5:$G$1531,"&gt;"&amp;G476)+1</f>
        <v/>
      </c>
      <c r="I476" s="9" t="inlineStr"/>
      <c r="J476" s="11">
        <f>IF(E476="Private",F476,"")</f>
        <v/>
      </c>
      <c r="K476" s="11">
        <f>IF(E476="Private",G476,"")</f>
        <v/>
      </c>
    </row>
    <row r="477">
      <c r="A477" s="9" t="n">
        <v>125763</v>
      </c>
      <c r="B477" s="9" t="inlineStr">
        <is>
          <t>Whittier College</t>
        </is>
      </c>
      <c r="C477" s="9" t="inlineStr">
        <is>
          <t>Whittier</t>
        </is>
      </c>
      <c r="D477" s="9" t="inlineStr">
        <is>
          <t>CA</t>
        </is>
      </c>
      <c r="E477" s="9" t="inlineStr">
        <is>
          <t>Private</t>
        </is>
      </c>
      <c r="F477" s="11" t="n">
        <v>25757</v>
      </c>
      <c r="G477" s="11" t="n">
        <v>59492</v>
      </c>
      <c r="H477" s="9">
        <f>COUNTIF($G$5:$G$1531,"&gt;"&amp;G477)+1</f>
        <v/>
      </c>
      <c r="I477" s="9" t="inlineStr"/>
      <c r="J477" s="11">
        <f>IF(E477="Private",F477,"")</f>
        <v/>
      </c>
      <c r="K477" s="11">
        <f>IF(E477="Private",G477,"")</f>
        <v/>
      </c>
    </row>
    <row r="478">
      <c r="A478" s="9" t="n">
        <v>155812</v>
      </c>
      <c r="B478" s="9" t="inlineStr">
        <is>
          <t>University of Saint Mary</t>
        </is>
      </c>
      <c r="C478" s="9" t="inlineStr">
        <is>
          <t>Leavenworth</t>
        </is>
      </c>
      <c r="D478" s="9" t="inlineStr">
        <is>
          <t>KS</t>
        </is>
      </c>
      <c r="E478" s="9" t="inlineStr">
        <is>
          <t>Private</t>
        </is>
      </c>
      <c r="F478" s="11" t="n">
        <v>22519</v>
      </c>
      <c r="G478" s="11" t="n">
        <v>59483</v>
      </c>
      <c r="H478" s="9">
        <f>COUNTIF($G$5:$G$1531,"&gt;"&amp;G478)+1</f>
        <v/>
      </c>
      <c r="I478" s="9" t="inlineStr"/>
      <c r="J478" s="11">
        <f>IF(E478="Private",F478,"")</f>
        <v/>
      </c>
      <c r="K478" s="11">
        <f>IF(E478="Private",G478,"")</f>
        <v/>
      </c>
    </row>
    <row r="479">
      <c r="A479" s="9" t="n">
        <v>211468</v>
      </c>
      <c r="B479" s="9" t="inlineStr">
        <is>
          <t>Cedar Crest College</t>
        </is>
      </c>
      <c r="C479" s="9" t="inlineStr">
        <is>
          <t>Allentown</t>
        </is>
      </c>
      <c r="D479" s="9" t="inlineStr">
        <is>
          <t>PA</t>
        </is>
      </c>
      <c r="E479" s="9" t="inlineStr">
        <is>
          <t>Private</t>
        </is>
      </c>
      <c r="F479" s="11" t="n">
        <v>18659</v>
      </c>
      <c r="G479" s="11" t="n">
        <v>59460</v>
      </c>
      <c r="H479" s="9">
        <f>COUNTIF($G$5:$G$1531,"&gt;"&amp;G479)+1</f>
        <v/>
      </c>
      <c r="I479" s="9" t="inlineStr"/>
      <c r="J479" s="11">
        <f>IF(E479="Private",F479,"")</f>
        <v/>
      </c>
      <c r="K479" s="11">
        <f>IF(E479="Private",G479,"")</f>
        <v/>
      </c>
    </row>
    <row r="480">
      <c r="A480" s="9" t="n">
        <v>137847</v>
      </c>
      <c r="B480" s="9" t="inlineStr">
        <is>
          <t>The University of Tampa</t>
        </is>
      </c>
      <c r="C480" s="9" t="inlineStr">
        <is>
          <t>Tampa</t>
        </is>
      </c>
      <c r="D480" s="9" t="inlineStr">
        <is>
          <t>FL</t>
        </is>
      </c>
      <c r="E480" s="9" t="inlineStr">
        <is>
          <t>Private</t>
        </is>
      </c>
      <c r="F480" s="11" t="n">
        <v>36211</v>
      </c>
      <c r="G480" s="11" t="n">
        <v>59436</v>
      </c>
      <c r="H480" s="9">
        <f>COUNTIF($G$5:$G$1531,"&gt;"&amp;G480)+1</f>
        <v/>
      </c>
      <c r="I480" s="9" t="inlineStr"/>
      <c r="J480" s="11">
        <f>IF(E480="Private",F480,"")</f>
        <v/>
      </c>
      <c r="K480" s="11">
        <f>IF(E480="Private",G480,"")</f>
        <v/>
      </c>
    </row>
    <row r="481">
      <c r="A481" s="9" t="n">
        <v>157809</v>
      </c>
      <c r="B481" s="9" t="inlineStr">
        <is>
          <t>Thomas More University</t>
        </is>
      </c>
      <c r="C481" s="9" t="inlineStr">
        <is>
          <t>Crestview Hills</t>
        </is>
      </c>
      <c r="D481" s="9" t="inlineStr">
        <is>
          <t>KY</t>
        </is>
      </c>
      <c r="E481" s="9" t="inlineStr">
        <is>
          <t>Private</t>
        </is>
      </c>
      <c r="F481" s="11" t="n">
        <v>21835</v>
      </c>
      <c r="G481" s="11" t="n">
        <v>59384</v>
      </c>
      <c r="H481" s="9">
        <f>COUNTIF($G$5:$G$1531,"&gt;"&amp;G481)+1</f>
        <v/>
      </c>
      <c r="I481" s="9" t="inlineStr"/>
      <c r="J481" s="11">
        <f>IF(E481="Private",F481,"")</f>
        <v/>
      </c>
      <c r="K481" s="11">
        <f>IF(E481="Private",G481,"")</f>
        <v/>
      </c>
    </row>
    <row r="482">
      <c r="A482" s="9" t="n">
        <v>152390</v>
      </c>
      <c r="B482" s="9" t="inlineStr">
        <is>
          <t>Saint Mary's College</t>
        </is>
      </c>
      <c r="C482" s="9" t="inlineStr">
        <is>
          <t>Notre Dame</t>
        </is>
      </c>
      <c r="D482" s="9" t="inlineStr">
        <is>
          <t>IN</t>
        </is>
      </c>
      <c r="E482" s="9" t="inlineStr">
        <is>
          <t>Private</t>
        </is>
      </c>
      <c r="F482" s="11" t="n">
        <v>25292</v>
      </c>
      <c r="G482" s="11" t="n">
        <v>59354</v>
      </c>
      <c r="H482" s="9">
        <f>COUNTIF($G$5:$G$1531,"&gt;"&amp;G482)+1</f>
        <v/>
      </c>
      <c r="I482" s="9" t="inlineStr"/>
      <c r="J482" s="11">
        <f>IF(E482="Private",F482,"")</f>
        <v/>
      </c>
      <c r="K482" s="11">
        <f>IF(E482="Private",G482,"")</f>
        <v/>
      </c>
    </row>
    <row r="483">
      <c r="A483" s="9" t="n">
        <v>173300</v>
      </c>
      <c r="B483" s="9" t="inlineStr">
        <is>
          <t>Concordia College at Moorhead</t>
        </is>
      </c>
      <c r="C483" s="9" t="inlineStr">
        <is>
          <t>Moorhead</t>
        </is>
      </c>
      <c r="D483" s="9" t="inlineStr">
        <is>
          <t>MN</t>
        </is>
      </c>
      <c r="E483" s="9" t="inlineStr">
        <is>
          <t>Private</t>
        </is>
      </c>
      <c r="F483" s="11" t="n">
        <v>24902</v>
      </c>
      <c r="G483" s="11" t="n">
        <v>59317</v>
      </c>
      <c r="H483" s="9">
        <f>COUNTIF($G$5:$G$1531,"&gt;"&amp;G483)+1</f>
        <v/>
      </c>
      <c r="I483" s="9" t="inlineStr"/>
      <c r="J483" s="11">
        <f>IF(E483="Private",F483,"")</f>
        <v/>
      </c>
      <c r="K483" s="11">
        <f>IF(E483="Private",G483,"")</f>
        <v/>
      </c>
    </row>
    <row r="484">
      <c r="A484" s="9" t="n">
        <v>175005</v>
      </c>
      <c r="B484" s="9" t="inlineStr">
        <is>
          <t>St Catherine University</t>
        </is>
      </c>
      <c r="C484" s="9" t="inlineStr">
        <is>
          <t>Saint Paul</t>
        </is>
      </c>
      <c r="D484" s="9" t="inlineStr">
        <is>
          <t>MN</t>
        </is>
      </c>
      <c r="E484" s="9" t="inlineStr">
        <is>
          <t>Private</t>
        </is>
      </c>
      <c r="F484" s="11" t="n">
        <v>19764</v>
      </c>
      <c r="G484" s="11" t="n">
        <v>59282</v>
      </c>
      <c r="H484" s="9">
        <f>COUNTIF($G$5:$G$1531,"&gt;"&amp;G484)+1</f>
        <v/>
      </c>
      <c r="I484" s="9" t="inlineStr"/>
      <c r="J484" s="11">
        <f>IF(E484="Private",F484,"")</f>
        <v/>
      </c>
      <c r="K484" s="11">
        <f>IF(E484="Private",G484,"")</f>
        <v/>
      </c>
    </row>
    <row r="485">
      <c r="A485" s="9" t="n">
        <v>154350</v>
      </c>
      <c r="B485" s="9" t="inlineStr">
        <is>
          <t>Simpson College</t>
        </is>
      </c>
      <c r="C485" s="9" t="inlineStr">
        <is>
          <t>Indianola</t>
        </is>
      </c>
      <c r="D485" s="9" t="inlineStr">
        <is>
          <t>IA</t>
        </is>
      </c>
      <c r="E485" s="9" t="inlineStr">
        <is>
          <t>Private</t>
        </is>
      </c>
      <c r="F485" s="11" t="n">
        <v>21936</v>
      </c>
      <c r="G485" s="11" t="n">
        <v>59274</v>
      </c>
      <c r="H485" s="9">
        <f>COUNTIF($G$5:$G$1531,"&gt;"&amp;G485)+1</f>
        <v/>
      </c>
      <c r="I485" s="9" t="inlineStr"/>
      <c r="J485" s="11">
        <f>IF(E485="Private",F485,"")</f>
        <v/>
      </c>
      <c r="K485" s="11">
        <f>IF(E485="Private",G485,"")</f>
        <v/>
      </c>
    </row>
    <row r="486">
      <c r="A486" s="9" t="n">
        <v>179955</v>
      </c>
      <c r="B486" s="9" t="inlineStr">
        <is>
          <t>William Jewell College</t>
        </is>
      </c>
      <c r="C486" s="9" t="inlineStr">
        <is>
          <t>Liberty</t>
        </is>
      </c>
      <c r="D486" s="9" t="inlineStr">
        <is>
          <t>MO</t>
        </is>
      </c>
      <c r="E486" s="9" t="inlineStr">
        <is>
          <t>Private</t>
        </is>
      </c>
      <c r="F486" s="11" t="n">
        <v>17562</v>
      </c>
      <c r="G486" s="11" t="n">
        <v>59268</v>
      </c>
      <c r="H486" s="9">
        <f>COUNTIF($G$5:$G$1531,"&gt;"&amp;G486)+1</f>
        <v/>
      </c>
      <c r="I486" s="9" t="inlineStr"/>
      <c r="J486" s="11">
        <f>IF(E486="Private",F486,"")</f>
        <v/>
      </c>
      <c r="K486" s="11">
        <f>IF(E486="Private",G486,"")</f>
        <v/>
      </c>
    </row>
    <row r="487">
      <c r="A487" s="9" t="n">
        <v>409698</v>
      </c>
      <c r="B487" s="9" t="inlineStr">
        <is>
          <t>California State University-Monterey Bay</t>
        </is>
      </c>
      <c r="C487" s="9" t="inlineStr">
        <is>
          <t>Seaside</t>
        </is>
      </c>
      <c r="D487" s="9" t="inlineStr">
        <is>
          <t>CA</t>
        </is>
      </c>
      <c r="E487" s="9" t="inlineStr">
        <is>
          <t>Public</t>
        </is>
      </c>
      <c r="F487" s="11" t="n">
        <v>13663</v>
      </c>
      <c r="G487" s="11" t="n">
        <v>59247</v>
      </c>
      <c r="H487" s="9">
        <f>COUNTIF($G$5:$G$1531,"&gt;"&amp;G487)+1</f>
        <v/>
      </c>
      <c r="I487" s="9" t="inlineStr"/>
      <c r="J487" s="11">
        <f>IF(E487="Private",F487,"")</f>
        <v/>
      </c>
      <c r="K487" s="11">
        <f>IF(E487="Private",G487,"")</f>
        <v/>
      </c>
    </row>
    <row r="488">
      <c r="A488" s="9" t="n">
        <v>227863</v>
      </c>
      <c r="B488" s="9" t="inlineStr">
        <is>
          <t>University of St Thomas (Houston, TX)</t>
        </is>
      </c>
      <c r="C488" s="9" t="inlineStr">
        <is>
          <t>Houston</t>
        </is>
      </c>
      <c r="D488" s="9" t="inlineStr">
        <is>
          <t>TX</t>
        </is>
      </c>
      <c r="E488" s="9" t="inlineStr">
        <is>
          <t>Private</t>
        </is>
      </c>
      <c r="F488" s="11" t="n">
        <v>19359</v>
      </c>
      <c r="G488" s="11" t="n">
        <v>59224</v>
      </c>
      <c r="H488" s="9">
        <f>COUNTIF($G$5:$G$1531,"&gt;"&amp;G488)+1</f>
        <v/>
      </c>
      <c r="I488" s="9" t="inlineStr"/>
      <c r="J488" s="11">
        <f>IF(E488="Private",F488,"")</f>
        <v/>
      </c>
      <c r="K488" s="11">
        <f>IF(E488="Private",G488,"")</f>
        <v/>
      </c>
    </row>
    <row r="489">
      <c r="A489" s="9" t="n">
        <v>100751</v>
      </c>
      <c r="B489" s="9" t="inlineStr">
        <is>
          <t>The University of Alabama</t>
        </is>
      </c>
      <c r="C489" s="9" t="inlineStr">
        <is>
          <t>Tuscaloosa</t>
        </is>
      </c>
      <c r="D489" s="9" t="inlineStr">
        <is>
          <t>AL</t>
        </is>
      </c>
      <c r="E489" s="9" t="inlineStr">
        <is>
          <t>Public</t>
        </is>
      </c>
      <c r="F489" s="11" t="n">
        <v>22420</v>
      </c>
      <c r="G489" s="11" t="n">
        <v>59221</v>
      </c>
      <c r="H489" s="9">
        <f>COUNTIF($G$5:$G$1531,"&gt;"&amp;G489)+1</f>
        <v/>
      </c>
      <c r="I489" s="9" t="inlineStr"/>
      <c r="J489" s="11">
        <f>IF(E489="Private",F489,"")</f>
        <v/>
      </c>
      <c r="K489" s="11">
        <f>IF(E489="Private",G489,"")</f>
        <v/>
      </c>
    </row>
    <row r="490">
      <c r="A490" s="9" t="n">
        <v>219000</v>
      </c>
      <c r="B490" s="9" t="inlineStr">
        <is>
          <t>Augustana University</t>
        </is>
      </c>
      <c r="C490" s="9" t="inlineStr">
        <is>
          <t>Sioux Falls</t>
        </is>
      </c>
      <c r="D490" s="9" t="inlineStr">
        <is>
          <t>SD</t>
        </is>
      </c>
      <c r="E490" s="9" t="inlineStr">
        <is>
          <t>Private</t>
        </is>
      </c>
      <c r="F490" s="11" t="n">
        <v>23894</v>
      </c>
      <c r="G490" s="11" t="n">
        <v>59217</v>
      </c>
      <c r="H490" s="9">
        <f>COUNTIF($G$5:$G$1531,"&gt;"&amp;G490)+1</f>
        <v/>
      </c>
      <c r="I490" s="9" t="inlineStr"/>
      <c r="J490" s="11">
        <f>IF(E490="Private",F490,"")</f>
        <v/>
      </c>
      <c r="K490" s="11">
        <f>IF(E490="Private",G490,"")</f>
        <v/>
      </c>
    </row>
    <row r="491">
      <c r="A491" s="9" t="n">
        <v>110592</v>
      </c>
      <c r="B491" s="9" t="inlineStr">
        <is>
          <t>California State University-Los Angeles</t>
        </is>
      </c>
      <c r="C491" s="9" t="inlineStr">
        <is>
          <t>Los Angeles</t>
        </is>
      </c>
      <c r="D491" s="9" t="inlineStr">
        <is>
          <t>CA</t>
        </is>
      </c>
      <c r="E491" s="9" t="inlineStr">
        <is>
          <t>Public</t>
        </is>
      </c>
      <c r="F491" s="11" t="n">
        <v>3967</v>
      </c>
      <c r="G491" s="11" t="n">
        <v>59211</v>
      </c>
      <c r="H491" s="9">
        <f>COUNTIF($G$5:$G$1531,"&gt;"&amp;G491)+1</f>
        <v/>
      </c>
      <c r="I491" s="9" t="inlineStr"/>
      <c r="J491" s="11">
        <f>IF(E491="Private",F491,"")</f>
        <v/>
      </c>
      <c r="K491" s="11">
        <f>IF(E491="Private",G491,"")</f>
        <v/>
      </c>
    </row>
    <row r="492">
      <c r="A492" s="9" t="n">
        <v>136215</v>
      </c>
      <c r="B492" s="9" t="inlineStr">
        <is>
          <t>Nova Southeastern University</t>
        </is>
      </c>
      <c r="C492" s="9" t="inlineStr">
        <is>
          <t>Fort Lauderdale</t>
        </is>
      </c>
      <c r="D492" s="9" t="inlineStr">
        <is>
          <t>FL</t>
        </is>
      </c>
      <c r="E492" s="9" t="inlineStr">
        <is>
          <t>Private</t>
        </is>
      </c>
      <c r="F492" s="11" t="n">
        <v>30371</v>
      </c>
      <c r="G492" s="11" t="n">
        <v>59209</v>
      </c>
      <c r="H492" s="9">
        <f>COUNTIF($G$5:$G$1531,"&gt;"&amp;G492)+1</f>
        <v/>
      </c>
      <c r="I492" s="9" t="inlineStr"/>
      <c r="J492" s="11">
        <f>IF(E492="Private",F492,"")</f>
        <v/>
      </c>
      <c r="K492" s="11">
        <f>IF(E492="Private",G492,"")</f>
        <v/>
      </c>
    </row>
    <row r="493">
      <c r="A493" s="9" t="n">
        <v>232265</v>
      </c>
      <c r="B493" s="9" t="inlineStr">
        <is>
          <t>Hampton University</t>
        </is>
      </c>
      <c r="C493" s="9" t="inlineStr">
        <is>
          <t>Hampton</t>
        </is>
      </c>
      <c r="D493" s="9" t="inlineStr">
        <is>
          <t>VA</t>
        </is>
      </c>
      <c r="E493" s="9" t="inlineStr">
        <is>
          <t>Private</t>
        </is>
      </c>
      <c r="F493" s="11" t="n">
        <v>25319</v>
      </c>
      <c r="G493" s="11" t="n">
        <v>59159</v>
      </c>
      <c r="H493" s="9">
        <f>COUNTIF($G$5:$G$1531,"&gt;"&amp;G493)+1</f>
        <v/>
      </c>
      <c r="I493" s="9" t="inlineStr"/>
      <c r="J493" s="11">
        <f>IF(E493="Private",F493,"")</f>
        <v/>
      </c>
      <c r="K493" s="11">
        <f>IF(E493="Private",G493,"")</f>
        <v/>
      </c>
    </row>
    <row r="494">
      <c r="A494" s="9" t="n">
        <v>130776</v>
      </c>
      <c r="B494" s="9" t="inlineStr">
        <is>
          <t>Western Connecticut State University</t>
        </is>
      </c>
      <c r="C494" s="9" t="inlineStr">
        <is>
          <t>Danbury</t>
        </is>
      </c>
      <c r="D494" s="9" t="inlineStr">
        <is>
          <t>CT</t>
        </is>
      </c>
      <c r="E494" s="9" t="inlineStr">
        <is>
          <t>Public</t>
        </is>
      </c>
      <c r="F494" s="11" t="n">
        <v>17604</v>
      </c>
      <c r="G494" s="11" t="n">
        <v>59115</v>
      </c>
      <c r="H494" s="9">
        <f>COUNTIF($G$5:$G$1531,"&gt;"&amp;G494)+1</f>
        <v/>
      </c>
      <c r="I494" s="9" t="inlineStr"/>
      <c r="J494" s="11">
        <f>IF(E494="Private",F494,"")</f>
        <v/>
      </c>
      <c r="K494" s="11">
        <f>IF(E494="Private",G494,"")</f>
        <v/>
      </c>
    </row>
    <row r="495">
      <c r="A495" s="9" t="n">
        <v>110608</v>
      </c>
      <c r="B495" s="9" t="inlineStr">
        <is>
          <t>California State University-Northridge</t>
        </is>
      </c>
      <c r="C495" s="9" t="inlineStr">
        <is>
          <t>Northridge</t>
        </is>
      </c>
      <c r="D495" s="9" t="inlineStr">
        <is>
          <t>CA</t>
        </is>
      </c>
      <c r="E495" s="9" t="inlineStr">
        <is>
          <t>Public</t>
        </is>
      </c>
      <c r="F495" s="11" t="n">
        <v>7021</v>
      </c>
      <c r="G495" s="11" t="n">
        <v>59115</v>
      </c>
      <c r="H495" s="9">
        <f>COUNTIF($G$5:$G$1531,"&gt;"&amp;G495)+1</f>
        <v/>
      </c>
      <c r="I495" s="9" t="inlineStr"/>
      <c r="J495" s="11">
        <f>IF(E495="Private",F495,"")</f>
        <v/>
      </c>
      <c r="K495" s="11">
        <f>IF(E495="Private",G495,"")</f>
        <v/>
      </c>
    </row>
    <row r="496">
      <c r="A496" s="9" t="n">
        <v>170806</v>
      </c>
      <c r="B496" s="9" t="inlineStr">
        <is>
          <t>Madonna University</t>
        </is>
      </c>
      <c r="C496" s="9" t="inlineStr">
        <is>
          <t>Livonia</t>
        </is>
      </c>
      <c r="D496" s="9" t="inlineStr">
        <is>
          <t>MI</t>
        </is>
      </c>
      <c r="E496" s="9" t="inlineStr">
        <is>
          <t>Private</t>
        </is>
      </c>
      <c r="F496" s="11" t="n">
        <v>17755</v>
      </c>
      <c r="G496" s="11" t="n">
        <v>59058</v>
      </c>
      <c r="H496" s="9">
        <f>COUNTIF($G$5:$G$1531,"&gt;"&amp;G496)+1</f>
        <v/>
      </c>
      <c r="I496" s="9" t="inlineStr"/>
      <c r="J496" s="11">
        <f>IF(E496="Private",F496,"")</f>
        <v/>
      </c>
      <c r="K496" s="11">
        <f>IF(E496="Private",G496,"")</f>
        <v/>
      </c>
    </row>
    <row r="497">
      <c r="A497" s="9" t="n">
        <v>161518</v>
      </c>
      <c r="B497" s="9" t="inlineStr">
        <is>
          <t>Saint Joseph's College of Maine</t>
        </is>
      </c>
      <c r="C497" s="9" t="inlineStr">
        <is>
          <t>Standish</t>
        </is>
      </c>
      <c r="D497" s="9" t="inlineStr">
        <is>
          <t>ME</t>
        </is>
      </c>
      <c r="E497" s="9" t="inlineStr">
        <is>
          <t>Private</t>
        </is>
      </c>
      <c r="F497" s="11" t="n">
        <v>27555</v>
      </c>
      <c r="G497" s="11" t="n">
        <v>59045</v>
      </c>
      <c r="H497" s="9">
        <f>COUNTIF($G$5:$G$1531,"&gt;"&amp;G497)+1</f>
        <v/>
      </c>
      <c r="I497" s="9" t="inlineStr"/>
      <c r="J497" s="11">
        <f>IF(E497="Private",F497,"")</f>
        <v/>
      </c>
      <c r="K497" s="11">
        <f>IF(E497="Private",G497,"")</f>
        <v/>
      </c>
    </row>
    <row r="498">
      <c r="A498" s="9" t="n">
        <v>157085</v>
      </c>
      <c r="B498" s="9" t="inlineStr">
        <is>
          <t>University of Kentucky</t>
        </is>
      </c>
      <c r="C498" s="9" t="inlineStr">
        <is>
          <t>Lexington</t>
        </is>
      </c>
      <c r="D498" s="9" t="inlineStr">
        <is>
          <t>KY</t>
        </is>
      </c>
      <c r="E498" s="9" t="inlineStr">
        <is>
          <t>Public</t>
        </is>
      </c>
      <c r="F498" s="11" t="n">
        <v>18851</v>
      </c>
      <c r="G498" s="11" t="n">
        <v>59025</v>
      </c>
      <c r="H498" s="9">
        <f>COUNTIF($G$5:$G$1531,"&gt;"&amp;G498)+1</f>
        <v/>
      </c>
      <c r="I498" s="9" t="inlineStr"/>
      <c r="J498" s="11">
        <f>IF(E498="Private",F498,"")</f>
        <v/>
      </c>
      <c r="K498" s="11">
        <f>IF(E498="Private",G498,"")</f>
        <v/>
      </c>
    </row>
    <row r="499">
      <c r="A499" s="9" t="n">
        <v>110486</v>
      </c>
      <c r="B499" s="9" t="inlineStr">
        <is>
          <t>California State University-Bakersfield</t>
        </is>
      </c>
      <c r="C499" s="9" t="inlineStr">
        <is>
          <t>Bakersfield</t>
        </is>
      </c>
      <c r="D499" s="9" t="inlineStr">
        <is>
          <t>CA</t>
        </is>
      </c>
      <c r="E499" s="9" t="inlineStr">
        <is>
          <t>Public</t>
        </is>
      </c>
      <c r="F499" s="11" t="n">
        <v>5652</v>
      </c>
      <c r="G499" s="11" t="n">
        <v>59009</v>
      </c>
      <c r="H499" s="9">
        <f>COUNTIF($G$5:$G$1531,"&gt;"&amp;G499)+1</f>
        <v/>
      </c>
      <c r="I499" s="9" t="inlineStr"/>
      <c r="J499" s="11">
        <f>IF(E499="Private",F499,"")</f>
        <v/>
      </c>
      <c r="K499" s="11">
        <f>IF(E499="Private",G499,"")</f>
        <v/>
      </c>
    </row>
    <row r="500">
      <c r="A500" s="9" t="n">
        <v>225414</v>
      </c>
      <c r="B500" s="9" t="inlineStr">
        <is>
          <t>University of Houston-Clear Lake</t>
        </is>
      </c>
      <c r="C500" s="9" t="inlineStr">
        <is>
          <t>Houston</t>
        </is>
      </c>
      <c r="D500" s="9" t="inlineStr">
        <is>
          <t>TX</t>
        </is>
      </c>
      <c r="E500" s="9" t="inlineStr">
        <is>
          <t>Public</t>
        </is>
      </c>
      <c r="F500" s="11" t="n">
        <v>15563</v>
      </c>
      <c r="G500" s="11" t="n">
        <v>59004</v>
      </c>
      <c r="H500" s="9">
        <f>COUNTIF($G$5:$G$1531,"&gt;"&amp;G500)+1</f>
        <v/>
      </c>
      <c r="I500" s="9" t="inlineStr"/>
      <c r="J500" s="11">
        <f>IF(E500="Private",F500,"")</f>
        <v/>
      </c>
      <c r="K500" s="11">
        <f>IF(E500="Private",G500,"")</f>
        <v/>
      </c>
    </row>
    <row r="501">
      <c r="A501" s="9" t="n">
        <v>114813</v>
      </c>
      <c r="B501" s="9" t="inlineStr">
        <is>
          <t>Fresno Pacific University</t>
        </is>
      </c>
      <c r="C501" s="9" t="inlineStr">
        <is>
          <t>Fresno</t>
        </is>
      </c>
      <c r="D501" s="9" t="inlineStr">
        <is>
          <t>CA</t>
        </is>
      </c>
      <c r="E501" s="9" t="inlineStr">
        <is>
          <t>Private</t>
        </is>
      </c>
      <c r="F501" s="11" t="n">
        <v>13630</v>
      </c>
      <c r="G501" s="11" t="n">
        <v>58896</v>
      </c>
      <c r="H501" s="9">
        <f>COUNTIF($G$5:$G$1531,"&gt;"&amp;G501)+1</f>
        <v/>
      </c>
      <c r="I501" s="9" t="inlineStr"/>
      <c r="J501" s="11">
        <f>IF(E501="Private",F501,"")</f>
        <v/>
      </c>
      <c r="K501" s="11">
        <f>IF(E501="Private",G501,"")</f>
        <v/>
      </c>
    </row>
    <row r="502">
      <c r="A502" s="9" t="n">
        <v>212601</v>
      </c>
      <c r="B502" s="9" t="inlineStr">
        <is>
          <t>Gannon University</t>
        </is>
      </c>
      <c r="C502" s="9" t="inlineStr">
        <is>
          <t>Erie</t>
        </is>
      </c>
      <c r="D502" s="9" t="inlineStr">
        <is>
          <t>PA</t>
        </is>
      </c>
      <c r="E502" s="9" t="inlineStr">
        <is>
          <t>Private</t>
        </is>
      </c>
      <c r="F502" s="11" t="n">
        <v>22553</v>
      </c>
      <c r="G502" s="11" t="n">
        <v>58845</v>
      </c>
      <c r="H502" s="9">
        <f>COUNTIF($G$5:$G$1531,"&gt;"&amp;G502)+1</f>
        <v/>
      </c>
      <c r="I502" s="9" t="inlineStr"/>
      <c r="J502" s="11">
        <f>IF(E502="Private",F502,"")</f>
        <v/>
      </c>
      <c r="K502" s="11">
        <f>IF(E502="Private",G502,"")</f>
        <v/>
      </c>
    </row>
    <row r="503">
      <c r="A503" s="9" t="n">
        <v>192749</v>
      </c>
      <c r="B503" s="9" t="inlineStr">
        <is>
          <t>Manhattanville University</t>
        </is>
      </c>
      <c r="C503" s="9" t="inlineStr">
        <is>
          <t>Purchase</t>
        </is>
      </c>
      <c r="D503" s="9" t="inlineStr">
        <is>
          <t>NY</t>
        </is>
      </c>
      <c r="E503" s="9" t="inlineStr">
        <is>
          <t>Private</t>
        </is>
      </c>
      <c r="F503" s="11" t="n">
        <v>20991</v>
      </c>
      <c r="G503" s="11" t="n">
        <v>58832</v>
      </c>
      <c r="H503" s="9">
        <f>COUNTIF($G$5:$G$1531,"&gt;"&amp;G503)+1</f>
        <v/>
      </c>
      <c r="I503" s="9" t="inlineStr"/>
      <c r="J503" s="11">
        <f>IF(E503="Private",F503,"")</f>
        <v/>
      </c>
      <c r="K503" s="11">
        <f>IF(E503="Private",G503,"")</f>
        <v/>
      </c>
    </row>
    <row r="504">
      <c r="A504" s="9" t="n">
        <v>173045</v>
      </c>
      <c r="B504" s="9" t="inlineStr">
        <is>
          <t>Augsburg University</t>
        </is>
      </c>
      <c r="C504" s="9" t="inlineStr">
        <is>
          <t>Minneapolis</t>
        </is>
      </c>
      <c r="D504" s="9" t="inlineStr">
        <is>
          <t>MN</t>
        </is>
      </c>
      <c r="E504" s="9" t="inlineStr">
        <is>
          <t>Private</t>
        </is>
      </c>
      <c r="F504" s="11" t="n">
        <v>23873</v>
      </c>
      <c r="G504" s="11" t="n">
        <v>58829</v>
      </c>
      <c r="H504" s="9">
        <f>COUNTIF($G$5:$G$1531,"&gt;"&amp;G504)+1</f>
        <v/>
      </c>
      <c r="I504" s="9" t="inlineStr"/>
      <c r="J504" s="11">
        <f>IF(E504="Private",F504,"")</f>
        <v/>
      </c>
      <c r="K504" s="11">
        <f>IF(E504="Private",G504,"")</f>
        <v/>
      </c>
    </row>
    <row r="505">
      <c r="A505" s="9" t="n">
        <v>227845</v>
      </c>
      <c r="B505" s="9" t="inlineStr">
        <is>
          <t>Saint Edward's University</t>
        </is>
      </c>
      <c r="C505" s="9" t="inlineStr">
        <is>
          <t>Austin</t>
        </is>
      </c>
      <c r="D505" s="9" t="inlineStr">
        <is>
          <t>TX</t>
        </is>
      </c>
      <c r="E505" s="9" t="inlineStr">
        <is>
          <t>Private</t>
        </is>
      </c>
      <c r="F505" s="11" t="n">
        <v>25578</v>
      </c>
      <c r="G505" s="11" t="n">
        <v>58826</v>
      </c>
      <c r="H505" s="9">
        <f>COUNTIF($G$5:$G$1531,"&gt;"&amp;G505)+1</f>
        <v/>
      </c>
      <c r="I505" s="9" t="inlineStr"/>
      <c r="J505" s="11">
        <f>IF(E505="Private",F505,"")</f>
        <v/>
      </c>
      <c r="K505" s="11">
        <f>IF(E505="Private",G505,"")</f>
        <v/>
      </c>
    </row>
    <row r="506">
      <c r="A506" s="9" t="n">
        <v>168546</v>
      </c>
      <c r="B506" s="9" t="inlineStr">
        <is>
          <t>Albion College</t>
        </is>
      </c>
      <c r="C506" s="9" t="inlineStr">
        <is>
          <t>Albion</t>
        </is>
      </c>
      <c r="D506" s="9" t="inlineStr">
        <is>
          <t>MI</t>
        </is>
      </c>
      <c r="E506" s="9" t="inlineStr">
        <is>
          <t>Private</t>
        </is>
      </c>
      <c r="F506" s="11" t="n">
        <v>14301</v>
      </c>
      <c r="G506" s="11" t="n">
        <v>58799</v>
      </c>
      <c r="H506" s="9">
        <f>COUNTIF($G$5:$G$1531,"&gt;"&amp;G506)+1</f>
        <v/>
      </c>
      <c r="I506" s="9" t="inlineStr"/>
      <c r="J506" s="11">
        <f>IF(E506="Private",F506,"")</f>
        <v/>
      </c>
      <c r="K506" s="11">
        <f>IF(E506="Private",G506,"")</f>
        <v/>
      </c>
    </row>
    <row r="507">
      <c r="A507" s="9" t="n">
        <v>151786</v>
      </c>
      <c r="B507" s="9" t="inlineStr">
        <is>
          <t>Marian University (Indianapolis, IN)</t>
        </is>
      </c>
      <c r="C507" s="9" t="inlineStr">
        <is>
          <t>Indianapolis</t>
        </is>
      </c>
      <c r="D507" s="9" t="inlineStr">
        <is>
          <t>IN</t>
        </is>
      </c>
      <c r="E507" s="9" t="inlineStr">
        <is>
          <t>Private</t>
        </is>
      </c>
      <c r="F507" s="11" t="n">
        <v>24018</v>
      </c>
      <c r="G507" s="11" t="n">
        <v>58759</v>
      </c>
      <c r="H507" s="9">
        <f>COUNTIF($G$5:$G$1531,"&gt;"&amp;G507)+1</f>
        <v/>
      </c>
      <c r="I507" s="9" t="inlineStr"/>
      <c r="J507" s="11">
        <f>IF(E507="Private",F507,"")</f>
        <v/>
      </c>
      <c r="K507" s="11">
        <f>IF(E507="Private",G507,"")</f>
        <v/>
      </c>
    </row>
    <row r="508">
      <c r="A508" s="9" t="n">
        <v>143118</v>
      </c>
      <c r="B508" s="9" t="inlineStr">
        <is>
          <t>Aurora University</t>
        </is>
      </c>
      <c r="C508" s="9" t="inlineStr">
        <is>
          <t>Aurora</t>
        </is>
      </c>
      <c r="D508" s="9" t="inlineStr">
        <is>
          <t>IL</t>
        </is>
      </c>
      <c r="E508" s="9" t="inlineStr">
        <is>
          <t>Private</t>
        </is>
      </c>
      <c r="F508" s="11" t="n">
        <v>18838</v>
      </c>
      <c r="G508" s="11" t="n">
        <v>58709</v>
      </c>
      <c r="H508" s="9">
        <f>COUNTIF($G$5:$G$1531,"&gt;"&amp;G508)+1</f>
        <v/>
      </c>
      <c r="I508" s="9" t="inlineStr"/>
      <c r="J508" s="11">
        <f>IF(E508="Private",F508,"")</f>
        <v/>
      </c>
      <c r="K508" s="11">
        <f>IF(E508="Private",G508,"")</f>
        <v/>
      </c>
    </row>
    <row r="509">
      <c r="A509" s="9" t="n">
        <v>210571</v>
      </c>
      <c r="B509" s="9" t="inlineStr">
        <is>
          <t>Albright College</t>
        </is>
      </c>
      <c r="C509" s="9" t="inlineStr">
        <is>
          <t>Reading</t>
        </is>
      </c>
      <c r="D509" s="9" t="inlineStr">
        <is>
          <t>PA</t>
        </is>
      </c>
      <c r="E509" s="9" t="inlineStr">
        <is>
          <t>Private</t>
        </is>
      </c>
      <c r="F509" s="11" t="n">
        <v>20024</v>
      </c>
      <c r="G509" s="11" t="n">
        <v>58700</v>
      </c>
      <c r="H509" s="9">
        <f>COUNTIF($G$5:$G$1531,"&gt;"&amp;G509)+1</f>
        <v/>
      </c>
      <c r="I509" s="9" t="inlineStr"/>
      <c r="J509" s="11">
        <f>IF(E509="Private",F509,"")</f>
        <v/>
      </c>
      <c r="K509" s="11">
        <f>IF(E509="Private",G509,"")</f>
        <v/>
      </c>
    </row>
    <row r="510">
      <c r="A510" s="9" t="n">
        <v>148627</v>
      </c>
      <c r="B510" s="9" t="inlineStr">
        <is>
          <t>Saint Xavier University</t>
        </is>
      </c>
      <c r="C510" s="9" t="inlineStr">
        <is>
          <t>Chicago</t>
        </is>
      </c>
      <c r="D510" s="9" t="inlineStr">
        <is>
          <t>IL</t>
        </is>
      </c>
      <c r="E510" s="9" t="inlineStr">
        <is>
          <t>Private</t>
        </is>
      </c>
      <c r="F510" s="11" t="n">
        <v>10970</v>
      </c>
      <c r="G510" s="11" t="n">
        <v>58656</v>
      </c>
      <c r="H510" s="9">
        <f>COUNTIF($G$5:$G$1531,"&gt;"&amp;G510)+1</f>
        <v/>
      </c>
      <c r="I510" s="9" t="inlineStr"/>
      <c r="J510" s="11">
        <f>IF(E510="Private",F510,"")</f>
        <v/>
      </c>
      <c r="K510" s="11">
        <f>IF(E510="Private",G510,"")</f>
        <v/>
      </c>
    </row>
    <row r="511">
      <c r="A511" s="9" t="n">
        <v>171571</v>
      </c>
      <c r="B511" s="9" t="inlineStr">
        <is>
          <t>Oakland University</t>
        </is>
      </c>
      <c r="C511" s="9" t="inlineStr">
        <is>
          <t>Rochester Hills</t>
        </is>
      </c>
      <c r="D511" s="9" t="inlineStr">
        <is>
          <t>MI</t>
        </is>
      </c>
      <c r="E511" s="9" t="inlineStr">
        <is>
          <t>Public</t>
        </is>
      </c>
      <c r="F511" s="11" t="n">
        <v>9120</v>
      </c>
      <c r="G511" s="11" t="n">
        <v>58612</v>
      </c>
      <c r="H511" s="9">
        <f>COUNTIF($G$5:$G$1531,"&gt;"&amp;G511)+1</f>
        <v/>
      </c>
      <c r="I511" s="9" t="inlineStr"/>
      <c r="J511" s="11">
        <f>IF(E511="Private",F511,"")</f>
        <v/>
      </c>
      <c r="K511" s="11">
        <f>IF(E511="Private",G511,"")</f>
        <v/>
      </c>
    </row>
    <row r="512">
      <c r="A512" s="9" t="n">
        <v>147013</v>
      </c>
      <c r="B512" s="9" t="inlineStr">
        <is>
          <t>McKendree University</t>
        </is>
      </c>
      <c r="C512" s="9" t="inlineStr">
        <is>
          <t>Lebanon</t>
        </is>
      </c>
      <c r="D512" s="9" t="inlineStr">
        <is>
          <t>IL</t>
        </is>
      </c>
      <c r="E512" s="9" t="inlineStr">
        <is>
          <t>Private</t>
        </is>
      </c>
      <c r="F512" s="11" t="n">
        <v>24717</v>
      </c>
      <c r="G512" s="11" t="n">
        <v>58572</v>
      </c>
      <c r="H512" s="9">
        <f>COUNTIF($G$5:$G$1531,"&gt;"&amp;G512)+1</f>
        <v/>
      </c>
      <c r="I512" s="9" t="inlineStr"/>
      <c r="J512" s="11">
        <f>IF(E512="Private",F512,"")</f>
        <v/>
      </c>
      <c r="K512" s="11">
        <f>IF(E512="Private",G512,"")</f>
        <v/>
      </c>
    </row>
    <row r="513">
      <c r="A513" s="9" t="n">
        <v>128771</v>
      </c>
      <c r="B513" s="9" t="inlineStr">
        <is>
          <t>Central Connecticut State University</t>
        </is>
      </c>
      <c r="C513" s="9" t="inlineStr">
        <is>
          <t>New Britain</t>
        </is>
      </c>
      <c r="D513" s="9" t="inlineStr">
        <is>
          <t>CT</t>
        </is>
      </c>
      <c r="E513" s="9" t="inlineStr">
        <is>
          <t>Public</t>
        </is>
      </c>
      <c r="F513" s="11" t="n">
        <v>16857</v>
      </c>
      <c r="G513" s="11" t="n">
        <v>58562</v>
      </c>
      <c r="H513" s="9">
        <f>COUNTIF($G$5:$G$1531,"&gt;"&amp;G513)+1</f>
        <v/>
      </c>
      <c r="I513" s="9" t="inlineStr"/>
      <c r="J513" s="11">
        <f>IF(E513="Private",F513,"")</f>
        <v/>
      </c>
      <c r="K513" s="11">
        <f>IF(E513="Private",G513,"")</f>
        <v/>
      </c>
    </row>
    <row r="514">
      <c r="A514" s="9" t="n">
        <v>240268</v>
      </c>
      <c r="B514" s="9" t="inlineStr">
        <is>
          <t>University of Wisconsin-Eau Claire</t>
        </is>
      </c>
      <c r="C514" s="9" t="inlineStr">
        <is>
          <t>Eau Claire</t>
        </is>
      </c>
      <c r="D514" s="9" t="inlineStr">
        <is>
          <t>WI</t>
        </is>
      </c>
      <c r="E514" s="9" t="inlineStr">
        <is>
          <t>Public</t>
        </is>
      </c>
      <c r="F514" s="11" t="n">
        <v>16550</v>
      </c>
      <c r="G514" s="11" t="n">
        <v>58561</v>
      </c>
      <c r="H514" s="9">
        <f>COUNTIF($G$5:$G$1531,"&gt;"&amp;G514)+1</f>
        <v/>
      </c>
      <c r="I514" s="9" t="inlineStr"/>
      <c r="J514" s="11">
        <f>IF(E514="Private",F514,"")</f>
        <v/>
      </c>
      <c r="K514" s="11">
        <f>IF(E514="Private",G514,"")</f>
        <v/>
      </c>
    </row>
    <row r="515">
      <c r="A515" s="9" t="n">
        <v>237066</v>
      </c>
      <c r="B515" s="9" t="inlineStr">
        <is>
          <t>Whitworth University</t>
        </is>
      </c>
      <c r="C515" s="9" t="inlineStr">
        <is>
          <t>Spokane</t>
        </is>
      </c>
      <c r="D515" s="9" t="inlineStr">
        <is>
          <t>WA</t>
        </is>
      </c>
      <c r="E515" s="9" t="inlineStr">
        <is>
          <t>Private</t>
        </is>
      </c>
      <c r="F515" s="11" t="n">
        <v>26534</v>
      </c>
      <c r="G515" s="11" t="n">
        <v>58561</v>
      </c>
      <c r="H515" s="9">
        <f>COUNTIF($G$5:$G$1531,"&gt;"&amp;G515)+1</f>
        <v/>
      </c>
      <c r="I515" s="9" t="inlineStr"/>
      <c r="J515" s="11">
        <f>IF(E515="Private",F515,"")</f>
        <v/>
      </c>
      <c r="K515" s="11">
        <f>IF(E515="Private",G515,"")</f>
        <v/>
      </c>
    </row>
    <row r="516">
      <c r="A516" s="9" t="n">
        <v>216694</v>
      </c>
      <c r="B516" s="9" t="inlineStr">
        <is>
          <t>Waynesburg University</t>
        </is>
      </c>
      <c r="C516" s="9" t="inlineStr">
        <is>
          <t>Waynesburg</t>
        </is>
      </c>
      <c r="D516" s="9" t="inlineStr">
        <is>
          <t>PA</t>
        </is>
      </c>
      <c r="E516" s="9" t="inlineStr">
        <is>
          <t>Private</t>
        </is>
      </c>
      <c r="F516" s="11" t="n">
        <v>18235</v>
      </c>
      <c r="G516" s="11" t="n">
        <v>58537</v>
      </c>
      <c r="H516" s="9">
        <f>COUNTIF($G$5:$G$1531,"&gt;"&amp;G516)+1</f>
        <v/>
      </c>
      <c r="I516" s="9" t="inlineStr"/>
      <c r="J516" s="11">
        <f>IF(E516="Private",F516,"")</f>
        <v/>
      </c>
      <c r="K516" s="11">
        <f>IF(E516="Private",G516,"")</f>
        <v/>
      </c>
    </row>
    <row r="517">
      <c r="A517" s="9" t="n">
        <v>175272</v>
      </c>
      <c r="B517" s="9" t="inlineStr">
        <is>
          <t>Winona State University</t>
        </is>
      </c>
      <c r="C517" s="9" t="inlineStr">
        <is>
          <t>Winona</t>
        </is>
      </c>
      <c r="D517" s="9" t="inlineStr">
        <is>
          <t>MN</t>
        </is>
      </c>
      <c r="E517" s="9" t="inlineStr">
        <is>
          <t>Public</t>
        </is>
      </c>
      <c r="F517" s="11" t="n">
        <v>17503</v>
      </c>
      <c r="G517" s="11" t="n">
        <v>58532</v>
      </c>
      <c r="H517" s="9">
        <f>COUNTIF($G$5:$G$1531,"&gt;"&amp;G517)+1</f>
        <v/>
      </c>
      <c r="I517" s="9" t="inlineStr"/>
      <c r="J517" s="11">
        <f>IF(E517="Private",F517,"")</f>
        <v/>
      </c>
      <c r="K517" s="11">
        <f>IF(E517="Private",G517,"")</f>
        <v/>
      </c>
    </row>
    <row r="518">
      <c r="A518" s="9" t="n">
        <v>196237</v>
      </c>
      <c r="B518" s="9" t="inlineStr">
        <is>
          <t>SUNY Old Westbury</t>
        </is>
      </c>
      <c r="C518" s="9" t="inlineStr">
        <is>
          <t>Old Westbury</t>
        </is>
      </c>
      <c r="D518" s="9" t="inlineStr">
        <is>
          <t>NY</t>
        </is>
      </c>
      <c r="E518" s="9" t="inlineStr">
        <is>
          <t>Public</t>
        </is>
      </c>
      <c r="F518" s="11" t="n">
        <v>11282</v>
      </c>
      <c r="G518" s="11" t="n">
        <v>58526</v>
      </c>
      <c r="H518" s="9">
        <f>COUNTIF($G$5:$G$1531,"&gt;"&amp;G518)+1</f>
        <v/>
      </c>
      <c r="I518" s="9" t="inlineStr"/>
      <c r="J518" s="11">
        <f>IF(E518="Private",F518,"")</f>
        <v/>
      </c>
      <c r="K518" s="11">
        <f>IF(E518="Private",G518,"")</f>
        <v/>
      </c>
    </row>
    <row r="519">
      <c r="A519" s="9" t="n">
        <v>102049</v>
      </c>
      <c r="B519" s="9" t="inlineStr">
        <is>
          <t>Samford University</t>
        </is>
      </c>
      <c r="C519" s="9" t="inlineStr">
        <is>
          <t>Birmingham</t>
        </is>
      </c>
      <c r="D519" s="9" t="inlineStr">
        <is>
          <t>AL</t>
        </is>
      </c>
      <c r="E519" s="9" t="inlineStr">
        <is>
          <t>Private</t>
        </is>
      </c>
      <c r="F519" s="11" t="n">
        <v>32622</v>
      </c>
      <c r="G519" s="11" t="n">
        <v>58469</v>
      </c>
      <c r="H519" s="9">
        <f>COUNTIF($G$5:$G$1531,"&gt;"&amp;G519)+1</f>
        <v/>
      </c>
      <c r="I519" s="9" t="inlineStr"/>
      <c r="J519" s="11">
        <f>IF(E519="Private",F519,"")</f>
        <v/>
      </c>
      <c r="K519" s="11">
        <f>IF(E519="Private",G519,"")</f>
        <v/>
      </c>
    </row>
    <row r="520">
      <c r="A520" s="9" t="n">
        <v>233295</v>
      </c>
      <c r="B520" s="9" t="inlineStr">
        <is>
          <t>Randolph-Macon College</t>
        </is>
      </c>
      <c r="C520" s="9" t="inlineStr">
        <is>
          <t>Ashland</t>
        </is>
      </c>
      <c r="D520" s="9" t="inlineStr">
        <is>
          <t>VA</t>
        </is>
      </c>
      <c r="E520" s="9" t="inlineStr">
        <is>
          <t>Private</t>
        </is>
      </c>
      <c r="F520" s="11" t="n">
        <v>27866</v>
      </c>
      <c r="G520" s="11" t="n">
        <v>58448</v>
      </c>
      <c r="H520" s="9">
        <f>COUNTIF($G$5:$G$1531,"&gt;"&amp;G520)+1</f>
        <v/>
      </c>
      <c r="I520" s="9" t="inlineStr"/>
      <c r="J520" s="11">
        <f>IF(E520="Private",F520,"")</f>
        <v/>
      </c>
      <c r="K520" s="11">
        <f>IF(E520="Private",G520,"")</f>
        <v/>
      </c>
    </row>
    <row r="521">
      <c r="A521" s="9" t="n">
        <v>233541</v>
      </c>
      <c r="B521" s="9" t="inlineStr">
        <is>
          <t>Shenandoah University</t>
        </is>
      </c>
      <c r="C521" s="9" t="inlineStr">
        <is>
          <t>Winchester</t>
        </is>
      </c>
      <c r="D521" s="9" t="inlineStr">
        <is>
          <t>VA</t>
        </is>
      </c>
      <c r="E521" s="9" t="inlineStr">
        <is>
          <t>Private</t>
        </is>
      </c>
      <c r="F521" s="11" t="n">
        <v>30298</v>
      </c>
      <c r="G521" s="11" t="n">
        <v>58433</v>
      </c>
      <c r="H521" s="9">
        <f>COUNTIF($G$5:$G$1531,"&gt;"&amp;G521)+1</f>
        <v/>
      </c>
      <c r="I521" s="9" t="inlineStr"/>
      <c r="J521" s="11">
        <f>IF(E521="Private",F521,"")</f>
        <v/>
      </c>
      <c r="K521" s="11">
        <f>IF(E521="Private",G521,"")</f>
        <v/>
      </c>
    </row>
    <row r="522">
      <c r="A522" s="9" t="n">
        <v>170301</v>
      </c>
      <c r="B522" s="9" t="inlineStr">
        <is>
          <t>Hope College</t>
        </is>
      </c>
      <c r="C522" s="9" t="inlineStr">
        <is>
          <t>Holland</t>
        </is>
      </c>
      <c r="D522" s="9" t="inlineStr">
        <is>
          <t>MI</t>
        </is>
      </c>
      <c r="E522" s="9" t="inlineStr">
        <is>
          <t>Private</t>
        </is>
      </c>
      <c r="F522" s="11" t="n">
        <v>27182</v>
      </c>
      <c r="G522" s="11" t="n">
        <v>58427</v>
      </c>
      <c r="H522" s="9">
        <f>COUNTIF($G$5:$G$1531,"&gt;"&amp;G522)+1</f>
        <v/>
      </c>
      <c r="I522" s="9" t="inlineStr"/>
      <c r="J522" s="11">
        <f>IF(E522="Private",F522,"")</f>
        <v/>
      </c>
      <c r="K522" s="11">
        <f>IF(E522="Private",G522,"")</f>
        <v/>
      </c>
    </row>
    <row r="523">
      <c r="A523" s="9" t="n">
        <v>166939</v>
      </c>
      <c r="B523" s="9" t="inlineStr">
        <is>
          <t>Mount Holyoke College</t>
        </is>
      </c>
      <c r="C523" s="9" t="inlineStr">
        <is>
          <t>South Hadley</t>
        </is>
      </c>
      <c r="D523" s="9" t="inlineStr">
        <is>
          <t>MA</t>
        </is>
      </c>
      <c r="E523" s="9" t="inlineStr">
        <is>
          <t>Private</t>
        </is>
      </c>
      <c r="F523" s="11" t="n">
        <v>26441</v>
      </c>
      <c r="G523" s="11" t="n">
        <v>58418</v>
      </c>
      <c r="H523" s="9">
        <f>COUNTIF($G$5:$G$1531,"&gt;"&amp;G523)+1</f>
        <v/>
      </c>
      <c r="I523" s="9" t="inlineStr"/>
      <c r="J523" s="11">
        <f>IF(E523="Private",F523,"")</f>
        <v/>
      </c>
      <c r="K523" s="11">
        <f>IF(E523="Private",G523,"")</f>
        <v/>
      </c>
    </row>
    <row r="524">
      <c r="A524" s="9" t="n">
        <v>230852</v>
      </c>
      <c r="B524" s="9" t="inlineStr">
        <is>
          <t>Champlain College</t>
        </is>
      </c>
      <c r="C524" s="9" t="inlineStr">
        <is>
          <t>Burlington</t>
        </is>
      </c>
      <c r="D524" s="9" t="inlineStr">
        <is>
          <t>VT</t>
        </is>
      </c>
      <c r="E524" s="9" t="inlineStr">
        <is>
          <t>Private</t>
        </is>
      </c>
      <c r="F524" s="11" t="n">
        <v>35860</v>
      </c>
      <c r="G524" s="11" t="n">
        <v>58386</v>
      </c>
      <c r="H524" s="9">
        <f>COUNTIF($G$5:$G$1531,"&gt;"&amp;G524)+1</f>
        <v/>
      </c>
      <c r="I524" s="9" t="inlineStr"/>
      <c r="J524" s="11">
        <f>IF(E524="Private",F524,"")</f>
        <v/>
      </c>
      <c r="K524" s="11">
        <f>IF(E524="Private",G524,"")</f>
        <v/>
      </c>
    </row>
    <row r="525">
      <c r="A525" s="9" t="n">
        <v>169080</v>
      </c>
      <c r="B525" s="9" t="inlineStr">
        <is>
          <t>Calvin University</t>
        </is>
      </c>
      <c r="C525" s="9" t="inlineStr">
        <is>
          <t>Grand Rapids</t>
        </is>
      </c>
      <c r="D525" s="9" t="inlineStr">
        <is>
          <t>MI</t>
        </is>
      </c>
      <c r="E525" s="9" t="inlineStr">
        <is>
          <t>Private</t>
        </is>
      </c>
      <c r="F525" s="11" t="n">
        <v>22992</v>
      </c>
      <c r="G525" s="11" t="n">
        <v>58375</v>
      </c>
      <c r="H525" s="9">
        <f>COUNTIF($G$5:$G$1531,"&gt;"&amp;G525)+1</f>
        <v/>
      </c>
      <c r="I525" s="9" t="inlineStr"/>
      <c r="J525" s="11">
        <f>IF(E525="Private",F525,"")</f>
        <v/>
      </c>
      <c r="K525" s="11">
        <f>IF(E525="Private",G525,"")</f>
        <v/>
      </c>
    </row>
    <row r="526">
      <c r="A526" s="9" t="n">
        <v>239716</v>
      </c>
      <c r="B526" s="9" t="inlineStr">
        <is>
          <t>Saint Norbert College</t>
        </is>
      </c>
      <c r="C526" s="9" t="inlineStr">
        <is>
          <t>De Pere</t>
        </is>
      </c>
      <c r="D526" s="9" t="inlineStr">
        <is>
          <t>WI</t>
        </is>
      </c>
      <c r="E526" s="9" t="inlineStr">
        <is>
          <t>Private</t>
        </is>
      </c>
      <c r="F526" s="11" t="n">
        <v>26172</v>
      </c>
      <c r="G526" s="11" t="n">
        <v>58363</v>
      </c>
      <c r="H526" s="9">
        <f>COUNTIF($G$5:$G$1531,"&gt;"&amp;G526)+1</f>
        <v/>
      </c>
      <c r="I526" s="9" t="inlineStr"/>
      <c r="J526" s="11">
        <f>IF(E526="Private",F526,"")</f>
        <v/>
      </c>
      <c r="K526" s="11">
        <f>IF(E526="Private",G526,"")</f>
        <v/>
      </c>
    </row>
    <row r="527">
      <c r="A527" s="9" t="n">
        <v>140447</v>
      </c>
      <c r="B527" s="9" t="inlineStr">
        <is>
          <t>Mercer University</t>
        </is>
      </c>
      <c r="C527" s="9" t="inlineStr">
        <is>
          <t>Macon</t>
        </is>
      </c>
      <c r="D527" s="9" t="inlineStr">
        <is>
          <t>GA</t>
        </is>
      </c>
      <c r="E527" s="9" t="inlineStr">
        <is>
          <t>Private</t>
        </is>
      </c>
      <c r="F527" s="11" t="n">
        <v>23847</v>
      </c>
      <c r="G527" s="11" t="n">
        <v>58354</v>
      </c>
      <c r="H527" s="9">
        <f>COUNTIF($G$5:$G$1531,"&gt;"&amp;G527)+1</f>
        <v/>
      </c>
      <c r="I527" s="9" t="inlineStr"/>
      <c r="J527" s="11">
        <f>IF(E527="Private",F527,"")</f>
        <v/>
      </c>
      <c r="K527" s="11">
        <f>IF(E527="Private",G527,"")</f>
        <v/>
      </c>
    </row>
    <row r="528">
      <c r="A528" s="9" t="n">
        <v>204501</v>
      </c>
      <c r="B528" s="9" t="inlineStr">
        <is>
          <t>Oberlin College</t>
        </is>
      </c>
      <c r="C528" s="9" t="inlineStr">
        <is>
          <t>Oberlin</t>
        </is>
      </c>
      <c r="D528" s="9" t="inlineStr">
        <is>
          <t>OH</t>
        </is>
      </c>
      <c r="E528" s="9" t="inlineStr">
        <is>
          <t>Private</t>
        </is>
      </c>
      <c r="F528" s="11" t="n">
        <v>38645</v>
      </c>
      <c r="G528" s="11" t="n">
        <v>58343</v>
      </c>
      <c r="H528" s="9">
        <f>COUNTIF($G$5:$G$1531,"&gt;"&amp;G528)+1</f>
        <v/>
      </c>
      <c r="I528" s="9" t="inlineStr"/>
      <c r="J528" s="11">
        <f>IF(E528="Private",F528,"")</f>
        <v/>
      </c>
      <c r="K528" s="11">
        <f>IF(E528="Private",G528,"")</f>
        <v/>
      </c>
    </row>
    <row r="529">
      <c r="A529" s="9" t="n">
        <v>165699</v>
      </c>
      <c r="B529" s="9" t="inlineStr">
        <is>
          <t>Endicott College</t>
        </is>
      </c>
      <c r="C529" s="9" t="inlineStr">
        <is>
          <t>Beverly</t>
        </is>
      </c>
      <c r="D529" s="9" t="inlineStr">
        <is>
          <t>MA</t>
        </is>
      </c>
      <c r="E529" s="9" t="inlineStr">
        <is>
          <t>Private</t>
        </is>
      </c>
      <c r="F529" s="11" t="n">
        <v>40654</v>
      </c>
      <c r="G529" s="11" t="n">
        <v>58336</v>
      </c>
      <c r="H529" s="9">
        <f>COUNTIF($G$5:$G$1531,"&gt;"&amp;G529)+1</f>
        <v/>
      </c>
      <c r="I529" s="9" t="inlineStr"/>
      <c r="J529" s="11">
        <f>IF(E529="Private",F529,"")</f>
        <v/>
      </c>
      <c r="K529" s="11">
        <f>IF(E529="Private",G529,"")</f>
        <v/>
      </c>
    </row>
    <row r="530">
      <c r="A530" s="9" t="n">
        <v>211088</v>
      </c>
      <c r="B530" s="9" t="inlineStr">
        <is>
          <t>Arcadia University</t>
        </is>
      </c>
      <c r="C530" s="9" t="inlineStr">
        <is>
          <t>Glenside</t>
        </is>
      </c>
      <c r="D530" s="9" t="inlineStr">
        <is>
          <t>PA</t>
        </is>
      </c>
      <c r="E530" s="9" t="inlineStr">
        <is>
          <t>Private</t>
        </is>
      </c>
      <c r="F530" s="11" t="n">
        <v>29466</v>
      </c>
      <c r="G530" s="11" t="n">
        <v>58336</v>
      </c>
      <c r="H530" s="9">
        <f>COUNTIF($G$5:$G$1531,"&gt;"&amp;G530)+1</f>
        <v/>
      </c>
      <c r="I530" s="9" t="inlineStr"/>
      <c r="J530" s="11">
        <f>IF(E530="Private",F530,"")</f>
        <v/>
      </c>
      <c r="K530" s="11">
        <f>IF(E530="Private",G530,"")</f>
        <v/>
      </c>
    </row>
    <row r="531">
      <c r="A531" s="9" t="n">
        <v>195128</v>
      </c>
      <c r="B531" s="9" t="inlineStr">
        <is>
          <t>Russell Sage College</t>
        </is>
      </c>
      <c r="C531" s="9" t="inlineStr">
        <is>
          <t>Troy</t>
        </is>
      </c>
      <c r="D531" s="9" t="inlineStr">
        <is>
          <t>NY</t>
        </is>
      </c>
      <c r="E531" s="9" t="inlineStr">
        <is>
          <t>Private</t>
        </is>
      </c>
      <c r="F531" s="11" t="n">
        <v>22917</v>
      </c>
      <c r="G531" s="11" t="n">
        <v>58316</v>
      </c>
      <c r="H531" s="9">
        <f>COUNTIF($G$5:$G$1531,"&gt;"&amp;G531)+1</f>
        <v/>
      </c>
      <c r="I531" s="9" t="inlineStr"/>
      <c r="J531" s="11">
        <f>IF(E531="Private",F531,"")</f>
        <v/>
      </c>
      <c r="K531" s="11">
        <f>IF(E531="Private",G531,"")</f>
        <v/>
      </c>
    </row>
    <row r="532">
      <c r="A532" s="9" t="n">
        <v>132903</v>
      </c>
      <c r="B532" s="9" t="inlineStr">
        <is>
          <t>University of Central Florida</t>
        </is>
      </c>
      <c r="C532" s="9" t="inlineStr">
        <is>
          <t>Orlando</t>
        </is>
      </c>
      <c r="D532" s="9" t="inlineStr">
        <is>
          <t>FL</t>
        </is>
      </c>
      <c r="E532" s="9" t="inlineStr">
        <is>
          <t>Public</t>
        </is>
      </c>
      <c r="F532" s="11" t="n">
        <v>10411</v>
      </c>
      <c r="G532" s="11" t="n">
        <v>58308</v>
      </c>
      <c r="H532" s="9">
        <f>COUNTIF($G$5:$G$1531,"&gt;"&amp;G532)+1</f>
        <v/>
      </c>
      <c r="I532" s="9" t="inlineStr"/>
      <c r="J532" s="11">
        <f>IF(E532="Private",F532,"")</f>
        <v/>
      </c>
      <c r="K532" s="11">
        <f>IF(E532="Private",G532,"")</f>
        <v/>
      </c>
    </row>
    <row r="533">
      <c r="A533" s="9" t="n">
        <v>136950</v>
      </c>
      <c r="B533" s="9" t="inlineStr">
        <is>
          <t>Rollins College</t>
        </is>
      </c>
      <c r="C533" s="9" t="inlineStr">
        <is>
          <t>Winter Park</t>
        </is>
      </c>
      <c r="D533" s="9" t="inlineStr">
        <is>
          <t>FL</t>
        </is>
      </c>
      <c r="E533" s="9" t="inlineStr">
        <is>
          <t>Private</t>
        </is>
      </c>
      <c r="F533" s="11" t="n">
        <v>34732</v>
      </c>
      <c r="G533" s="11" t="n">
        <v>58295</v>
      </c>
      <c r="H533" s="9">
        <f>COUNTIF($G$5:$G$1531,"&gt;"&amp;G533)+1</f>
        <v/>
      </c>
      <c r="I533" s="9" t="inlineStr"/>
      <c r="J533" s="11">
        <f>IF(E533="Private",F533,"")</f>
        <v/>
      </c>
      <c r="K533" s="11">
        <f>IF(E533="Private",G533,"")</f>
        <v/>
      </c>
    </row>
    <row r="534">
      <c r="A534" s="9" t="n">
        <v>153825</v>
      </c>
      <c r="B534" s="9" t="inlineStr">
        <is>
          <t>Loras College</t>
        </is>
      </c>
      <c r="C534" s="9" t="inlineStr">
        <is>
          <t>Dubuque</t>
        </is>
      </c>
      <c r="D534" s="9" t="inlineStr">
        <is>
          <t>IA</t>
        </is>
      </c>
      <c r="E534" s="9" t="inlineStr">
        <is>
          <t>Private</t>
        </is>
      </c>
      <c r="F534" s="11" t="n">
        <v>20716</v>
      </c>
      <c r="G534" s="11" t="n">
        <v>58289</v>
      </c>
      <c r="H534" s="9">
        <f>COUNTIF($G$5:$G$1531,"&gt;"&amp;G534)+1</f>
        <v/>
      </c>
      <c r="I534" s="9" t="inlineStr"/>
      <c r="J534" s="11">
        <f>IF(E534="Private",F534,"")</f>
        <v/>
      </c>
      <c r="K534" s="11">
        <f>IF(E534="Private",G534,"")</f>
        <v/>
      </c>
    </row>
    <row r="535">
      <c r="A535" s="9" t="n">
        <v>192192</v>
      </c>
      <c r="B535" s="9" t="inlineStr">
        <is>
          <t>Keuka College</t>
        </is>
      </c>
      <c r="C535" s="9" t="inlineStr">
        <is>
          <t>Keuka Park</t>
        </is>
      </c>
      <c r="D535" s="9" t="inlineStr">
        <is>
          <t>NY</t>
        </is>
      </c>
      <c r="E535" s="9" t="inlineStr">
        <is>
          <t>Private</t>
        </is>
      </c>
      <c r="F535" s="11" t="n">
        <v>24338</v>
      </c>
      <c r="G535" s="11" t="n">
        <v>58289</v>
      </c>
      <c r="H535" s="9">
        <f>COUNTIF($G$5:$G$1531,"&gt;"&amp;G535)+1</f>
        <v/>
      </c>
      <c r="I535" s="9" t="inlineStr"/>
      <c r="J535" s="11">
        <f>IF(E535="Private",F535,"")</f>
        <v/>
      </c>
      <c r="K535" s="11">
        <f>IF(E535="Private",G535,"")</f>
        <v/>
      </c>
    </row>
    <row r="536">
      <c r="A536" s="9" t="n">
        <v>224323</v>
      </c>
      <c r="B536" s="9" t="inlineStr">
        <is>
          <t>University of Dallas</t>
        </is>
      </c>
      <c r="C536" s="9" t="inlineStr">
        <is>
          <t>Irving</t>
        </is>
      </c>
      <c r="D536" s="9" t="inlineStr">
        <is>
          <t>TX</t>
        </is>
      </c>
      <c r="E536" s="9" t="inlineStr">
        <is>
          <t>Private</t>
        </is>
      </c>
      <c r="F536" s="11" t="n">
        <v>22610</v>
      </c>
      <c r="G536" s="11" t="n">
        <v>58285</v>
      </c>
      <c r="H536" s="9">
        <f>COUNTIF($G$5:$G$1531,"&gt;"&amp;G536)+1</f>
        <v/>
      </c>
      <c r="I536" s="9" t="inlineStr"/>
      <c r="J536" s="11">
        <f>IF(E536="Private",F536,"")</f>
        <v/>
      </c>
      <c r="K536" s="11">
        <f>IF(E536="Private",G536,"")</f>
        <v/>
      </c>
    </row>
    <row r="537">
      <c r="A537" s="9" t="n">
        <v>106397</v>
      </c>
      <c r="B537" s="9" t="inlineStr">
        <is>
          <t>University of Arkansas</t>
        </is>
      </c>
      <c r="C537" s="9" t="inlineStr">
        <is>
          <t>Fayetteville</t>
        </is>
      </c>
      <c r="D537" s="9" t="inlineStr">
        <is>
          <t>AR</t>
        </is>
      </c>
      <c r="E537" s="9" t="inlineStr">
        <is>
          <t>Public</t>
        </is>
      </c>
      <c r="F537" s="11" t="n">
        <v>18209</v>
      </c>
      <c r="G537" s="11" t="n">
        <v>58191</v>
      </c>
      <c r="H537" s="9">
        <f>COUNTIF($G$5:$G$1531,"&gt;"&amp;G537)+1</f>
        <v/>
      </c>
      <c r="I537" s="9" t="inlineStr"/>
      <c r="J537" s="11">
        <f>IF(E537="Private",F537,"")</f>
        <v/>
      </c>
      <c r="K537" s="11">
        <f>IF(E537="Private",G537,"")</f>
        <v/>
      </c>
    </row>
    <row r="538">
      <c r="A538" s="9" t="n">
        <v>174817</v>
      </c>
      <c r="B538" s="9" t="inlineStr">
        <is>
          <t>Saint Mary's University of Minnesota</t>
        </is>
      </c>
      <c r="C538" s="9" t="inlineStr">
        <is>
          <t>Winona</t>
        </is>
      </c>
      <c r="D538" s="9" t="inlineStr">
        <is>
          <t>MN</t>
        </is>
      </c>
      <c r="E538" s="9" t="inlineStr">
        <is>
          <t>Private</t>
        </is>
      </c>
      <c r="F538" s="11" t="n">
        <v>11704</v>
      </c>
      <c r="G538" s="11" t="n">
        <v>58170</v>
      </c>
      <c r="H538" s="9">
        <f>COUNTIF($G$5:$G$1531,"&gt;"&amp;G538)+1</f>
        <v/>
      </c>
      <c r="I538" s="9" t="inlineStr"/>
      <c r="J538" s="11">
        <f>IF(E538="Private",F538,"")</f>
        <v/>
      </c>
      <c r="K538" s="11">
        <f>IF(E538="Private",G538,"")</f>
        <v/>
      </c>
    </row>
    <row r="539">
      <c r="A539" s="9" t="n">
        <v>145336</v>
      </c>
      <c r="B539" s="9" t="inlineStr">
        <is>
          <t>Governors State University</t>
        </is>
      </c>
      <c r="C539" s="9" t="inlineStr">
        <is>
          <t>University Park</t>
        </is>
      </c>
      <c r="D539" s="9" t="inlineStr">
        <is>
          <t>IL</t>
        </is>
      </c>
      <c r="E539" s="9" t="inlineStr">
        <is>
          <t>Public</t>
        </is>
      </c>
      <c r="F539" s="11" t="n">
        <v>12329</v>
      </c>
      <c r="G539" s="11" t="n">
        <v>58169</v>
      </c>
      <c r="H539" s="9">
        <f>COUNTIF($G$5:$G$1531,"&gt;"&amp;G539)+1</f>
        <v/>
      </c>
      <c r="I539" s="9" t="inlineStr"/>
      <c r="J539" s="11">
        <f>IF(E539="Private",F539,"")</f>
        <v/>
      </c>
      <c r="K539" s="11">
        <f>IF(E539="Private",G539,"")</f>
        <v/>
      </c>
    </row>
    <row r="540">
      <c r="A540" s="9" t="n">
        <v>139861</v>
      </c>
      <c r="B540" s="9" t="inlineStr">
        <is>
          <t>Georgia College &amp; State University</t>
        </is>
      </c>
      <c r="C540" s="9" t="inlineStr">
        <is>
          <t>Milledgeville</t>
        </is>
      </c>
      <c r="D540" s="9" t="inlineStr">
        <is>
          <t>GA</t>
        </is>
      </c>
      <c r="E540" s="9" t="inlineStr">
        <is>
          <t>Public</t>
        </is>
      </c>
      <c r="F540" s="11" t="n">
        <v>20686</v>
      </c>
      <c r="G540" s="11" t="n">
        <v>58140</v>
      </c>
      <c r="H540" s="9">
        <f>COUNTIF($G$5:$G$1531,"&gt;"&amp;G540)+1</f>
        <v/>
      </c>
      <c r="I540" s="9" t="inlineStr"/>
      <c r="J540" s="11">
        <f>IF(E540="Private",F540,"")</f>
        <v/>
      </c>
      <c r="K540" s="11">
        <f>IF(E540="Private",G540,"")</f>
        <v/>
      </c>
    </row>
    <row r="541">
      <c r="A541" s="9" t="n">
        <v>234030</v>
      </c>
      <c r="B541" s="9" t="inlineStr">
        <is>
          <t>Virginia Commonwealth University</t>
        </is>
      </c>
      <c r="C541" s="9" t="inlineStr">
        <is>
          <t>Richmond</t>
        </is>
      </c>
      <c r="D541" s="9" t="inlineStr">
        <is>
          <t>VA</t>
        </is>
      </c>
      <c r="E541" s="9" t="inlineStr">
        <is>
          <t>Public</t>
        </is>
      </c>
      <c r="F541" s="11" t="n">
        <v>23433</v>
      </c>
      <c r="G541" s="11" t="n">
        <v>58128</v>
      </c>
      <c r="H541" s="9">
        <f>COUNTIF($G$5:$G$1531,"&gt;"&amp;G541)+1</f>
        <v/>
      </c>
      <c r="I541" s="9" t="inlineStr"/>
      <c r="J541" s="11">
        <f>IF(E541="Private",F541,"")</f>
        <v/>
      </c>
      <c r="K541" s="11">
        <f>IF(E541="Private",G541,"")</f>
        <v/>
      </c>
    </row>
    <row r="542">
      <c r="A542" s="9" t="n">
        <v>195173</v>
      </c>
      <c r="B542" s="9" t="inlineStr">
        <is>
          <t>St. Francis College</t>
        </is>
      </c>
      <c r="C542" s="9" t="inlineStr">
        <is>
          <t>Brooklyn</t>
        </is>
      </c>
      <c r="D542" s="9" t="inlineStr">
        <is>
          <t>NY</t>
        </is>
      </c>
      <c r="E542" s="9" t="inlineStr">
        <is>
          <t>Private</t>
        </is>
      </c>
      <c r="F542" s="11" t="n">
        <v>18129</v>
      </c>
      <c r="G542" s="11" t="n">
        <v>58099</v>
      </c>
      <c r="H542" s="9">
        <f>COUNTIF($G$5:$G$1531,"&gt;"&amp;G542)+1</f>
        <v/>
      </c>
      <c r="I542" s="9" t="inlineStr"/>
      <c r="J542" s="11">
        <f>IF(E542="Private",F542,"")</f>
        <v/>
      </c>
      <c r="K542" s="11">
        <f>IF(E542="Private",G542,"")</f>
        <v/>
      </c>
    </row>
    <row r="543">
      <c r="A543" s="9" t="n">
        <v>240417</v>
      </c>
      <c r="B543" s="9" t="inlineStr">
        <is>
          <t>University of Wisconsin-Stout</t>
        </is>
      </c>
      <c r="C543" s="9" t="inlineStr">
        <is>
          <t>Menomonie</t>
        </is>
      </c>
      <c r="D543" s="9" t="inlineStr">
        <is>
          <t>WI</t>
        </is>
      </c>
      <c r="E543" s="9" t="inlineStr">
        <is>
          <t>Public</t>
        </is>
      </c>
      <c r="F543" s="11" t="n">
        <v>17490</v>
      </c>
      <c r="G543" s="11" t="n">
        <v>58084</v>
      </c>
      <c r="H543" s="9">
        <f>COUNTIF($G$5:$G$1531,"&gt;"&amp;G543)+1</f>
        <v/>
      </c>
      <c r="I543" s="9" t="inlineStr"/>
      <c r="J543" s="11">
        <f>IF(E543="Private",F543,"")</f>
        <v/>
      </c>
      <c r="K543" s="11">
        <f>IF(E543="Private",G543,"")</f>
        <v/>
      </c>
    </row>
    <row r="544">
      <c r="A544" s="9" t="n">
        <v>196176</v>
      </c>
      <c r="B544" s="9" t="inlineStr">
        <is>
          <t>State University of New York at New Paltz</t>
        </is>
      </c>
      <c r="C544" s="9" t="inlineStr">
        <is>
          <t>New Paltz</t>
        </is>
      </c>
      <c r="D544" s="9" t="inlineStr">
        <is>
          <t>NY</t>
        </is>
      </c>
      <c r="E544" s="9" t="inlineStr">
        <is>
          <t>Public</t>
        </is>
      </c>
      <c r="F544" s="11" t="n">
        <v>18809</v>
      </c>
      <c r="G544" s="11" t="n">
        <v>58073</v>
      </c>
      <c r="H544" s="9">
        <f>COUNTIF($G$5:$G$1531,"&gt;"&amp;G544)+1</f>
        <v/>
      </c>
      <c r="I544" s="9" t="inlineStr"/>
      <c r="J544" s="11">
        <f>IF(E544="Private",F544,"")</f>
        <v/>
      </c>
      <c r="K544" s="11">
        <f>IF(E544="Private",G544,"")</f>
        <v/>
      </c>
    </row>
    <row r="545">
      <c r="A545" s="9" t="n">
        <v>167260</v>
      </c>
      <c r="B545" s="9" t="inlineStr">
        <is>
          <t>Nichols College</t>
        </is>
      </c>
      <c r="C545" s="9" t="inlineStr">
        <is>
          <t>Dudley</t>
        </is>
      </c>
      <c r="D545" s="9" t="inlineStr">
        <is>
          <t>MA</t>
        </is>
      </c>
      <c r="E545" s="9" t="inlineStr">
        <is>
          <t>Private</t>
        </is>
      </c>
      <c r="F545" s="11" t="n">
        <v>33036</v>
      </c>
      <c r="G545" s="11" t="n">
        <v>58063</v>
      </c>
      <c r="H545" s="9">
        <f>COUNTIF($G$5:$G$1531,"&gt;"&amp;G545)+1</f>
        <v/>
      </c>
      <c r="I545" s="9" t="inlineStr"/>
      <c r="J545" s="11">
        <f>IF(E545="Private",F545,"")</f>
        <v/>
      </c>
      <c r="K545" s="11">
        <f>IF(E545="Private",G545,"")</f>
        <v/>
      </c>
    </row>
    <row r="546">
      <c r="A546" s="9" t="n">
        <v>174075</v>
      </c>
      <c r="B546" s="9" t="inlineStr">
        <is>
          <t>University of Minnesota-Crookston</t>
        </is>
      </c>
      <c r="C546" s="9" t="inlineStr">
        <is>
          <t>Crookston</t>
        </is>
      </c>
      <c r="D546" s="9" t="inlineStr">
        <is>
          <t>MN</t>
        </is>
      </c>
      <c r="E546" s="9" t="inlineStr">
        <is>
          <t>Public</t>
        </is>
      </c>
      <c r="F546" s="11" t="n">
        <v>12212</v>
      </c>
      <c r="G546" s="11" t="n">
        <v>58056</v>
      </c>
      <c r="H546" s="9">
        <f>COUNTIF($G$5:$G$1531,"&gt;"&amp;G546)+1</f>
        <v/>
      </c>
      <c r="I546" s="9" t="inlineStr"/>
      <c r="J546" s="11">
        <f>IF(E546="Private",F546,"")</f>
        <v/>
      </c>
      <c r="K546" s="11">
        <f>IF(E546="Private",G546,"")</f>
        <v/>
      </c>
    </row>
    <row r="547">
      <c r="A547" s="9" t="n">
        <v>233426</v>
      </c>
      <c r="B547" s="9" t="inlineStr">
        <is>
          <t>Roanoke College</t>
        </is>
      </c>
      <c r="C547" s="9" t="inlineStr">
        <is>
          <t>Salem</t>
        </is>
      </c>
      <c r="D547" s="9" t="inlineStr">
        <is>
          <t>VA</t>
        </is>
      </c>
      <c r="E547" s="9" t="inlineStr">
        <is>
          <t>Private</t>
        </is>
      </c>
      <c r="F547" s="11" t="n">
        <v>24503</v>
      </c>
      <c r="G547" s="11" t="n">
        <v>58047</v>
      </c>
      <c r="H547" s="9">
        <f>COUNTIF($G$5:$G$1531,"&gt;"&amp;G547)+1</f>
        <v/>
      </c>
      <c r="I547" s="9" t="inlineStr"/>
      <c r="J547" s="11">
        <f>IF(E547="Private",F547,"")</f>
        <v/>
      </c>
      <c r="K547" s="11">
        <f>IF(E547="Private",G547,"")</f>
        <v/>
      </c>
    </row>
    <row r="548">
      <c r="A548" s="9" t="n">
        <v>190637</v>
      </c>
      <c r="B548" s="9" t="inlineStr">
        <is>
          <t>CUNY Lehman College</t>
        </is>
      </c>
      <c r="C548" s="9" t="inlineStr">
        <is>
          <t>Bronx</t>
        </is>
      </c>
      <c r="D548" s="9" t="inlineStr">
        <is>
          <t>NY</t>
        </is>
      </c>
      <c r="E548" s="9" t="inlineStr">
        <is>
          <t>Public</t>
        </is>
      </c>
      <c r="F548" s="11" t="n">
        <v>3148</v>
      </c>
      <c r="G548" s="11" t="n">
        <v>58013</v>
      </c>
      <c r="H548" s="9">
        <f>COUNTIF($G$5:$G$1531,"&gt;"&amp;G548)+1</f>
        <v/>
      </c>
      <c r="I548" s="9" t="inlineStr"/>
      <c r="J548" s="11">
        <f>IF(E548="Private",F548,"")</f>
        <v/>
      </c>
      <c r="K548" s="11">
        <f>IF(E548="Private",G548,"")</f>
        <v/>
      </c>
    </row>
    <row r="549">
      <c r="A549" s="9" t="n">
        <v>238458</v>
      </c>
      <c r="B549" s="9" t="inlineStr">
        <is>
          <t>Carroll University</t>
        </is>
      </c>
      <c r="C549" s="9" t="inlineStr">
        <is>
          <t>Waukesha</t>
        </is>
      </c>
      <c r="D549" s="9" t="inlineStr">
        <is>
          <t>WI</t>
        </is>
      </c>
      <c r="E549" s="9" t="inlineStr">
        <is>
          <t>Private</t>
        </is>
      </c>
      <c r="F549" s="11" t="n">
        <v>15193</v>
      </c>
      <c r="G549" s="11" t="n">
        <v>58009</v>
      </c>
      <c r="H549" s="9">
        <f>COUNTIF($G$5:$G$1531,"&gt;"&amp;G549)+1</f>
        <v/>
      </c>
      <c r="I549" s="9" t="inlineStr"/>
      <c r="J549" s="11">
        <f>IF(E549="Private",F549,"")</f>
        <v/>
      </c>
      <c r="K549" s="11">
        <f>IF(E549="Private",G549,"")</f>
        <v/>
      </c>
    </row>
    <row r="550">
      <c r="A550" s="9" t="n">
        <v>238078</v>
      </c>
      <c r="B550" s="9" t="inlineStr">
        <is>
          <t>Wheeling University</t>
        </is>
      </c>
      <c r="C550" s="9" t="inlineStr">
        <is>
          <t>Wheeling</t>
        </is>
      </c>
      <c r="D550" s="9" t="inlineStr">
        <is>
          <t>WV</t>
        </is>
      </c>
      <c r="E550" s="9" t="inlineStr">
        <is>
          <t>Private</t>
        </is>
      </c>
      <c r="F550" s="11" t="n">
        <v>20503</v>
      </c>
      <c r="G550" s="11" t="n">
        <v>57949</v>
      </c>
      <c r="H550" s="9">
        <f>COUNTIF($G$5:$G$1531,"&gt;"&amp;G550)+1</f>
        <v/>
      </c>
      <c r="I550" s="9" t="inlineStr"/>
      <c r="J550" s="11">
        <f>IF(E550="Private",F550,"")</f>
        <v/>
      </c>
      <c r="K550" s="11">
        <f>IF(E550="Private",G550,"")</f>
        <v/>
      </c>
    </row>
    <row r="551">
      <c r="A551" s="9" t="n">
        <v>209807</v>
      </c>
      <c r="B551" s="9" t="inlineStr">
        <is>
          <t>Portland State University</t>
        </is>
      </c>
      <c r="C551" s="9" t="inlineStr">
        <is>
          <t>Portland</t>
        </is>
      </c>
      <c r="D551" s="9" t="inlineStr">
        <is>
          <t>OR</t>
        </is>
      </c>
      <c r="E551" s="9" t="inlineStr">
        <is>
          <t>Public</t>
        </is>
      </c>
      <c r="F551" s="11" t="n">
        <v>9552</v>
      </c>
      <c r="G551" s="11" t="n">
        <v>57906</v>
      </c>
      <c r="H551" s="9">
        <f>COUNTIF($G$5:$G$1531,"&gt;"&amp;G551)+1</f>
        <v/>
      </c>
      <c r="I551" s="9" t="inlineStr"/>
      <c r="J551" s="11">
        <f>IF(E551="Private",F551,"")</f>
        <v/>
      </c>
      <c r="K551" s="11">
        <f>IF(E551="Private",G551,"")</f>
        <v/>
      </c>
    </row>
    <row r="552">
      <c r="A552" s="9" t="n">
        <v>235097</v>
      </c>
      <c r="B552" s="9" t="inlineStr">
        <is>
          <t>Eastern Washington University</t>
        </is>
      </c>
      <c r="C552" s="9" t="inlineStr">
        <is>
          <t>Cheney</t>
        </is>
      </c>
      <c r="D552" s="9" t="inlineStr">
        <is>
          <t>WA</t>
        </is>
      </c>
      <c r="E552" s="9" t="inlineStr">
        <is>
          <t>Public</t>
        </is>
      </c>
      <c r="F552" s="11" t="n">
        <v>13886</v>
      </c>
      <c r="G552" s="11" t="n">
        <v>57897</v>
      </c>
      <c r="H552" s="9">
        <f>COUNTIF($G$5:$G$1531,"&gt;"&amp;G552)+1</f>
        <v/>
      </c>
      <c r="I552" s="9" t="inlineStr"/>
      <c r="J552" s="11">
        <f>IF(E552="Private",F552,"")</f>
        <v/>
      </c>
      <c r="K552" s="11">
        <f>IF(E552="Private",G552,"")</f>
        <v/>
      </c>
    </row>
    <row r="553">
      <c r="A553" s="9" t="n">
        <v>214272</v>
      </c>
      <c r="B553" s="9" t="inlineStr">
        <is>
          <t>Neumann University</t>
        </is>
      </c>
      <c r="C553" s="9" t="inlineStr">
        <is>
          <t>Aston</t>
        </is>
      </c>
      <c r="D553" s="9" t="inlineStr">
        <is>
          <t>PA</t>
        </is>
      </c>
      <c r="E553" s="9" t="inlineStr">
        <is>
          <t>Private</t>
        </is>
      </c>
      <c r="F553" s="11" t="n">
        <v>27804</v>
      </c>
      <c r="G553" s="11" t="n">
        <v>57817</v>
      </c>
      <c r="H553" s="9">
        <f>COUNTIF($G$5:$G$1531,"&gt;"&amp;G553)+1</f>
        <v/>
      </c>
      <c r="I553" s="9" t="inlineStr"/>
      <c r="J553" s="11">
        <f>IF(E553="Private",F553,"")</f>
        <v/>
      </c>
      <c r="K553" s="11">
        <f>IF(E553="Private",G553,"")</f>
        <v/>
      </c>
    </row>
    <row r="554">
      <c r="A554" s="9" t="n">
        <v>186432</v>
      </c>
      <c r="B554" s="9" t="inlineStr">
        <is>
          <t>Saint Peter's University</t>
        </is>
      </c>
      <c r="C554" s="9" t="inlineStr">
        <is>
          <t>Jersey City</t>
        </is>
      </c>
      <c r="D554" s="9" t="inlineStr">
        <is>
          <t>NJ</t>
        </is>
      </c>
      <c r="E554" s="9" t="inlineStr">
        <is>
          <t>Private</t>
        </is>
      </c>
      <c r="F554" s="11" t="n">
        <v>12199</v>
      </c>
      <c r="G554" s="11" t="n">
        <v>57815</v>
      </c>
      <c r="H554" s="9">
        <f>COUNTIF($G$5:$G$1531,"&gt;"&amp;G554)+1</f>
        <v/>
      </c>
      <c r="I554" s="9" t="inlineStr"/>
      <c r="J554" s="11">
        <f>IF(E554="Private",F554,"")</f>
        <v/>
      </c>
      <c r="K554" s="11">
        <f>IF(E554="Private",G554,"")</f>
        <v/>
      </c>
    </row>
    <row r="555">
      <c r="A555" s="9" t="n">
        <v>147703</v>
      </c>
      <c r="B555" s="9" t="inlineStr">
        <is>
          <t>Northern Illinois University</t>
        </is>
      </c>
      <c r="C555" s="9" t="inlineStr">
        <is>
          <t>Dekalb</t>
        </is>
      </c>
      <c r="D555" s="9" t="inlineStr">
        <is>
          <t>IL</t>
        </is>
      </c>
      <c r="E555" s="9" t="inlineStr">
        <is>
          <t>Public</t>
        </is>
      </c>
      <c r="F555" s="11" t="n">
        <v>13391</v>
      </c>
      <c r="G555" s="11" t="n">
        <v>57808</v>
      </c>
      <c r="H555" s="9">
        <f>COUNTIF($G$5:$G$1531,"&gt;"&amp;G555)+1</f>
        <v/>
      </c>
      <c r="I555" s="9" t="inlineStr"/>
      <c r="J555" s="11">
        <f>IF(E555="Private",F555,"")</f>
        <v/>
      </c>
      <c r="K555" s="11">
        <f>IF(E555="Private",G555,"")</f>
        <v/>
      </c>
    </row>
    <row r="556">
      <c r="A556" s="9" t="n">
        <v>187444</v>
      </c>
      <c r="B556" s="9" t="inlineStr">
        <is>
          <t>William Paterson University of New Jersey</t>
        </is>
      </c>
      <c r="C556" s="9" t="inlineStr">
        <is>
          <t>Wayne</t>
        </is>
      </c>
      <c r="D556" s="9" t="inlineStr">
        <is>
          <t>NJ</t>
        </is>
      </c>
      <c r="E556" s="9" t="inlineStr">
        <is>
          <t>Public</t>
        </is>
      </c>
      <c r="F556" s="11" t="n">
        <v>18745</v>
      </c>
      <c r="G556" s="11" t="n">
        <v>57780</v>
      </c>
      <c r="H556" s="9">
        <f>COUNTIF($G$5:$G$1531,"&gt;"&amp;G556)+1</f>
        <v/>
      </c>
      <c r="I556" s="9" t="inlineStr"/>
      <c r="J556" s="11">
        <f>IF(E556="Private",F556,"")</f>
        <v/>
      </c>
      <c r="K556" s="11">
        <f>IF(E556="Private",G556,"")</f>
        <v/>
      </c>
    </row>
    <row r="557">
      <c r="A557" s="9" t="n">
        <v>137351</v>
      </c>
      <c r="B557" s="9" t="inlineStr">
        <is>
          <t>University of South Florida</t>
        </is>
      </c>
      <c r="C557" s="9" t="inlineStr">
        <is>
          <t>Tampa</t>
        </is>
      </c>
      <c r="D557" s="9" t="inlineStr">
        <is>
          <t>FL</t>
        </is>
      </c>
      <c r="E557" s="9" t="inlineStr">
        <is>
          <t>Public</t>
        </is>
      </c>
      <c r="F557" s="11" t="n">
        <v>9812</v>
      </c>
      <c r="G557" s="11" t="n">
        <v>57743</v>
      </c>
      <c r="H557" s="9">
        <f>COUNTIF($G$5:$G$1531,"&gt;"&amp;G557)+1</f>
        <v/>
      </c>
      <c r="I557" s="9" t="inlineStr"/>
      <c r="J557" s="11">
        <f>IF(E557="Private",F557,"")</f>
        <v/>
      </c>
      <c r="K557" s="11">
        <f>IF(E557="Private",G557,"")</f>
        <v/>
      </c>
    </row>
    <row r="558">
      <c r="A558" s="9" t="n">
        <v>219949</v>
      </c>
      <c r="B558" s="9" t="inlineStr">
        <is>
          <t>Cumberland University</t>
        </is>
      </c>
      <c r="C558" s="9" t="inlineStr">
        <is>
          <t>Lebanon</t>
        </is>
      </c>
      <c r="D558" s="9" t="inlineStr">
        <is>
          <t>TN</t>
        </is>
      </c>
      <c r="E558" s="9" t="inlineStr">
        <is>
          <t>Private</t>
        </is>
      </c>
      <c r="F558" s="11" t="n">
        <v>18759</v>
      </c>
      <c r="G558" s="11" t="n">
        <v>57687</v>
      </c>
      <c r="H558" s="9">
        <f>COUNTIF($G$5:$G$1531,"&gt;"&amp;G558)+1</f>
        <v/>
      </c>
      <c r="I558" s="9" t="inlineStr"/>
      <c r="J558" s="11">
        <f>IF(E558="Private",F558,"")</f>
        <v/>
      </c>
      <c r="K558" s="11">
        <f>IF(E558="Private",G558,"")</f>
        <v/>
      </c>
    </row>
    <row r="559">
      <c r="A559" s="9" t="n">
        <v>199412</v>
      </c>
      <c r="B559" s="9" t="inlineStr">
        <is>
          <t>Queens University of Charlotte</t>
        </is>
      </c>
      <c r="C559" s="9" t="inlineStr">
        <is>
          <t>Charlotte</t>
        </is>
      </c>
      <c r="D559" s="9" t="inlineStr">
        <is>
          <t>NC</t>
        </is>
      </c>
      <c r="E559" s="9" t="inlineStr">
        <is>
          <t>Private</t>
        </is>
      </c>
      <c r="F559" s="11" t="n">
        <v>30857</v>
      </c>
      <c r="G559" s="11" t="n">
        <v>57673</v>
      </c>
      <c r="H559" s="9">
        <f>COUNTIF($G$5:$G$1531,"&gt;"&amp;G559)+1</f>
        <v/>
      </c>
      <c r="I559" s="9" t="inlineStr"/>
      <c r="J559" s="11">
        <f>IF(E559="Private",F559,"")</f>
        <v/>
      </c>
      <c r="K559" s="11">
        <f>IF(E559="Private",G559,"")</f>
        <v/>
      </c>
    </row>
    <row r="560">
      <c r="A560" s="9" t="n">
        <v>141574</v>
      </c>
      <c r="B560" s="9" t="inlineStr">
        <is>
          <t>University of Hawaii at Manoa</t>
        </is>
      </c>
      <c r="C560" s="9" t="inlineStr">
        <is>
          <t>Honolulu</t>
        </is>
      </c>
      <c r="D560" s="9" t="inlineStr">
        <is>
          <t>HI</t>
        </is>
      </c>
      <c r="E560" s="9" t="inlineStr">
        <is>
          <t>Public</t>
        </is>
      </c>
      <c r="F560" s="11" t="n">
        <v>15664</v>
      </c>
      <c r="G560" s="11" t="n">
        <v>57624</v>
      </c>
      <c r="H560" s="9">
        <f>COUNTIF($G$5:$G$1531,"&gt;"&amp;G560)+1</f>
        <v/>
      </c>
      <c r="I560" s="9" t="inlineStr"/>
      <c r="J560" s="11">
        <f>IF(E560="Private",F560,"")</f>
        <v/>
      </c>
      <c r="K560" s="11">
        <f>IF(E560="Private",G560,"")</f>
        <v/>
      </c>
    </row>
    <row r="561">
      <c r="A561" s="9" t="n">
        <v>184612</v>
      </c>
      <c r="B561" s="9" t="inlineStr">
        <is>
          <t>Felician University</t>
        </is>
      </c>
      <c r="C561" s="9" t="inlineStr">
        <is>
          <t>Lodi</t>
        </is>
      </c>
      <c r="D561" s="9" t="inlineStr">
        <is>
          <t>NJ</t>
        </is>
      </c>
      <c r="E561" s="9" t="inlineStr">
        <is>
          <t>Private</t>
        </is>
      </c>
      <c r="F561" s="11" t="n">
        <v>40045</v>
      </c>
      <c r="G561" s="11" t="n">
        <v>57602</v>
      </c>
      <c r="H561" s="9">
        <f>COUNTIF($G$5:$G$1531,"&gt;"&amp;G561)+1</f>
        <v/>
      </c>
      <c r="I561" s="9" t="inlineStr"/>
      <c r="J561" s="11">
        <f>IF(E561="Private",F561,"")</f>
        <v/>
      </c>
      <c r="K561" s="11">
        <f>IF(E561="Private",G561,"")</f>
        <v/>
      </c>
    </row>
    <row r="562">
      <c r="A562" s="9" t="n">
        <v>186876</v>
      </c>
      <c r="B562" s="9" t="inlineStr">
        <is>
          <t>Stockton University</t>
        </is>
      </c>
      <c r="C562" s="9" t="inlineStr">
        <is>
          <t>Galloway</t>
        </is>
      </c>
      <c r="D562" s="9" t="inlineStr">
        <is>
          <t>NJ</t>
        </is>
      </c>
      <c r="E562" s="9" t="inlineStr">
        <is>
          <t>Public</t>
        </is>
      </c>
      <c r="F562" s="11" t="n">
        <v>20670</v>
      </c>
      <c r="G562" s="11" t="n">
        <v>57602</v>
      </c>
      <c r="H562" s="9">
        <f>COUNTIF($G$5:$G$1531,"&gt;"&amp;G562)+1</f>
        <v/>
      </c>
      <c r="I562" s="9" t="inlineStr"/>
      <c r="J562" s="11">
        <f>IF(E562="Private",F562,"")</f>
        <v/>
      </c>
      <c r="K562" s="11">
        <f>IF(E562="Private",G562,"")</f>
        <v/>
      </c>
    </row>
    <row r="563">
      <c r="A563" s="9" t="n">
        <v>196194</v>
      </c>
      <c r="B563" s="9" t="inlineStr">
        <is>
          <t>State University of New York at Oswego</t>
        </is>
      </c>
      <c r="C563" s="9" t="inlineStr">
        <is>
          <t>Oswego</t>
        </is>
      </c>
      <c r="D563" s="9" t="inlineStr">
        <is>
          <t>NY</t>
        </is>
      </c>
      <c r="E563" s="9" t="inlineStr">
        <is>
          <t>Public</t>
        </is>
      </c>
      <c r="F563" s="11" t="n">
        <v>16236</v>
      </c>
      <c r="G563" s="11" t="n">
        <v>57566</v>
      </c>
      <c r="H563" s="9">
        <f>COUNTIF($G$5:$G$1531,"&gt;"&amp;G563)+1</f>
        <v/>
      </c>
      <c r="I563" s="9" t="inlineStr"/>
      <c r="J563" s="11">
        <f>IF(E563="Private",F563,"")</f>
        <v/>
      </c>
      <c r="K563" s="11">
        <f>IF(E563="Private",G563,"")</f>
        <v/>
      </c>
    </row>
    <row r="564">
      <c r="A564" s="9" t="n">
        <v>165884</v>
      </c>
      <c r="B564" s="9" t="inlineStr">
        <is>
          <t>Benjamin Franklin Cummings Institute of Technology</t>
        </is>
      </c>
      <c r="C564" s="9" t="inlineStr">
        <is>
          <t>Boston</t>
        </is>
      </c>
      <c r="D564" s="9" t="inlineStr">
        <is>
          <t>MA</t>
        </is>
      </c>
      <c r="E564" s="9" t="inlineStr">
        <is>
          <t>Private</t>
        </is>
      </c>
      <c r="F564" s="11" t="n">
        <v>15488</v>
      </c>
      <c r="G564" s="11" t="n">
        <v>57556</v>
      </c>
      <c r="H564" s="9">
        <f>COUNTIF($G$5:$G$1531,"&gt;"&amp;G564)+1</f>
        <v/>
      </c>
      <c r="I564" s="9" t="inlineStr"/>
      <c r="J564" s="11">
        <f>IF(E564="Private",F564,"")</f>
        <v/>
      </c>
      <c r="K564" s="11">
        <f>IF(E564="Private",G564,"")</f>
        <v/>
      </c>
    </row>
    <row r="565">
      <c r="A565" s="9" t="n">
        <v>486840</v>
      </c>
      <c r="B565" s="9" t="inlineStr">
        <is>
          <t>Kennesaw State University</t>
        </is>
      </c>
      <c r="C565" s="9" t="inlineStr">
        <is>
          <t>Kennesaw</t>
        </is>
      </c>
      <c r="D565" s="9" t="inlineStr">
        <is>
          <t>GA</t>
        </is>
      </c>
      <c r="E565" s="9" t="inlineStr">
        <is>
          <t>Public</t>
        </is>
      </c>
      <c r="F565" s="11" t="n">
        <v>15048</v>
      </c>
      <c r="G565" s="11" t="n">
        <v>57552</v>
      </c>
      <c r="H565" s="9">
        <f>COUNTIF($G$5:$G$1531,"&gt;"&amp;G565)+1</f>
        <v/>
      </c>
      <c r="I565" s="9" t="inlineStr"/>
      <c r="J565" s="11">
        <f>IF(E565="Private",F565,"")</f>
        <v/>
      </c>
      <c r="K565" s="11">
        <f>IF(E565="Private",G565,"")</f>
        <v/>
      </c>
    </row>
    <row r="566">
      <c r="A566" s="9" t="n">
        <v>190983</v>
      </c>
      <c r="B566" s="9" t="inlineStr">
        <is>
          <t>Elmira College</t>
        </is>
      </c>
      <c r="C566" s="9" t="inlineStr">
        <is>
          <t>Elmira</t>
        </is>
      </c>
      <c r="D566" s="9" t="inlineStr">
        <is>
          <t>NY</t>
        </is>
      </c>
      <c r="E566" s="9" t="inlineStr">
        <is>
          <t>Private</t>
        </is>
      </c>
      <c r="F566" s="11" t="n">
        <v>22386</v>
      </c>
      <c r="G566" s="11" t="n">
        <v>57550</v>
      </c>
      <c r="H566" s="9">
        <f>COUNTIF($G$5:$G$1531,"&gt;"&amp;G566)+1</f>
        <v/>
      </c>
      <c r="I566" s="9" t="inlineStr"/>
      <c r="J566" s="11">
        <f>IF(E566="Private",F566,"")</f>
        <v/>
      </c>
      <c r="K566" s="11">
        <f>IF(E566="Private",G566,"")</f>
        <v/>
      </c>
    </row>
    <row r="567">
      <c r="A567" s="9" t="n">
        <v>172264</v>
      </c>
      <c r="B567" s="9" t="inlineStr">
        <is>
          <t>Siena Heights University</t>
        </is>
      </c>
      <c r="C567" s="9" t="inlineStr">
        <is>
          <t>Adrian</t>
        </is>
      </c>
      <c r="D567" s="9" t="inlineStr">
        <is>
          <t>MI</t>
        </is>
      </c>
      <c r="E567" s="9" t="inlineStr">
        <is>
          <t>Private</t>
        </is>
      </c>
      <c r="F567" s="11" t="n">
        <v>17124</v>
      </c>
      <c r="G567" s="11" t="n">
        <v>57529</v>
      </c>
      <c r="H567" s="9">
        <f>COUNTIF($G$5:$G$1531,"&gt;"&amp;G567)+1</f>
        <v/>
      </c>
      <c r="I567" s="9" t="inlineStr"/>
      <c r="J567" s="11">
        <f>IF(E567="Private",F567,"")</f>
        <v/>
      </c>
      <c r="K567" s="11">
        <f>IF(E567="Private",G567,"")</f>
        <v/>
      </c>
    </row>
    <row r="568">
      <c r="A568" s="9" t="n">
        <v>219833</v>
      </c>
      <c r="B568" s="9" t="inlineStr">
        <is>
          <t>Christian Brothers University</t>
        </is>
      </c>
      <c r="C568" s="9" t="inlineStr">
        <is>
          <t>Memphis</t>
        </is>
      </c>
      <c r="D568" s="9" t="inlineStr">
        <is>
          <t>TN</t>
        </is>
      </c>
      <c r="E568" s="9" t="inlineStr">
        <is>
          <t>Private</t>
        </is>
      </c>
      <c r="F568" s="11" t="n">
        <v>9854</v>
      </c>
      <c r="G568" s="11" t="n">
        <v>57478</v>
      </c>
      <c r="H568" s="9">
        <f>COUNTIF($G$5:$G$1531,"&gt;"&amp;G568)+1</f>
        <v/>
      </c>
      <c r="I568" s="9" t="inlineStr"/>
      <c r="J568" s="11">
        <f>IF(E568="Private",F568,"")</f>
        <v/>
      </c>
      <c r="K568" s="11">
        <f>IF(E568="Private",G568,"")</f>
        <v/>
      </c>
    </row>
    <row r="569">
      <c r="A569" s="9" t="n">
        <v>165024</v>
      </c>
      <c r="B569" s="9" t="inlineStr">
        <is>
          <t>Bridgewater State University</t>
        </is>
      </c>
      <c r="C569" s="9" t="inlineStr">
        <is>
          <t>Bridgewater</t>
        </is>
      </c>
      <c r="D569" s="9" t="inlineStr">
        <is>
          <t>MA</t>
        </is>
      </c>
      <c r="E569" s="9" t="inlineStr">
        <is>
          <t>Public</t>
        </is>
      </c>
      <c r="F569" s="11" t="n">
        <v>16383</v>
      </c>
      <c r="G569" s="11" t="n">
        <v>57466</v>
      </c>
      <c r="H569" s="9">
        <f>COUNTIF($G$5:$G$1531,"&gt;"&amp;G569)+1</f>
        <v/>
      </c>
      <c r="I569" s="9" t="inlineStr"/>
      <c r="J569" s="11">
        <f>IF(E569="Private",F569,"")</f>
        <v/>
      </c>
      <c r="K569" s="11">
        <f>IF(E569="Private",G569,"")</f>
        <v/>
      </c>
    </row>
    <row r="570">
      <c r="A570" s="9" t="n">
        <v>207388</v>
      </c>
      <c r="B570" s="9" t="inlineStr">
        <is>
          <t>Oklahoma State University-Main Campus</t>
        </is>
      </c>
      <c r="C570" s="9" t="inlineStr">
        <is>
          <t>Stillwater</t>
        </is>
      </c>
      <c r="D570" s="9" t="inlineStr">
        <is>
          <t>OK</t>
        </is>
      </c>
      <c r="E570" s="9" t="inlineStr">
        <is>
          <t>Public</t>
        </is>
      </c>
      <c r="F570" s="11" t="n">
        <v>17447</v>
      </c>
      <c r="G570" s="11" t="n">
        <v>57413</v>
      </c>
      <c r="H570" s="9">
        <f>COUNTIF($G$5:$G$1531,"&gt;"&amp;G570)+1</f>
        <v/>
      </c>
      <c r="I570" s="9" t="inlineStr"/>
      <c r="J570" s="11">
        <f>IF(E570="Private",F570,"")</f>
        <v/>
      </c>
      <c r="K570" s="11">
        <f>IF(E570="Private",G570,"")</f>
        <v/>
      </c>
    </row>
    <row r="571">
      <c r="A571" s="9" t="n">
        <v>168263</v>
      </c>
      <c r="B571" s="9" t="inlineStr">
        <is>
          <t>Westfield State University</t>
        </is>
      </c>
      <c r="C571" s="9" t="inlineStr">
        <is>
          <t>Westfield</t>
        </is>
      </c>
      <c r="D571" s="9" t="inlineStr">
        <is>
          <t>MA</t>
        </is>
      </c>
      <c r="E571" s="9" t="inlineStr">
        <is>
          <t>Public</t>
        </is>
      </c>
      <c r="F571" s="11" t="n">
        <v>16721</v>
      </c>
      <c r="G571" s="11" t="n">
        <v>57346</v>
      </c>
      <c r="H571" s="9">
        <f>COUNTIF($G$5:$G$1531,"&gt;"&amp;G571)+1</f>
        <v/>
      </c>
      <c r="I571" s="9" t="inlineStr"/>
      <c r="J571" s="11">
        <f>IF(E571="Private",F571,"")</f>
        <v/>
      </c>
      <c r="K571" s="11">
        <f>IF(E571="Private",G571,"")</f>
        <v/>
      </c>
    </row>
    <row r="572">
      <c r="A572" s="9" t="n">
        <v>183080</v>
      </c>
      <c r="B572" s="9" t="inlineStr">
        <is>
          <t>Plymouth State University</t>
        </is>
      </c>
      <c r="C572" s="9" t="inlineStr">
        <is>
          <t>Plymouth</t>
        </is>
      </c>
      <c r="D572" s="9" t="inlineStr">
        <is>
          <t>NH</t>
        </is>
      </c>
      <c r="E572" s="9" t="inlineStr">
        <is>
          <t>Public</t>
        </is>
      </c>
      <c r="F572" s="11" t="n">
        <v>19216</v>
      </c>
      <c r="G572" s="11" t="n">
        <v>57304</v>
      </c>
      <c r="H572" s="9">
        <f>COUNTIF($G$5:$G$1531,"&gt;"&amp;G572)+1</f>
        <v/>
      </c>
      <c r="I572" s="9" t="inlineStr"/>
      <c r="J572" s="11">
        <f>IF(E572="Private",F572,"")</f>
        <v/>
      </c>
      <c r="K572" s="11">
        <f>IF(E572="Private",G572,"")</f>
        <v/>
      </c>
    </row>
    <row r="573">
      <c r="A573" s="9" t="n">
        <v>199139</v>
      </c>
      <c r="B573" s="9" t="inlineStr">
        <is>
          <t>University of North Carolina at Charlotte</t>
        </is>
      </c>
      <c r="C573" s="9" t="inlineStr">
        <is>
          <t>Charlotte</t>
        </is>
      </c>
      <c r="D573" s="9" t="inlineStr">
        <is>
          <t>NC</t>
        </is>
      </c>
      <c r="E573" s="9" t="inlineStr">
        <is>
          <t>Public</t>
        </is>
      </c>
      <c r="F573" s="11" t="n">
        <v>15435</v>
      </c>
      <c r="G573" s="11" t="n">
        <v>57289</v>
      </c>
      <c r="H573" s="9">
        <f>COUNTIF($G$5:$G$1531,"&gt;"&amp;G573)+1</f>
        <v/>
      </c>
      <c r="I573" s="9" t="inlineStr"/>
      <c r="J573" s="11">
        <f>IF(E573="Private",F573,"")</f>
        <v/>
      </c>
      <c r="K573" s="11">
        <f>IF(E573="Private",G573,"")</f>
        <v/>
      </c>
    </row>
    <row r="574">
      <c r="A574" s="9" t="n">
        <v>184603</v>
      </c>
      <c r="B574" s="9" t="inlineStr">
        <is>
          <t>Fairleigh Dickinson University-Metropolitan Campus</t>
        </is>
      </c>
      <c r="C574" s="9" t="inlineStr">
        <is>
          <t>Teaneck</t>
        </is>
      </c>
      <c r="D574" s="9" t="inlineStr">
        <is>
          <t>NJ</t>
        </is>
      </c>
      <c r="E574" s="9" t="inlineStr">
        <is>
          <t>Private</t>
        </is>
      </c>
      <c r="F574" s="11" t="n">
        <v>15404</v>
      </c>
      <c r="G574" s="11" t="n">
        <v>57273</v>
      </c>
      <c r="H574" s="9">
        <f>COUNTIF($G$5:$G$1531,"&gt;"&amp;G574)+1</f>
        <v/>
      </c>
      <c r="I574" s="9" t="inlineStr"/>
      <c r="J574" s="11">
        <f>IF(E574="Private",F574,"")</f>
        <v/>
      </c>
      <c r="K574" s="11">
        <f>IF(E574="Private",G574,"")</f>
        <v/>
      </c>
    </row>
    <row r="575">
      <c r="A575" s="9" t="n">
        <v>184694</v>
      </c>
      <c r="B575" s="9" t="inlineStr">
        <is>
          <t>Fairleigh Dickinson University-Florham Campus</t>
        </is>
      </c>
      <c r="C575" s="9" t="inlineStr">
        <is>
          <t>Madison</t>
        </is>
      </c>
      <c r="D575" s="9" t="inlineStr">
        <is>
          <t>NJ</t>
        </is>
      </c>
      <c r="E575" s="9" t="inlineStr">
        <is>
          <t>Private</t>
        </is>
      </c>
      <c r="F575" s="11" t="n">
        <v>22829</v>
      </c>
      <c r="G575" s="11" t="n">
        <v>57273</v>
      </c>
      <c r="H575" s="9">
        <f>COUNTIF($G$5:$G$1531,"&gt;"&amp;G575)+1</f>
        <v/>
      </c>
      <c r="I575" s="9" t="inlineStr"/>
      <c r="J575" s="11">
        <f>IF(E575="Private",F575,"")</f>
        <v/>
      </c>
      <c r="K575" s="11">
        <f>IF(E575="Private",G575,"")</f>
        <v/>
      </c>
    </row>
    <row r="576">
      <c r="A576" s="9" t="n">
        <v>155399</v>
      </c>
      <c r="B576" s="9" t="inlineStr">
        <is>
          <t>Kansas State University</t>
        </is>
      </c>
      <c r="C576" s="9" t="inlineStr">
        <is>
          <t>Manhattan</t>
        </is>
      </c>
      <c r="D576" s="9" t="inlineStr">
        <is>
          <t>KS</t>
        </is>
      </c>
      <c r="E576" s="9" t="inlineStr">
        <is>
          <t>Public</t>
        </is>
      </c>
      <c r="F576" s="11" t="n">
        <v>19406</v>
      </c>
      <c r="G576" s="11" t="n">
        <v>57262</v>
      </c>
      <c r="H576" s="9">
        <f>COUNTIF($G$5:$G$1531,"&gt;"&amp;G576)+1</f>
        <v/>
      </c>
      <c r="I576" s="9" t="inlineStr"/>
      <c r="J576" s="11">
        <f>IF(E576="Private",F576,"")</f>
        <v/>
      </c>
      <c r="K576" s="11">
        <f>IF(E576="Private",G576,"")</f>
        <v/>
      </c>
    </row>
    <row r="577">
      <c r="A577" s="9" t="n">
        <v>185262</v>
      </c>
      <c r="B577" s="9" t="inlineStr">
        <is>
          <t>Kean University</t>
        </is>
      </c>
      <c r="C577" s="9" t="inlineStr">
        <is>
          <t>Union</t>
        </is>
      </c>
      <c r="D577" s="9" t="inlineStr">
        <is>
          <t>NJ</t>
        </is>
      </c>
      <c r="E577" s="9" t="inlineStr">
        <is>
          <t>Public</t>
        </is>
      </c>
      <c r="F577" s="11" t="n">
        <v>12447</v>
      </c>
      <c r="G577" s="11" t="n">
        <v>57237</v>
      </c>
      <c r="H577" s="9">
        <f>COUNTIF($G$5:$G$1531,"&gt;"&amp;G577)+1</f>
        <v/>
      </c>
      <c r="I577" s="9" t="inlineStr"/>
      <c r="J577" s="11">
        <f>IF(E577="Private",F577,"")</f>
        <v/>
      </c>
      <c r="K577" s="11">
        <f>IF(E577="Private",G577,"")</f>
        <v/>
      </c>
    </row>
    <row r="578">
      <c r="A578" s="9" t="n">
        <v>195164</v>
      </c>
      <c r="B578" s="9" t="inlineStr">
        <is>
          <t>St Bonaventure University</t>
        </is>
      </c>
      <c r="C578" s="9" t="inlineStr">
        <is>
          <t>Saint Bonaventure</t>
        </is>
      </c>
      <c r="D578" s="9" t="inlineStr">
        <is>
          <t>NY</t>
        </is>
      </c>
      <c r="E578" s="9" t="inlineStr">
        <is>
          <t>Private</t>
        </is>
      </c>
      <c r="F578" s="11" t="n">
        <v>27074</v>
      </c>
      <c r="G578" s="11" t="n">
        <v>57214</v>
      </c>
      <c r="H578" s="9">
        <f>COUNTIF($G$5:$G$1531,"&gt;"&amp;G578)+1</f>
        <v/>
      </c>
      <c r="I578" s="9" t="inlineStr"/>
      <c r="J578" s="11">
        <f>IF(E578="Private",F578,"")</f>
        <v/>
      </c>
      <c r="K578" s="11">
        <f>IF(E578="Private",G578,"")</f>
        <v/>
      </c>
    </row>
    <row r="579">
      <c r="A579" s="9" t="n">
        <v>203845</v>
      </c>
      <c r="B579" s="9" t="inlineStr">
        <is>
          <t>Marietta College</t>
        </is>
      </c>
      <c r="C579" s="9" t="inlineStr">
        <is>
          <t>Marietta</t>
        </is>
      </c>
      <c r="D579" s="9" t="inlineStr">
        <is>
          <t>OH</t>
        </is>
      </c>
      <c r="E579" s="9" t="inlineStr">
        <is>
          <t>Private</t>
        </is>
      </c>
      <c r="F579" s="11" t="n">
        <v>21083</v>
      </c>
      <c r="G579" s="11" t="n">
        <v>57180</v>
      </c>
      <c r="H579" s="9">
        <f>COUNTIF($G$5:$G$1531,"&gt;"&amp;G579)+1</f>
        <v/>
      </c>
      <c r="I579" s="9" t="inlineStr"/>
      <c r="J579" s="11">
        <f>IF(E579="Private",F579,"")</f>
        <v/>
      </c>
      <c r="K579" s="11">
        <f>IF(E579="Private",G579,"")</f>
        <v/>
      </c>
    </row>
    <row r="580">
      <c r="A580" s="9" t="n">
        <v>152567</v>
      </c>
      <c r="B580" s="9" t="inlineStr">
        <is>
          <t>Trine University</t>
        </is>
      </c>
      <c r="C580" s="9" t="inlineStr">
        <is>
          <t>Angola</t>
        </is>
      </c>
      <c r="D580" s="9" t="inlineStr">
        <is>
          <t>IN</t>
        </is>
      </c>
      <c r="E580" s="9" t="inlineStr">
        <is>
          <t>Private</t>
        </is>
      </c>
      <c r="F580" s="11" t="n">
        <v>25355</v>
      </c>
      <c r="G580" s="11" t="n">
        <v>57165</v>
      </c>
      <c r="H580" s="9">
        <f>COUNTIF($G$5:$G$1531,"&gt;"&amp;G580)+1</f>
        <v/>
      </c>
      <c r="I580" s="9" t="inlineStr"/>
      <c r="J580" s="11">
        <f>IF(E580="Private",F580,"")</f>
        <v/>
      </c>
      <c r="K580" s="11">
        <f>IF(E580="Private",G580,"")</f>
        <v/>
      </c>
    </row>
    <row r="581">
      <c r="A581" s="9" t="n">
        <v>414878</v>
      </c>
      <c r="B581" s="9" t="inlineStr">
        <is>
          <t>Trine University-Regional/Non-Traditional Campuses</t>
        </is>
      </c>
      <c r="C581" s="9" t="inlineStr">
        <is>
          <t>Angola</t>
        </is>
      </c>
      <c r="D581" s="9" t="inlineStr">
        <is>
          <t>IN</t>
        </is>
      </c>
      <c r="E581" s="9" t="inlineStr">
        <is>
          <t>Private</t>
        </is>
      </c>
      <c r="F581" s="11" t="n">
        <v>15788</v>
      </c>
      <c r="G581" s="11" t="n">
        <v>57165</v>
      </c>
      <c r="H581" s="9">
        <f>COUNTIF($G$5:$G$1531,"&gt;"&amp;G581)+1</f>
        <v/>
      </c>
      <c r="I581" s="9" t="inlineStr"/>
      <c r="J581" s="11">
        <f>IF(E581="Private",F581,"")</f>
        <v/>
      </c>
      <c r="K581" s="11">
        <f>IF(E581="Private",G581,"")</f>
        <v/>
      </c>
    </row>
    <row r="582">
      <c r="A582" s="9" t="n">
        <v>110547</v>
      </c>
      <c r="B582" s="9" t="inlineStr">
        <is>
          <t>California State University-Dominguez Hills</t>
        </is>
      </c>
      <c r="C582" s="9" t="inlineStr">
        <is>
          <t>Carson</t>
        </is>
      </c>
      <c r="D582" s="9" t="inlineStr">
        <is>
          <t>CA</t>
        </is>
      </c>
      <c r="E582" s="9" t="inlineStr">
        <is>
          <t>Public</t>
        </is>
      </c>
      <c r="F582" s="11" t="n">
        <v>8615</v>
      </c>
      <c r="G582" s="11" t="n">
        <v>57162</v>
      </c>
      <c r="H582" s="9">
        <f>COUNTIF($G$5:$G$1531,"&gt;"&amp;G582)+1</f>
        <v/>
      </c>
      <c r="I582" s="9" t="inlineStr"/>
      <c r="J582" s="11">
        <f>IF(E582="Private",F582,"")</f>
        <v/>
      </c>
      <c r="K582" s="11">
        <f>IF(E582="Private",G582,"")</f>
        <v/>
      </c>
    </row>
    <row r="583">
      <c r="A583" s="9" t="n">
        <v>229027</v>
      </c>
      <c r="B583" s="9" t="inlineStr">
        <is>
          <t>The University of Texas at San Antonio</t>
        </is>
      </c>
      <c r="C583" s="9" t="inlineStr">
        <is>
          <t>San Antonio</t>
        </is>
      </c>
      <c r="D583" s="9" t="inlineStr">
        <is>
          <t>TX</t>
        </is>
      </c>
      <c r="E583" s="9" t="inlineStr">
        <is>
          <t>Public</t>
        </is>
      </c>
      <c r="F583" s="11" t="n">
        <v>10836</v>
      </c>
      <c r="G583" s="11" t="n">
        <v>57131</v>
      </c>
      <c r="H583" s="9">
        <f>COUNTIF($G$5:$G$1531,"&gt;"&amp;G583)+1</f>
        <v/>
      </c>
      <c r="I583" s="9" t="inlineStr"/>
      <c r="J583" s="11">
        <f>IF(E583="Private",F583,"")</f>
        <v/>
      </c>
      <c r="K583" s="11">
        <f>IF(E583="Private",G583,"")</f>
        <v/>
      </c>
    </row>
    <row r="584">
      <c r="A584" s="9" t="n">
        <v>153144</v>
      </c>
      <c r="B584" s="9" t="inlineStr">
        <is>
          <t>Coe College</t>
        </is>
      </c>
      <c r="C584" s="9" t="inlineStr">
        <is>
          <t>Cedar Rapids</t>
        </is>
      </c>
      <c r="D584" s="9" t="inlineStr">
        <is>
          <t>IA</t>
        </is>
      </c>
      <c r="E584" s="9" t="inlineStr">
        <is>
          <t>Private</t>
        </is>
      </c>
      <c r="F584" s="11" t="n">
        <v>18745</v>
      </c>
      <c r="G584" s="11" t="n">
        <v>57125</v>
      </c>
      <c r="H584" s="9">
        <f>COUNTIF($G$5:$G$1531,"&gt;"&amp;G584)+1</f>
        <v/>
      </c>
      <c r="I584" s="9" t="inlineStr"/>
      <c r="J584" s="11">
        <f>IF(E584="Private",F584,"")</f>
        <v/>
      </c>
      <c r="K584" s="11">
        <f>IF(E584="Private",G584,"")</f>
        <v/>
      </c>
    </row>
    <row r="585">
      <c r="A585" s="9" t="n">
        <v>117751</v>
      </c>
      <c r="B585" s="9" t="inlineStr">
        <is>
          <t>The Master's University and Seminary</t>
        </is>
      </c>
      <c r="C585" s="9" t="inlineStr">
        <is>
          <t>Santa Clarita</t>
        </is>
      </c>
      <c r="D585" s="9" t="inlineStr">
        <is>
          <t>CA</t>
        </is>
      </c>
      <c r="E585" s="9" t="inlineStr">
        <is>
          <t>Private</t>
        </is>
      </c>
      <c r="F585" s="11" t="n">
        <v>32647</v>
      </c>
      <c r="G585" s="11" t="n">
        <v>57106</v>
      </c>
      <c r="H585" s="9">
        <f>COUNTIF($G$5:$G$1531,"&gt;"&amp;G585)+1</f>
        <v/>
      </c>
      <c r="I585" s="9" t="inlineStr"/>
      <c r="J585" s="11">
        <f>IF(E585="Private",F585,"")</f>
        <v/>
      </c>
      <c r="K585" s="11">
        <f>IF(E585="Private",G585,"")</f>
        <v/>
      </c>
    </row>
    <row r="586">
      <c r="A586" s="9" t="n">
        <v>148654</v>
      </c>
      <c r="B586" s="9" t="inlineStr">
        <is>
          <t>University of Illinois Springfield</t>
        </is>
      </c>
      <c r="C586" s="9" t="inlineStr">
        <is>
          <t>Springfield</t>
        </is>
      </c>
      <c r="D586" s="9" t="inlineStr">
        <is>
          <t>IL</t>
        </is>
      </c>
      <c r="E586" s="9" t="inlineStr">
        <is>
          <t>Public</t>
        </is>
      </c>
      <c r="F586" s="11" t="n">
        <v>9833</v>
      </c>
      <c r="G586" s="11" t="n">
        <v>57103</v>
      </c>
      <c r="H586" s="9">
        <f>COUNTIF($G$5:$G$1531,"&gt;"&amp;G586)+1</f>
        <v/>
      </c>
      <c r="I586" s="9" t="inlineStr"/>
      <c r="J586" s="11">
        <f>IF(E586="Private",F586,"")</f>
        <v/>
      </c>
      <c r="K586" s="11">
        <f>IF(E586="Private",G586,"")</f>
        <v/>
      </c>
    </row>
    <row r="587">
      <c r="A587" s="9" t="n">
        <v>226231</v>
      </c>
      <c r="B587" s="9" t="inlineStr">
        <is>
          <t>LeTourneau University</t>
        </is>
      </c>
      <c r="C587" s="9" t="inlineStr">
        <is>
          <t>Longview</t>
        </is>
      </c>
      <c r="D587" s="9" t="inlineStr">
        <is>
          <t>TX</t>
        </is>
      </c>
      <c r="E587" s="9" t="inlineStr">
        <is>
          <t>Private</t>
        </is>
      </c>
      <c r="F587" s="11" t="n">
        <v>28185</v>
      </c>
      <c r="G587" s="11" t="n">
        <v>57103</v>
      </c>
      <c r="H587" s="9">
        <f>COUNTIF($G$5:$G$1531,"&gt;"&amp;G587)+1</f>
        <v/>
      </c>
      <c r="I587" s="9" t="inlineStr"/>
      <c r="J587" s="11">
        <f>IF(E587="Private",F587,"")</f>
        <v/>
      </c>
      <c r="K587" s="11">
        <f>IF(E587="Private",G587,"")</f>
        <v/>
      </c>
    </row>
    <row r="588">
      <c r="A588" s="9" t="n">
        <v>162760</v>
      </c>
      <c r="B588" s="9" t="inlineStr">
        <is>
          <t>Hood College</t>
        </is>
      </c>
      <c r="C588" s="9" t="inlineStr">
        <is>
          <t>Frederick</t>
        </is>
      </c>
      <c r="D588" s="9" t="inlineStr">
        <is>
          <t>MD</t>
        </is>
      </c>
      <c r="E588" s="9" t="inlineStr">
        <is>
          <t>Private</t>
        </is>
      </c>
      <c r="F588" s="11" t="n">
        <v>20873</v>
      </c>
      <c r="G588" s="11" t="n">
        <v>57089</v>
      </c>
      <c r="H588" s="9">
        <f>COUNTIF($G$5:$G$1531,"&gt;"&amp;G588)+1</f>
        <v/>
      </c>
      <c r="I588" s="9" t="inlineStr"/>
      <c r="J588" s="11">
        <f>IF(E588="Private",F588,"")</f>
        <v/>
      </c>
      <c r="K588" s="11">
        <f>IF(E588="Private",G588,"")</f>
        <v/>
      </c>
    </row>
    <row r="589">
      <c r="A589" s="9" t="n">
        <v>228802</v>
      </c>
      <c r="B589" s="9" t="inlineStr">
        <is>
          <t>The University of Texas at Tyler</t>
        </is>
      </c>
      <c r="C589" s="9" t="inlineStr">
        <is>
          <t>Tyler</t>
        </is>
      </c>
      <c r="D589" s="9" t="inlineStr">
        <is>
          <t>TX</t>
        </is>
      </c>
      <c r="E589" s="9" t="inlineStr">
        <is>
          <t>Public</t>
        </is>
      </c>
      <c r="F589" s="11" t="n">
        <v>13323</v>
      </c>
      <c r="G589" s="11" t="n">
        <v>57053</v>
      </c>
      <c r="H589" s="9">
        <f>COUNTIF($G$5:$G$1531,"&gt;"&amp;G589)+1</f>
        <v/>
      </c>
      <c r="I589" s="9" t="inlineStr"/>
      <c r="J589" s="11">
        <f>IF(E589="Private",F589,"")</f>
        <v/>
      </c>
      <c r="K589" s="11">
        <f>IF(E589="Private",G589,"")</f>
        <v/>
      </c>
    </row>
    <row r="590">
      <c r="A590" s="9" t="n">
        <v>227216</v>
      </c>
      <c r="B590" s="9" t="inlineStr">
        <is>
          <t>University of North Texas</t>
        </is>
      </c>
      <c r="C590" s="9" t="inlineStr">
        <is>
          <t>Denton</t>
        </is>
      </c>
      <c r="D590" s="9" t="inlineStr">
        <is>
          <t>TX</t>
        </is>
      </c>
      <c r="E590" s="9" t="inlineStr">
        <is>
          <t>Public</t>
        </is>
      </c>
      <c r="F590" s="11" t="n">
        <v>15649</v>
      </c>
      <c r="G590" s="11" t="n">
        <v>57010</v>
      </c>
      <c r="H590" s="9">
        <f>COUNTIF($G$5:$G$1531,"&gt;"&amp;G590)+1</f>
        <v/>
      </c>
      <c r="I590" s="9" t="inlineStr"/>
      <c r="J590" s="11">
        <f>IF(E590="Private",F590,"")</f>
        <v/>
      </c>
      <c r="K590" s="11">
        <f>IF(E590="Private",G590,"")</f>
        <v/>
      </c>
    </row>
    <row r="591">
      <c r="A591" s="9" t="n">
        <v>202763</v>
      </c>
      <c r="B591" s="9" t="inlineStr">
        <is>
          <t>The University of Findlay</t>
        </is>
      </c>
      <c r="C591" s="9" t="inlineStr">
        <is>
          <t>Findlay</t>
        </is>
      </c>
      <c r="D591" s="9" t="inlineStr">
        <is>
          <t>OH</t>
        </is>
      </c>
      <c r="E591" s="9" t="inlineStr">
        <is>
          <t>Private</t>
        </is>
      </c>
      <c r="F591" s="11" t="n">
        <v>27221</v>
      </c>
      <c r="G591" s="11" t="n">
        <v>56996</v>
      </c>
      <c r="H591" s="9">
        <f>COUNTIF($G$5:$G$1531,"&gt;"&amp;G591)+1</f>
        <v/>
      </c>
      <c r="I591" s="9" t="inlineStr"/>
      <c r="J591" s="11">
        <f>IF(E591="Private",F591,"")</f>
        <v/>
      </c>
      <c r="K591" s="11">
        <f>IF(E591="Private",G591,"")</f>
        <v/>
      </c>
    </row>
    <row r="592">
      <c r="A592" s="9" t="n">
        <v>228149</v>
      </c>
      <c r="B592" s="9" t="inlineStr">
        <is>
          <t>St. Mary's University</t>
        </is>
      </c>
      <c r="C592" s="9" t="inlineStr">
        <is>
          <t>San Antonio</t>
        </is>
      </c>
      <c r="D592" s="9" t="inlineStr">
        <is>
          <t>TX</t>
        </is>
      </c>
      <c r="E592" s="9" t="inlineStr">
        <is>
          <t>Private</t>
        </is>
      </c>
      <c r="F592" s="11" t="n">
        <v>21145</v>
      </c>
      <c r="G592" s="11" t="n">
        <v>56955</v>
      </c>
      <c r="H592" s="9">
        <f>COUNTIF($G$5:$G$1531,"&gt;"&amp;G592)+1</f>
        <v/>
      </c>
      <c r="I592" s="9" t="inlineStr"/>
      <c r="J592" s="11">
        <f>IF(E592="Private",F592,"")</f>
        <v/>
      </c>
      <c r="K592" s="11">
        <f>IF(E592="Private",G592,"")</f>
        <v/>
      </c>
    </row>
    <row r="593">
      <c r="A593" s="9" t="n">
        <v>238476</v>
      </c>
      <c r="B593" s="9" t="inlineStr">
        <is>
          <t>Carthage College</t>
        </is>
      </c>
      <c r="C593" s="9" t="inlineStr">
        <is>
          <t>Kenosha</t>
        </is>
      </c>
      <c r="D593" s="9" t="inlineStr">
        <is>
          <t>WI</t>
        </is>
      </c>
      <c r="E593" s="9" t="inlineStr">
        <is>
          <t>Private</t>
        </is>
      </c>
      <c r="F593" s="11" t="n">
        <v>26565</v>
      </c>
      <c r="G593" s="11" t="n">
        <v>56950</v>
      </c>
      <c r="H593" s="9">
        <f>COUNTIF($G$5:$G$1531,"&gt;"&amp;G593)+1</f>
        <v/>
      </c>
      <c r="I593" s="9" t="inlineStr"/>
      <c r="J593" s="11">
        <f>IF(E593="Private",F593,"")</f>
        <v/>
      </c>
      <c r="K593" s="11">
        <f>IF(E593="Private",G593,"")</f>
        <v/>
      </c>
    </row>
    <row r="594">
      <c r="A594" s="9" t="n">
        <v>190691</v>
      </c>
      <c r="B594" s="9" t="inlineStr">
        <is>
          <t>CUNY York College</t>
        </is>
      </c>
      <c r="C594" s="9" t="inlineStr">
        <is>
          <t>Jamaica</t>
        </is>
      </c>
      <c r="D594" s="9" t="inlineStr">
        <is>
          <t>NY</t>
        </is>
      </c>
      <c r="E594" s="9" t="inlineStr">
        <is>
          <t>Public</t>
        </is>
      </c>
      <c r="F594" s="11" t="n">
        <v>4456</v>
      </c>
      <c r="G594" s="11" t="n">
        <v>56945</v>
      </c>
      <c r="H594" s="9">
        <f>COUNTIF($G$5:$G$1531,"&gt;"&amp;G594)+1</f>
        <v/>
      </c>
      <c r="I594" s="9" t="inlineStr"/>
      <c r="J594" s="11">
        <f>IF(E594="Private",F594,"")</f>
        <v/>
      </c>
      <c r="K594" s="11">
        <f>IF(E594="Private",G594,"")</f>
        <v/>
      </c>
    </row>
    <row r="595">
      <c r="A595" s="9" t="n">
        <v>462354</v>
      </c>
      <c r="B595" s="9" t="inlineStr">
        <is>
          <t>John Paul the Great Catholic University</t>
        </is>
      </c>
      <c r="C595" s="9" t="inlineStr">
        <is>
          <t>Escondido</t>
        </is>
      </c>
      <c r="D595" s="9" t="inlineStr">
        <is>
          <t>CA</t>
        </is>
      </c>
      <c r="E595" s="9" t="inlineStr">
        <is>
          <t>Private</t>
        </is>
      </c>
      <c r="F595" s="11" t="n">
        <v>34666</v>
      </c>
      <c r="G595" s="11" t="n">
        <v>56930</v>
      </c>
      <c r="H595" s="9">
        <f>COUNTIF($G$5:$G$1531,"&gt;"&amp;G595)+1</f>
        <v/>
      </c>
      <c r="I595" s="9" t="inlineStr"/>
      <c r="J595" s="11">
        <f>IF(E595="Private",F595,"")</f>
        <v/>
      </c>
      <c r="K595" s="11">
        <f>IF(E595="Private",G595,"")</f>
        <v/>
      </c>
    </row>
    <row r="596">
      <c r="A596" s="9" t="n">
        <v>173920</v>
      </c>
      <c r="B596" s="9" t="inlineStr">
        <is>
          <t>Minnesota State University-Mankato</t>
        </is>
      </c>
      <c r="C596" s="9" t="inlineStr">
        <is>
          <t>Mankato</t>
        </is>
      </c>
      <c r="D596" s="9" t="inlineStr">
        <is>
          <t>MN</t>
        </is>
      </c>
      <c r="E596" s="9" t="inlineStr">
        <is>
          <t>Public</t>
        </is>
      </c>
      <c r="F596" s="11" t="n">
        <v>19139</v>
      </c>
      <c r="G596" s="11" t="n">
        <v>56922</v>
      </c>
      <c r="H596" s="9">
        <f>COUNTIF($G$5:$G$1531,"&gt;"&amp;G596)+1</f>
        <v/>
      </c>
      <c r="I596" s="9" t="inlineStr"/>
      <c r="J596" s="11">
        <f>IF(E596="Private",F596,"")</f>
        <v/>
      </c>
      <c r="K596" s="11">
        <f>IF(E596="Private",G596,"")</f>
        <v/>
      </c>
    </row>
    <row r="597">
      <c r="A597" s="9" t="n">
        <v>213251</v>
      </c>
      <c r="B597" s="9" t="inlineStr">
        <is>
          <t>Juniata College</t>
        </is>
      </c>
      <c r="C597" s="9" t="inlineStr">
        <is>
          <t>Huntingdon</t>
        </is>
      </c>
      <c r="D597" s="9" t="inlineStr">
        <is>
          <t>PA</t>
        </is>
      </c>
      <c r="E597" s="9" t="inlineStr">
        <is>
          <t>Private</t>
        </is>
      </c>
      <c r="F597" s="11" t="n">
        <v>23988</v>
      </c>
      <c r="G597" s="11" t="n">
        <v>56918</v>
      </c>
      <c r="H597" s="9">
        <f>COUNTIF($G$5:$G$1531,"&gt;"&amp;G597)+1</f>
        <v/>
      </c>
      <c r="I597" s="9" t="inlineStr"/>
      <c r="J597" s="11">
        <f>IF(E597="Private",F597,"")</f>
        <v/>
      </c>
      <c r="K597" s="11">
        <f>IF(E597="Private",G597,"")</f>
        <v/>
      </c>
    </row>
    <row r="598">
      <c r="A598" s="9" t="n">
        <v>210401</v>
      </c>
      <c r="B598" s="9" t="inlineStr">
        <is>
          <t>Willamette University</t>
        </is>
      </c>
      <c r="C598" s="9" t="inlineStr">
        <is>
          <t>Salem</t>
        </is>
      </c>
      <c r="D598" s="9" t="inlineStr">
        <is>
          <t>OR</t>
        </is>
      </c>
      <c r="E598" s="9" t="inlineStr">
        <is>
          <t>Private</t>
        </is>
      </c>
      <c r="F598" s="11" t="n">
        <v>25121</v>
      </c>
      <c r="G598" s="11" t="n">
        <v>56911</v>
      </c>
      <c r="H598" s="9">
        <f>COUNTIF($G$5:$G$1531,"&gt;"&amp;G598)+1</f>
        <v/>
      </c>
      <c r="I598" s="9" t="inlineStr"/>
      <c r="J598" s="11">
        <f>IF(E598="Private",F598,"")</f>
        <v/>
      </c>
      <c r="K598" s="11">
        <f>IF(E598="Private",G598,"")</f>
        <v/>
      </c>
    </row>
    <row r="599">
      <c r="A599" s="9" t="n">
        <v>228459</v>
      </c>
      <c r="B599" s="9" t="inlineStr">
        <is>
          <t>Texas State University</t>
        </is>
      </c>
      <c r="C599" s="9" t="inlineStr">
        <is>
          <t>San Marcos</t>
        </is>
      </c>
      <c r="D599" s="9" t="inlineStr">
        <is>
          <t>TX</t>
        </is>
      </c>
      <c r="E599" s="9" t="inlineStr">
        <is>
          <t>Public</t>
        </is>
      </c>
      <c r="F599" s="11" t="n">
        <v>16805</v>
      </c>
      <c r="G599" s="11" t="n">
        <v>56906</v>
      </c>
      <c r="H599" s="9">
        <f>COUNTIF($G$5:$G$1531,"&gt;"&amp;G599)+1</f>
        <v/>
      </c>
      <c r="I599" s="9" t="inlineStr"/>
      <c r="J599" s="11">
        <f>IF(E599="Private",F599,"")</f>
        <v/>
      </c>
      <c r="K599" s="11">
        <f>IF(E599="Private",G599,"")</f>
        <v/>
      </c>
    </row>
    <row r="600">
      <c r="A600" s="9" t="n">
        <v>181464</v>
      </c>
      <c r="B600" s="9" t="inlineStr">
        <is>
          <t>University of Nebraska-Lincoln</t>
        </is>
      </c>
      <c r="C600" s="9" t="inlineStr">
        <is>
          <t>Lincoln</t>
        </is>
      </c>
      <c r="D600" s="9" t="inlineStr">
        <is>
          <t>NE</t>
        </is>
      </c>
      <c r="E600" s="9" t="inlineStr">
        <is>
          <t>Public</t>
        </is>
      </c>
      <c r="F600" s="11" t="n">
        <v>17747</v>
      </c>
      <c r="G600" s="11" t="n">
        <v>56887</v>
      </c>
      <c r="H600" s="9">
        <f>COUNTIF($G$5:$G$1531,"&gt;"&amp;G600)+1</f>
        <v/>
      </c>
      <c r="I600" s="9" t="inlineStr"/>
      <c r="J600" s="11">
        <f>IF(E600="Private",F600,"")</f>
        <v/>
      </c>
      <c r="K600" s="11">
        <f>IF(E600="Private",G600,"")</f>
        <v/>
      </c>
    </row>
    <row r="601">
      <c r="A601" s="9" t="n">
        <v>240727</v>
      </c>
      <c r="B601" s="9" t="inlineStr">
        <is>
          <t>University of Wyoming</t>
        </is>
      </c>
      <c r="C601" s="9" t="inlineStr">
        <is>
          <t>Laramie</t>
        </is>
      </c>
      <c r="D601" s="9" t="inlineStr">
        <is>
          <t>WY</t>
        </is>
      </c>
      <c r="E601" s="9" t="inlineStr">
        <is>
          <t>Public</t>
        </is>
      </c>
      <c r="F601" s="11" t="n">
        <v>13599</v>
      </c>
      <c r="G601" s="11" t="n">
        <v>56880</v>
      </c>
      <c r="H601" s="9">
        <f>COUNTIF($G$5:$G$1531,"&gt;"&amp;G601)+1</f>
        <v/>
      </c>
      <c r="I601" s="9" t="inlineStr"/>
      <c r="J601" s="11">
        <f>IF(E601="Private",F601,"")</f>
        <v/>
      </c>
      <c r="K601" s="11">
        <f>IF(E601="Private",G601,"")</f>
        <v/>
      </c>
    </row>
    <row r="602">
      <c r="A602" s="9" t="n">
        <v>228343</v>
      </c>
      <c r="B602" s="9" t="inlineStr">
        <is>
          <t>Southwestern University</t>
        </is>
      </c>
      <c r="C602" s="9" t="inlineStr">
        <is>
          <t>Georgetown</t>
        </is>
      </c>
      <c r="D602" s="9" t="inlineStr">
        <is>
          <t>TX</t>
        </is>
      </c>
      <c r="E602" s="9" t="inlineStr">
        <is>
          <t>Private</t>
        </is>
      </c>
      <c r="F602" s="11" t="n">
        <v>29224</v>
      </c>
      <c r="G602" s="11" t="n">
        <v>56878</v>
      </c>
      <c r="H602" s="9">
        <f>COUNTIF($G$5:$G$1531,"&gt;"&amp;G602)+1</f>
        <v/>
      </c>
      <c r="I602" s="9" t="inlineStr"/>
      <c r="J602" s="11">
        <f>IF(E602="Private",F602,"")</f>
        <v/>
      </c>
      <c r="K602" s="11">
        <f>IF(E602="Private",G602,"")</f>
        <v/>
      </c>
    </row>
    <row r="603">
      <c r="A603" s="9" t="n">
        <v>206349</v>
      </c>
      <c r="B603" s="9" t="inlineStr">
        <is>
          <t>Ursuline College</t>
        </is>
      </c>
      <c r="C603" s="9" t="inlineStr">
        <is>
          <t>Pepper Pike</t>
        </is>
      </c>
      <c r="D603" s="9" t="inlineStr">
        <is>
          <t>OH</t>
        </is>
      </c>
      <c r="E603" s="9" t="inlineStr">
        <is>
          <t>Private</t>
        </is>
      </c>
      <c r="F603" s="11" t="n">
        <v>16164</v>
      </c>
      <c r="G603" s="11" t="n">
        <v>56878</v>
      </c>
      <c r="H603" s="9">
        <f>COUNTIF($G$5:$G$1531,"&gt;"&amp;G603)+1</f>
        <v/>
      </c>
      <c r="I603" s="9" t="inlineStr"/>
      <c r="J603" s="11">
        <f>IF(E603="Private",F603,"")</f>
        <v/>
      </c>
      <c r="K603" s="11">
        <f>IF(E603="Private",G603,"")</f>
        <v/>
      </c>
    </row>
    <row r="604">
      <c r="A604" s="9" t="n">
        <v>224226</v>
      </c>
      <c r="B604" s="9" t="inlineStr">
        <is>
          <t>Dallas Baptist University</t>
        </is>
      </c>
      <c r="C604" s="9" t="inlineStr">
        <is>
          <t>Dallas</t>
        </is>
      </c>
      <c r="D604" s="9" t="inlineStr">
        <is>
          <t>TX</t>
        </is>
      </c>
      <c r="E604" s="9" t="inlineStr">
        <is>
          <t>Private</t>
        </is>
      </c>
      <c r="F604" s="11" t="n">
        <v>28516</v>
      </c>
      <c r="G604" s="11" t="n">
        <v>56807</v>
      </c>
      <c r="H604" s="9">
        <f>COUNTIF($G$5:$G$1531,"&gt;"&amp;G604)+1</f>
        <v/>
      </c>
      <c r="I604" s="9" t="inlineStr"/>
      <c r="J604" s="11">
        <f>IF(E604="Private",F604,"")</f>
        <v/>
      </c>
      <c r="K604" s="11">
        <f>IF(E604="Private",G604,"")</f>
        <v/>
      </c>
    </row>
    <row r="605">
      <c r="A605" s="9" t="n">
        <v>110097</v>
      </c>
      <c r="B605" s="9" t="inlineStr">
        <is>
          <t>Biola University</t>
        </is>
      </c>
      <c r="C605" s="9" t="inlineStr">
        <is>
          <t>La Mirada</t>
        </is>
      </c>
      <c r="D605" s="9" t="inlineStr">
        <is>
          <t>CA</t>
        </is>
      </c>
      <c r="E605" s="9" t="inlineStr">
        <is>
          <t>Private</t>
        </is>
      </c>
      <c r="F605" s="11" t="n">
        <v>31495</v>
      </c>
      <c r="G605" s="11" t="n">
        <v>56778</v>
      </c>
      <c r="H605" s="9">
        <f>COUNTIF($G$5:$G$1531,"&gt;"&amp;G605)+1</f>
        <v/>
      </c>
      <c r="I605" s="9" t="inlineStr"/>
      <c r="J605" s="11">
        <f>IF(E605="Private",F605,"")</f>
        <v/>
      </c>
      <c r="K605" s="11">
        <f>IF(E605="Private",G605,"")</f>
        <v/>
      </c>
    </row>
    <row r="606">
      <c r="A606" s="9" t="n">
        <v>133669</v>
      </c>
      <c r="B606" s="9" t="inlineStr">
        <is>
          <t>Florida Atlantic University</t>
        </is>
      </c>
      <c r="C606" s="9" t="inlineStr">
        <is>
          <t>Boca Raton</t>
        </is>
      </c>
      <c r="D606" s="9" t="inlineStr">
        <is>
          <t>FL</t>
        </is>
      </c>
      <c r="E606" s="9" t="inlineStr">
        <is>
          <t>Public</t>
        </is>
      </c>
      <c r="F606" s="11" t="n">
        <v>8752</v>
      </c>
      <c r="G606" s="11" t="n">
        <v>56746</v>
      </c>
      <c r="H606" s="9">
        <f>COUNTIF($G$5:$G$1531,"&gt;"&amp;G606)+1</f>
        <v/>
      </c>
      <c r="I606" s="9" t="inlineStr"/>
      <c r="J606" s="11">
        <f>IF(E606="Private",F606,"")</f>
        <v/>
      </c>
      <c r="K606" s="11">
        <f>IF(E606="Private",G606,"")</f>
        <v/>
      </c>
    </row>
    <row r="607">
      <c r="A607" s="9" t="n">
        <v>225627</v>
      </c>
      <c r="B607" s="9" t="inlineStr">
        <is>
          <t>University of the Incarnate Word</t>
        </is>
      </c>
      <c r="C607" s="9" t="inlineStr">
        <is>
          <t>San Antonio</t>
        </is>
      </c>
      <c r="D607" s="9" t="inlineStr">
        <is>
          <t>TX</t>
        </is>
      </c>
      <c r="E607" s="9" t="inlineStr">
        <is>
          <t>Private</t>
        </is>
      </c>
      <c r="F607" s="11" t="n">
        <v>22775</v>
      </c>
      <c r="G607" s="11" t="n">
        <v>56733</v>
      </c>
      <c r="H607" s="9">
        <f>COUNTIF($G$5:$G$1531,"&gt;"&amp;G607)+1</f>
        <v/>
      </c>
      <c r="I607" s="9" t="inlineStr"/>
      <c r="J607" s="11">
        <f>IF(E607="Private",F607,"")</f>
        <v/>
      </c>
      <c r="K607" s="11">
        <f>IF(E607="Private",G607,"")</f>
        <v/>
      </c>
    </row>
    <row r="608">
      <c r="A608" s="9" t="n">
        <v>167729</v>
      </c>
      <c r="B608" s="9" t="inlineStr">
        <is>
          <t>Salem State University</t>
        </is>
      </c>
      <c r="C608" s="9" t="inlineStr">
        <is>
          <t>Salem</t>
        </is>
      </c>
      <c r="D608" s="9" t="inlineStr">
        <is>
          <t>MA</t>
        </is>
      </c>
      <c r="E608" s="9" t="inlineStr">
        <is>
          <t>Public</t>
        </is>
      </c>
      <c r="F608" s="11" t="n">
        <v>15996</v>
      </c>
      <c r="G608" s="11" t="n">
        <v>56662</v>
      </c>
      <c r="H608" s="9">
        <f>COUNTIF($G$5:$G$1531,"&gt;"&amp;G608)+1</f>
        <v/>
      </c>
      <c r="I608" s="9" t="inlineStr"/>
      <c r="J608" s="11">
        <f>IF(E608="Private",F608,"")</f>
        <v/>
      </c>
      <c r="K608" s="11">
        <f>IF(E608="Private",G608,"")</f>
        <v/>
      </c>
    </row>
    <row r="609">
      <c r="A609" s="9" t="n">
        <v>200156</v>
      </c>
      <c r="B609" s="9" t="inlineStr">
        <is>
          <t>University of Jamestown</t>
        </is>
      </c>
      <c r="C609" s="9" t="inlineStr">
        <is>
          <t>Jamestown</t>
        </is>
      </c>
      <c r="D609" s="9" t="inlineStr">
        <is>
          <t>ND</t>
        </is>
      </c>
      <c r="E609" s="9" t="inlineStr">
        <is>
          <t>Private</t>
        </is>
      </c>
      <c r="F609" s="11" t="n">
        <v>19567</v>
      </c>
      <c r="G609" s="11" t="n">
        <v>56621</v>
      </c>
      <c r="H609" s="9">
        <f>COUNTIF($G$5:$G$1531,"&gt;"&amp;G609)+1</f>
        <v/>
      </c>
      <c r="I609" s="9" t="inlineStr"/>
      <c r="J609" s="11">
        <f>IF(E609="Private",F609,"")</f>
        <v/>
      </c>
      <c r="K609" s="11">
        <f>IF(E609="Private",G609,"")</f>
        <v/>
      </c>
    </row>
    <row r="610">
      <c r="A610" s="9" t="n">
        <v>229179</v>
      </c>
      <c r="B610" s="9" t="inlineStr">
        <is>
          <t>Texas Woman's University</t>
        </is>
      </c>
      <c r="C610" s="9" t="inlineStr">
        <is>
          <t>Denton</t>
        </is>
      </c>
      <c r="D610" s="9" t="inlineStr">
        <is>
          <t>TX</t>
        </is>
      </c>
      <c r="E610" s="9" t="inlineStr">
        <is>
          <t>Public</t>
        </is>
      </c>
      <c r="F610" s="11" t="n">
        <v>11963</v>
      </c>
      <c r="G610" s="11" t="n">
        <v>56544</v>
      </c>
      <c r="H610" s="9">
        <f>COUNTIF($G$5:$G$1531,"&gt;"&amp;G610)+1</f>
        <v/>
      </c>
      <c r="I610" s="9" t="inlineStr"/>
      <c r="J610" s="11">
        <f>IF(E610="Private",F610,"")</f>
        <v/>
      </c>
      <c r="K610" s="11">
        <f>IF(E610="Private",G610,"")</f>
        <v/>
      </c>
    </row>
    <row r="611">
      <c r="A611" s="9" t="n">
        <v>129215</v>
      </c>
      <c r="B611" s="9" t="inlineStr">
        <is>
          <t>Eastern Connecticut State University</t>
        </is>
      </c>
      <c r="C611" s="9" t="inlineStr">
        <is>
          <t>Willimantic</t>
        </is>
      </c>
      <c r="D611" s="9" t="inlineStr">
        <is>
          <t>CT</t>
        </is>
      </c>
      <c r="E611" s="9" t="inlineStr">
        <is>
          <t>Public</t>
        </is>
      </c>
      <c r="F611" s="11" t="n">
        <v>21067</v>
      </c>
      <c r="G611" s="11" t="n">
        <v>56469</v>
      </c>
      <c r="H611" s="9">
        <f>COUNTIF($G$5:$G$1531,"&gt;"&amp;G611)+1</f>
        <v/>
      </c>
      <c r="I611" s="9" t="inlineStr"/>
      <c r="J611" s="11">
        <f>IF(E611="Private",F611,"")</f>
        <v/>
      </c>
      <c r="K611" s="11">
        <f>IF(E611="Private",G611,"")</f>
        <v/>
      </c>
    </row>
    <row r="612">
      <c r="A612" s="9" t="n">
        <v>193584</v>
      </c>
      <c r="B612" s="9" t="inlineStr">
        <is>
          <t>Nazareth University</t>
        </is>
      </c>
      <c r="C612" s="9" t="inlineStr">
        <is>
          <t>Rochester</t>
        </is>
      </c>
      <c r="D612" s="9" t="inlineStr">
        <is>
          <t>NY</t>
        </is>
      </c>
      <c r="E612" s="9" t="inlineStr">
        <is>
          <t>Private</t>
        </is>
      </c>
      <c r="F612" s="11" t="n">
        <v>29357</v>
      </c>
      <c r="G612" s="11" t="n">
        <v>56458</v>
      </c>
      <c r="H612" s="9">
        <f>COUNTIF($G$5:$G$1531,"&gt;"&amp;G612)+1</f>
        <v/>
      </c>
      <c r="I612" s="9" t="inlineStr"/>
      <c r="J612" s="11">
        <f>IF(E612="Private",F612,"")</f>
        <v/>
      </c>
      <c r="K612" s="11">
        <f>IF(E612="Private",G612,"")</f>
        <v/>
      </c>
    </row>
    <row r="613">
      <c r="A613" s="9" t="n">
        <v>217819</v>
      </c>
      <c r="B613" s="9" t="inlineStr">
        <is>
          <t>College of Charleston</t>
        </is>
      </c>
      <c r="C613" s="9" t="inlineStr">
        <is>
          <t>Charleston</t>
        </is>
      </c>
      <c r="D613" s="9" t="inlineStr">
        <is>
          <t>SC</t>
        </is>
      </c>
      <c r="E613" s="9" t="inlineStr">
        <is>
          <t>Public</t>
        </is>
      </c>
      <c r="F613" s="11" t="n">
        <v>18960</v>
      </c>
      <c r="G613" s="11" t="n">
        <v>56416</v>
      </c>
      <c r="H613" s="9">
        <f>COUNTIF($G$5:$G$1531,"&gt;"&amp;G613)+1</f>
        <v/>
      </c>
      <c r="I613" s="9" t="inlineStr"/>
      <c r="J613" s="11">
        <f>IF(E613="Private",F613,"")</f>
        <v/>
      </c>
      <c r="K613" s="11">
        <f>IF(E613="Private",G613,"")</f>
        <v/>
      </c>
    </row>
    <row r="614">
      <c r="A614" s="9" t="n">
        <v>181446</v>
      </c>
      <c r="B614" s="9" t="inlineStr">
        <is>
          <t>Nebraska Wesleyan University</t>
        </is>
      </c>
      <c r="C614" s="9" t="inlineStr">
        <is>
          <t>Lincoln</t>
        </is>
      </c>
      <c r="D614" s="9" t="inlineStr">
        <is>
          <t>NE</t>
        </is>
      </c>
      <c r="E614" s="9" t="inlineStr">
        <is>
          <t>Private</t>
        </is>
      </c>
      <c r="F614" s="11" t="n">
        <v>18327</v>
      </c>
      <c r="G614" s="11" t="n">
        <v>56405</v>
      </c>
      <c r="H614" s="9">
        <f>COUNTIF($G$5:$G$1531,"&gt;"&amp;G614)+1</f>
        <v/>
      </c>
      <c r="I614" s="9" t="inlineStr"/>
      <c r="J614" s="11">
        <f>IF(E614="Private",F614,"")</f>
        <v/>
      </c>
      <c r="K614" s="11">
        <f>IF(E614="Private",G614,"")</f>
        <v/>
      </c>
    </row>
    <row r="615">
      <c r="A615" s="9" t="n">
        <v>196246</v>
      </c>
      <c r="B615" s="9" t="inlineStr">
        <is>
          <t>State University of New York at Plattsburgh</t>
        </is>
      </c>
      <c r="C615" s="9" t="inlineStr">
        <is>
          <t>Plattsburgh</t>
        </is>
      </c>
      <c r="D615" s="9" t="inlineStr">
        <is>
          <t>NY</t>
        </is>
      </c>
      <c r="E615" s="9" t="inlineStr">
        <is>
          <t>Public</t>
        </is>
      </c>
      <c r="F615" s="11" t="n">
        <v>17156</v>
      </c>
      <c r="G615" s="11" t="n">
        <v>56403</v>
      </c>
      <c r="H615" s="9">
        <f>COUNTIF($G$5:$G$1531,"&gt;"&amp;G615)+1</f>
        <v/>
      </c>
      <c r="I615" s="9" t="inlineStr"/>
      <c r="J615" s="11">
        <f>IF(E615="Private",F615,"")</f>
        <v/>
      </c>
      <c r="K615" s="11">
        <f>IF(E615="Private",G615,"")</f>
        <v/>
      </c>
    </row>
    <row r="616">
      <c r="A616" s="9" t="n">
        <v>232609</v>
      </c>
      <c r="B616" s="9" t="inlineStr">
        <is>
          <t>University of Lynchburg</t>
        </is>
      </c>
      <c r="C616" s="9" t="inlineStr">
        <is>
          <t>Lynchburg</t>
        </is>
      </c>
      <c r="D616" s="9" t="inlineStr">
        <is>
          <t>VA</t>
        </is>
      </c>
      <c r="E616" s="9" t="inlineStr">
        <is>
          <t>Private</t>
        </is>
      </c>
      <c r="F616" s="11" t="n">
        <v>22235</v>
      </c>
      <c r="G616" s="11" t="n">
        <v>56380</v>
      </c>
      <c r="H616" s="9">
        <f>COUNTIF($G$5:$G$1531,"&gt;"&amp;G616)+1</f>
        <v/>
      </c>
      <c r="I616" s="9" t="inlineStr"/>
      <c r="J616" s="11">
        <f>IF(E616="Private",F616,"")</f>
        <v/>
      </c>
      <c r="K616" s="11">
        <f>IF(E616="Private",G616,"")</f>
        <v/>
      </c>
    </row>
    <row r="617">
      <c r="A617" s="9" t="n">
        <v>216010</v>
      </c>
      <c r="B617" s="9" t="inlineStr">
        <is>
          <t>Shippensburg University of Pennsylvania</t>
        </is>
      </c>
      <c r="C617" s="9" t="inlineStr">
        <is>
          <t>Shippensburg</t>
        </is>
      </c>
      <c r="D617" s="9" t="inlineStr">
        <is>
          <t>PA</t>
        </is>
      </c>
      <c r="E617" s="9" t="inlineStr">
        <is>
          <t>Public</t>
        </is>
      </c>
      <c r="F617" s="11" t="n">
        <v>23726</v>
      </c>
      <c r="G617" s="11" t="n">
        <v>56351</v>
      </c>
      <c r="H617" s="9">
        <f>COUNTIF($G$5:$G$1531,"&gt;"&amp;G617)+1</f>
        <v/>
      </c>
      <c r="I617" s="9" t="inlineStr"/>
      <c r="J617" s="11">
        <f>IF(E617="Private",F617,"")</f>
        <v/>
      </c>
      <c r="K617" s="11">
        <f>IF(E617="Private",G617,"")</f>
        <v/>
      </c>
    </row>
    <row r="618">
      <c r="A618" s="9" t="n">
        <v>149231</v>
      </c>
      <c r="B618" s="9" t="inlineStr">
        <is>
          <t>Southern Illinois University Edwardsville</t>
        </is>
      </c>
      <c r="C618" s="9" t="inlineStr">
        <is>
          <t>Edwardsville</t>
        </is>
      </c>
      <c r="D618" s="9" t="inlineStr">
        <is>
          <t>IL</t>
        </is>
      </c>
      <c r="E618" s="9" t="inlineStr">
        <is>
          <t>Public</t>
        </is>
      </c>
      <c r="F618" s="11" t="n">
        <v>14889</v>
      </c>
      <c r="G618" s="11" t="n">
        <v>56346</v>
      </c>
      <c r="H618" s="9">
        <f>COUNTIF($G$5:$G$1531,"&gt;"&amp;G618)+1</f>
        <v/>
      </c>
      <c r="I618" s="9" t="inlineStr"/>
      <c r="J618" s="11">
        <f>IF(E618="Private",F618,"")</f>
        <v/>
      </c>
      <c r="K618" s="11">
        <f>IF(E618="Private",G618,"")</f>
        <v/>
      </c>
    </row>
    <row r="619">
      <c r="A619" s="9" t="n">
        <v>136172</v>
      </c>
      <c r="B619" s="9" t="inlineStr">
        <is>
          <t>University of North Florida</t>
        </is>
      </c>
      <c r="C619" s="9" t="inlineStr">
        <is>
          <t>Jacksonville</t>
        </is>
      </c>
      <c r="D619" s="9" t="inlineStr">
        <is>
          <t>FL</t>
        </is>
      </c>
      <c r="E619" s="9" t="inlineStr">
        <is>
          <t>Public</t>
        </is>
      </c>
      <c r="F619" s="11" t="n">
        <v>10154</v>
      </c>
      <c r="G619" s="11" t="n">
        <v>56343</v>
      </c>
      <c r="H619" s="9">
        <f>COUNTIF($G$5:$G$1531,"&gt;"&amp;G619)+1</f>
        <v/>
      </c>
      <c r="I619" s="9" t="inlineStr"/>
      <c r="J619" s="11">
        <f>IF(E619="Private",F619,"")</f>
        <v/>
      </c>
      <c r="K619" s="11">
        <f>IF(E619="Private",G619,"")</f>
        <v/>
      </c>
    </row>
    <row r="620">
      <c r="A620" s="9" t="n">
        <v>217420</v>
      </c>
      <c r="B620" s="9" t="inlineStr">
        <is>
          <t>Rhode Island College</t>
        </is>
      </c>
      <c r="C620" s="9" t="inlineStr">
        <is>
          <t>Providence</t>
        </is>
      </c>
      <c r="D620" s="9" t="inlineStr">
        <is>
          <t>RI</t>
        </is>
      </c>
      <c r="E620" s="9" t="inlineStr">
        <is>
          <t>Public</t>
        </is>
      </c>
      <c r="F620" s="11" t="n">
        <v>9478</v>
      </c>
      <c r="G620" s="11" t="n">
        <v>56318</v>
      </c>
      <c r="H620" s="9">
        <f>COUNTIF($G$5:$G$1531,"&gt;"&amp;G620)+1</f>
        <v/>
      </c>
      <c r="I620" s="9" t="inlineStr"/>
      <c r="J620" s="11">
        <f>IF(E620="Private",F620,"")</f>
        <v/>
      </c>
      <c r="K620" s="11">
        <f>IF(E620="Private",G620,"")</f>
        <v/>
      </c>
    </row>
    <row r="621">
      <c r="A621" s="9" t="n">
        <v>146339</v>
      </c>
      <c r="B621" s="9" t="inlineStr">
        <is>
          <t>Judson University</t>
        </is>
      </c>
      <c r="C621" s="9" t="inlineStr">
        <is>
          <t>Elgin</t>
        </is>
      </c>
      <c r="D621" s="9" t="inlineStr">
        <is>
          <t>IL</t>
        </is>
      </c>
      <c r="E621" s="9" t="inlineStr">
        <is>
          <t>Private</t>
        </is>
      </c>
      <c r="F621" s="11" t="n">
        <v>18558</v>
      </c>
      <c r="G621" s="11" t="n">
        <v>56313</v>
      </c>
      <c r="H621" s="9">
        <f>COUNTIF($G$5:$G$1531,"&gt;"&amp;G621)+1</f>
        <v/>
      </c>
      <c r="I621" s="9" t="inlineStr"/>
      <c r="J621" s="11">
        <f>IF(E621="Private",F621,"")</f>
        <v/>
      </c>
      <c r="K621" s="11">
        <f>IF(E621="Private",G621,"")</f>
        <v/>
      </c>
    </row>
    <row r="622">
      <c r="A622" s="9" t="n">
        <v>234669</v>
      </c>
      <c r="B622" s="9" t="inlineStr">
        <is>
          <t>Bellevue College</t>
        </is>
      </c>
      <c r="C622" s="9" t="inlineStr">
        <is>
          <t>Bellevue</t>
        </is>
      </c>
      <c r="D622" s="9" t="inlineStr">
        <is>
          <t>WA</t>
        </is>
      </c>
      <c r="E622" s="9" t="inlineStr">
        <is>
          <t>Public</t>
        </is>
      </c>
      <c r="F622" s="11" t="n">
        <v>11430</v>
      </c>
      <c r="G622" s="11" t="n">
        <v>56310</v>
      </c>
      <c r="H622" s="9">
        <f>COUNTIF($G$5:$G$1531,"&gt;"&amp;G622)+1</f>
        <v/>
      </c>
      <c r="I622" s="9" t="inlineStr"/>
      <c r="J622" s="11">
        <f>IF(E622="Private",F622,"")</f>
        <v/>
      </c>
      <c r="K622" s="11">
        <f>IF(E622="Private",G622,"")</f>
        <v/>
      </c>
    </row>
    <row r="623">
      <c r="A623" s="9" t="n">
        <v>178721</v>
      </c>
      <c r="B623" s="9" t="inlineStr">
        <is>
          <t>Park University</t>
        </is>
      </c>
      <c r="C623" s="9" t="inlineStr">
        <is>
          <t>Parkville</t>
        </is>
      </c>
      <c r="D623" s="9" t="inlineStr">
        <is>
          <t>MO</t>
        </is>
      </c>
      <c r="E623" s="9" t="inlineStr">
        <is>
          <t>Private</t>
        </is>
      </c>
      <c r="F623" s="11" t="n">
        <v>21032</v>
      </c>
      <c r="G623" s="11" t="n">
        <v>56309</v>
      </c>
      <c r="H623" s="9">
        <f>COUNTIF($G$5:$G$1531,"&gt;"&amp;G623)+1</f>
        <v/>
      </c>
      <c r="I623" s="9" t="inlineStr"/>
      <c r="J623" s="11">
        <f>IF(E623="Private",F623,"")</f>
        <v/>
      </c>
      <c r="K623" s="11">
        <f>IF(E623="Private",G623,"")</f>
        <v/>
      </c>
    </row>
    <row r="624">
      <c r="A624" s="9" t="n">
        <v>230782</v>
      </c>
      <c r="B624" s="9" t="inlineStr">
        <is>
          <t>Weber State University</t>
        </is>
      </c>
      <c r="C624" s="9" t="inlineStr">
        <is>
          <t>Ogden</t>
        </is>
      </c>
      <c r="D624" s="9" t="inlineStr">
        <is>
          <t>UT</t>
        </is>
      </c>
      <c r="E624" s="9" t="inlineStr">
        <is>
          <t>Public</t>
        </is>
      </c>
      <c r="F624" s="11" t="n">
        <v>10258</v>
      </c>
      <c r="G624" s="11" t="n">
        <v>56287</v>
      </c>
      <c r="H624" s="9">
        <f>COUNTIF($G$5:$G$1531,"&gt;"&amp;G624)+1</f>
        <v/>
      </c>
      <c r="I624" s="9" t="inlineStr"/>
      <c r="J624" s="11">
        <f>IF(E624="Private",F624,"")</f>
        <v/>
      </c>
      <c r="K624" s="11">
        <f>IF(E624="Private",G624,"")</f>
        <v/>
      </c>
    </row>
    <row r="625">
      <c r="A625" s="9" t="n">
        <v>178615</v>
      </c>
      <c r="B625" s="9" t="inlineStr">
        <is>
          <t>Truman State University</t>
        </is>
      </c>
      <c r="C625" s="9" t="inlineStr">
        <is>
          <t>Kirksville</t>
        </is>
      </c>
      <c r="D625" s="9" t="inlineStr">
        <is>
          <t>MO</t>
        </is>
      </c>
      <c r="E625" s="9" t="inlineStr">
        <is>
          <t>Public</t>
        </is>
      </c>
      <c r="F625" s="11" t="n">
        <v>12780</v>
      </c>
      <c r="G625" s="11" t="n">
        <v>56280</v>
      </c>
      <c r="H625" s="9">
        <f>COUNTIF($G$5:$G$1531,"&gt;"&amp;G625)+1</f>
        <v/>
      </c>
      <c r="I625" s="9" t="inlineStr"/>
      <c r="J625" s="11">
        <f>IF(E625="Private",F625,"")</f>
        <v/>
      </c>
      <c r="K625" s="11">
        <f>IF(E625="Private",G625,"")</f>
        <v/>
      </c>
    </row>
    <row r="626">
      <c r="A626" s="9" t="n">
        <v>138600</v>
      </c>
      <c r="B626" s="9" t="inlineStr">
        <is>
          <t>Agnes Scott College</t>
        </is>
      </c>
      <c r="C626" s="9" t="inlineStr">
        <is>
          <t>Decatur</t>
        </is>
      </c>
      <c r="D626" s="9" t="inlineStr">
        <is>
          <t>GA</t>
        </is>
      </c>
      <c r="E626" s="9" t="inlineStr">
        <is>
          <t>Private</t>
        </is>
      </c>
      <c r="F626" s="11" t="n">
        <v>24754</v>
      </c>
      <c r="G626" s="11" t="n">
        <v>56274</v>
      </c>
      <c r="H626" s="9">
        <f>COUNTIF($G$5:$G$1531,"&gt;"&amp;G626)+1</f>
        <v/>
      </c>
      <c r="I626" s="9" t="inlineStr"/>
      <c r="J626" s="11">
        <f>IF(E626="Private",F626,"")</f>
        <v/>
      </c>
      <c r="K626" s="11">
        <f>IF(E626="Private",G626,"")</f>
        <v/>
      </c>
    </row>
    <row r="627">
      <c r="A627" s="9" t="n">
        <v>122728</v>
      </c>
      <c r="B627" s="9" t="inlineStr">
        <is>
          <t>William Jessup University</t>
        </is>
      </c>
      <c r="C627" s="9" t="inlineStr">
        <is>
          <t>Rocklin</t>
        </is>
      </c>
      <c r="D627" s="9" t="inlineStr">
        <is>
          <t>CA</t>
        </is>
      </c>
      <c r="E627" s="9" t="inlineStr">
        <is>
          <t>Private</t>
        </is>
      </c>
      <c r="F627" s="11" t="n">
        <v>28062</v>
      </c>
      <c r="G627" s="11" t="n">
        <v>56257</v>
      </c>
      <c r="H627" s="9">
        <f>COUNTIF($G$5:$G$1531,"&gt;"&amp;G627)+1</f>
        <v/>
      </c>
      <c r="I627" s="9" t="inlineStr"/>
      <c r="J627" s="11">
        <f>IF(E627="Private",F627,"")</f>
        <v/>
      </c>
      <c r="K627" s="11">
        <f>IF(E627="Private",G627,"")</f>
        <v/>
      </c>
    </row>
    <row r="628">
      <c r="A628" s="9" t="n">
        <v>213668</v>
      </c>
      <c r="B628" s="9" t="inlineStr">
        <is>
          <t>Lycoming College</t>
        </is>
      </c>
      <c r="C628" s="9" t="inlineStr">
        <is>
          <t>Williamsport</t>
        </is>
      </c>
      <c r="D628" s="9" t="inlineStr">
        <is>
          <t>PA</t>
        </is>
      </c>
      <c r="E628" s="9" t="inlineStr">
        <is>
          <t>Private</t>
        </is>
      </c>
      <c r="F628" s="11" t="n">
        <v>19140</v>
      </c>
      <c r="G628" s="11" t="n">
        <v>56210</v>
      </c>
      <c r="H628" s="9">
        <f>COUNTIF($G$5:$G$1531,"&gt;"&amp;G628)+1</f>
        <v/>
      </c>
      <c r="I628" s="9" t="inlineStr"/>
      <c r="J628" s="11">
        <f>IF(E628="Private",F628,"")</f>
        <v/>
      </c>
      <c r="K628" s="11">
        <f>IF(E628="Private",G628,"")</f>
        <v/>
      </c>
    </row>
    <row r="629">
      <c r="A629" s="9" t="n">
        <v>154527</v>
      </c>
      <c r="B629" s="9" t="inlineStr">
        <is>
          <t>Wartburg College</t>
        </is>
      </c>
      <c r="C629" s="9" t="inlineStr">
        <is>
          <t>Waverly</t>
        </is>
      </c>
      <c r="D629" s="9" t="inlineStr">
        <is>
          <t>IA</t>
        </is>
      </c>
      <c r="E629" s="9" t="inlineStr">
        <is>
          <t>Private</t>
        </is>
      </c>
      <c r="F629" s="11" t="n">
        <v>32908</v>
      </c>
      <c r="G629" s="11" t="n">
        <v>56201</v>
      </c>
      <c r="H629" s="9">
        <f>COUNTIF($G$5:$G$1531,"&gt;"&amp;G629)+1</f>
        <v/>
      </c>
      <c r="I629" s="9" t="inlineStr"/>
      <c r="J629" s="11">
        <f>IF(E629="Private",F629,"")</f>
        <v/>
      </c>
      <c r="K629" s="11">
        <f>IF(E629="Private",G629,"")</f>
        <v/>
      </c>
    </row>
    <row r="630">
      <c r="A630" s="9" t="n">
        <v>193973</v>
      </c>
      <c r="B630" s="9" t="inlineStr">
        <is>
          <t>Niagara University</t>
        </is>
      </c>
      <c r="C630" s="9" t="inlineStr">
        <is>
          <t>Niagara University</t>
        </is>
      </c>
      <c r="D630" s="9" t="inlineStr">
        <is>
          <t>NY</t>
        </is>
      </c>
      <c r="E630" s="9" t="inlineStr">
        <is>
          <t>Private</t>
        </is>
      </c>
      <c r="F630" s="11" t="n">
        <v>17248</v>
      </c>
      <c r="G630" s="11" t="n">
        <v>56196</v>
      </c>
      <c r="H630" s="9">
        <f>COUNTIF($G$5:$G$1531,"&gt;"&amp;G630)+1</f>
        <v/>
      </c>
      <c r="I630" s="9" t="inlineStr"/>
      <c r="J630" s="11">
        <f>IF(E630="Private",F630,"")</f>
        <v/>
      </c>
      <c r="K630" s="11">
        <f>IF(E630="Private",G630,"")</f>
        <v/>
      </c>
    </row>
    <row r="631">
      <c r="A631" s="9" t="n">
        <v>190600</v>
      </c>
      <c r="B631" s="9" t="inlineStr">
        <is>
          <t>CUNY John Jay College of Criminal Justice</t>
        </is>
      </c>
      <c r="C631" s="9" t="inlineStr">
        <is>
          <t>New York</t>
        </is>
      </c>
      <c r="D631" s="9" t="inlineStr">
        <is>
          <t>NY</t>
        </is>
      </c>
      <c r="E631" s="9" t="inlineStr">
        <is>
          <t>Public</t>
        </is>
      </c>
      <c r="F631" s="11" t="n">
        <v>3203</v>
      </c>
      <c r="G631" s="11" t="n">
        <v>56195</v>
      </c>
      <c r="H631" s="9">
        <f>COUNTIF($G$5:$G$1531,"&gt;"&amp;G631)+1</f>
        <v/>
      </c>
      <c r="I631" s="9" t="inlineStr"/>
      <c r="J631" s="11">
        <f>IF(E631="Private",F631,"")</f>
        <v/>
      </c>
      <c r="K631" s="11">
        <f>IF(E631="Private",G631,"")</f>
        <v/>
      </c>
    </row>
    <row r="632">
      <c r="A632" s="9" t="n">
        <v>212115</v>
      </c>
      <c r="B632" s="9" t="inlineStr">
        <is>
          <t>East Stroudsburg University of Pennsylvania</t>
        </is>
      </c>
      <c r="C632" s="9" t="inlineStr">
        <is>
          <t>East Stroudsburg</t>
        </is>
      </c>
      <c r="D632" s="9" t="inlineStr">
        <is>
          <t>PA</t>
        </is>
      </c>
      <c r="E632" s="9" t="inlineStr">
        <is>
          <t>Public</t>
        </is>
      </c>
      <c r="F632" s="11" t="n">
        <v>18134</v>
      </c>
      <c r="G632" s="11" t="n">
        <v>56148</v>
      </c>
      <c r="H632" s="9">
        <f>COUNTIF($G$5:$G$1531,"&gt;"&amp;G632)+1</f>
        <v/>
      </c>
      <c r="I632" s="9" t="inlineStr"/>
      <c r="J632" s="11">
        <f>IF(E632="Private",F632,"")</f>
        <v/>
      </c>
      <c r="K632" s="11">
        <f>IF(E632="Private",G632,"")</f>
        <v/>
      </c>
    </row>
    <row r="633">
      <c r="A633" s="9" t="n">
        <v>226471</v>
      </c>
      <c r="B633" s="9" t="inlineStr">
        <is>
          <t>University of Mary Hardin-Baylor</t>
        </is>
      </c>
      <c r="C633" s="9" t="inlineStr">
        <is>
          <t>Belton</t>
        </is>
      </c>
      <c r="D633" s="9" t="inlineStr">
        <is>
          <t>TX</t>
        </is>
      </c>
      <c r="E633" s="9" t="inlineStr">
        <is>
          <t>Private</t>
        </is>
      </c>
      <c r="F633" s="11" t="n">
        <v>26106</v>
      </c>
      <c r="G633" s="11" t="n">
        <v>56132</v>
      </c>
      <c r="H633" s="9">
        <f>COUNTIF($G$5:$G$1531,"&gt;"&amp;G633)+1</f>
        <v/>
      </c>
      <c r="I633" s="9" t="inlineStr"/>
      <c r="J633" s="11">
        <f>IF(E633="Private",F633,"")</f>
        <v/>
      </c>
      <c r="K633" s="11">
        <f>IF(E633="Private",G633,"")</f>
        <v/>
      </c>
    </row>
    <row r="634">
      <c r="A634" s="9" t="n">
        <v>170082</v>
      </c>
      <c r="B634" s="9" t="inlineStr">
        <is>
          <t>Grand Valley State University</t>
        </is>
      </c>
      <c r="C634" s="9" t="inlineStr">
        <is>
          <t>Allendale</t>
        </is>
      </c>
      <c r="D634" s="9" t="inlineStr">
        <is>
          <t>MI</t>
        </is>
      </c>
      <c r="E634" s="9" t="inlineStr">
        <is>
          <t>Public</t>
        </is>
      </c>
      <c r="F634" s="11" t="n">
        <v>16317</v>
      </c>
      <c r="G634" s="11" t="n">
        <v>56118</v>
      </c>
      <c r="H634" s="9">
        <f>COUNTIF($G$5:$G$1531,"&gt;"&amp;G634)+1</f>
        <v/>
      </c>
      <c r="I634" s="9" t="inlineStr"/>
      <c r="J634" s="11">
        <f>IF(E634="Private",F634,"")</f>
        <v/>
      </c>
      <c r="K634" s="11">
        <f>IF(E634="Private",G634,"")</f>
        <v/>
      </c>
    </row>
    <row r="635">
      <c r="A635" s="9" t="n">
        <v>169363</v>
      </c>
      <c r="B635" s="9" t="inlineStr">
        <is>
          <t>Concordia University Ann Arbor</t>
        </is>
      </c>
      <c r="C635" s="9" t="inlineStr">
        <is>
          <t>Ann Arbor</t>
        </is>
      </c>
      <c r="D635" s="9" t="inlineStr">
        <is>
          <t>MI</t>
        </is>
      </c>
      <c r="E635" s="9" t="inlineStr">
        <is>
          <t>Private</t>
        </is>
      </c>
      <c r="F635" s="11" t="n">
        <v>32811</v>
      </c>
      <c r="G635" s="11" t="n">
        <v>56075</v>
      </c>
      <c r="H635" s="9">
        <f>COUNTIF($G$5:$G$1531,"&gt;"&amp;G635)+1</f>
        <v/>
      </c>
      <c r="I635" s="9" t="inlineStr"/>
      <c r="J635" s="11">
        <f>IF(E635="Private",F635,"")</f>
        <v/>
      </c>
      <c r="K635" s="11">
        <f>IF(E635="Private",G635,"")</f>
        <v/>
      </c>
    </row>
    <row r="636">
      <c r="A636" s="9" t="n">
        <v>238616</v>
      </c>
      <c r="B636" s="9" t="inlineStr">
        <is>
          <t>Concordia University-Wisconsin</t>
        </is>
      </c>
      <c r="C636" s="9" t="inlineStr">
        <is>
          <t>Mequon</t>
        </is>
      </c>
      <c r="D636" s="9" t="inlineStr">
        <is>
          <t>WI</t>
        </is>
      </c>
      <c r="E636" s="9" t="inlineStr">
        <is>
          <t>Private</t>
        </is>
      </c>
      <c r="F636" s="11" t="n">
        <v>36201</v>
      </c>
      <c r="G636" s="11" t="n">
        <v>56075</v>
      </c>
      <c r="H636" s="9">
        <f>COUNTIF($G$5:$G$1531,"&gt;"&amp;G636)+1</f>
        <v/>
      </c>
      <c r="I636" s="9" t="inlineStr"/>
      <c r="J636" s="11">
        <f>IF(E636="Private",F636,"")</f>
        <v/>
      </c>
      <c r="K636" s="11">
        <f>IF(E636="Private",G636,"")</f>
        <v/>
      </c>
    </row>
    <row r="637">
      <c r="A637" s="9" t="n">
        <v>229018</v>
      </c>
      <c r="B637" s="9" t="inlineStr">
        <is>
          <t>The University of Texas Permian Basin</t>
        </is>
      </c>
      <c r="C637" s="9" t="inlineStr">
        <is>
          <t>Odessa</t>
        </is>
      </c>
      <c r="D637" s="9" t="inlineStr">
        <is>
          <t>TX</t>
        </is>
      </c>
      <c r="E637" s="9" t="inlineStr">
        <is>
          <t>Public</t>
        </is>
      </c>
      <c r="F637" s="11" t="n">
        <v>12723</v>
      </c>
      <c r="G637" s="11" t="n">
        <v>56073</v>
      </c>
      <c r="H637" s="9">
        <f>COUNTIF($G$5:$G$1531,"&gt;"&amp;G637)+1</f>
        <v/>
      </c>
      <c r="I637" s="9" t="inlineStr"/>
      <c r="J637" s="11">
        <f>IF(E637="Private",F637,"")</f>
        <v/>
      </c>
      <c r="K637" s="11">
        <f>IF(E637="Private",G637,"")</f>
        <v/>
      </c>
    </row>
    <row r="638">
      <c r="A638" s="9" t="n">
        <v>132471</v>
      </c>
      <c r="B638" s="9" t="inlineStr">
        <is>
          <t>Barry University</t>
        </is>
      </c>
      <c r="C638" s="9" t="inlineStr">
        <is>
          <t>Miami</t>
        </is>
      </c>
      <c r="D638" s="9" t="inlineStr">
        <is>
          <t>FL</t>
        </is>
      </c>
      <c r="E638" s="9" t="inlineStr">
        <is>
          <t>Private</t>
        </is>
      </c>
      <c r="F638" s="11" t="n">
        <v>22613</v>
      </c>
      <c r="G638" s="11" t="n">
        <v>55966</v>
      </c>
      <c r="H638" s="9">
        <f>COUNTIF($G$5:$G$1531,"&gt;"&amp;G638)+1</f>
        <v/>
      </c>
      <c r="I638" s="9" t="inlineStr"/>
      <c r="J638" s="11">
        <f>IF(E638="Private",F638,"")</f>
        <v/>
      </c>
      <c r="K638" s="11">
        <f>IF(E638="Private",G638,"")</f>
        <v/>
      </c>
    </row>
    <row r="639">
      <c r="A639" s="9" t="n">
        <v>238980</v>
      </c>
      <c r="B639" s="9" t="inlineStr">
        <is>
          <t>Lakeland University</t>
        </is>
      </c>
      <c r="C639" s="9" t="inlineStr">
        <is>
          <t>Plymouth</t>
        </is>
      </c>
      <c r="D639" s="9" t="inlineStr">
        <is>
          <t>WI</t>
        </is>
      </c>
      <c r="E639" s="9" t="inlineStr">
        <is>
          <t>Private</t>
        </is>
      </c>
      <c r="F639" s="11" t="n">
        <v>24212</v>
      </c>
      <c r="G639" s="11" t="n">
        <v>55961</v>
      </c>
      <c r="H639" s="9">
        <f>COUNTIF($G$5:$G$1531,"&gt;"&amp;G639)+1</f>
        <v/>
      </c>
      <c r="I639" s="9" t="inlineStr"/>
      <c r="J639" s="11">
        <f>IF(E639="Private",F639,"")</f>
        <v/>
      </c>
      <c r="K639" s="11">
        <f>IF(E639="Private",G639,"")</f>
        <v/>
      </c>
    </row>
    <row r="640">
      <c r="A640" s="9" t="n">
        <v>237701</v>
      </c>
      <c r="B640" s="9" t="inlineStr">
        <is>
          <t>Potomac State College of West Virginia University</t>
        </is>
      </c>
      <c r="C640" s="9" t="inlineStr">
        <is>
          <t>Keyser</t>
        </is>
      </c>
      <c r="D640" s="9" t="inlineStr">
        <is>
          <t>WV</t>
        </is>
      </c>
      <c r="E640" s="9" t="inlineStr">
        <is>
          <t>Public</t>
        </is>
      </c>
      <c r="F640" s="11" t="n">
        <v>9197</v>
      </c>
      <c r="G640" s="11" t="n">
        <v>55939</v>
      </c>
      <c r="H640" s="9">
        <f>COUNTIF($G$5:$G$1531,"&gt;"&amp;G640)+1</f>
        <v/>
      </c>
      <c r="I640" s="9" t="inlineStr"/>
      <c r="J640" s="11">
        <f>IF(E640="Private",F640,"")</f>
        <v/>
      </c>
      <c r="K640" s="11">
        <f>IF(E640="Private",G640,"")</f>
        <v/>
      </c>
    </row>
    <row r="641">
      <c r="A641" s="9" t="n">
        <v>237950</v>
      </c>
      <c r="B641" s="9" t="inlineStr">
        <is>
          <t>West Virginia University Institute of Technology</t>
        </is>
      </c>
      <c r="C641" s="9" t="inlineStr">
        <is>
          <t>Beckley</t>
        </is>
      </c>
      <c r="D641" s="9" t="inlineStr">
        <is>
          <t>WV</t>
        </is>
      </c>
      <c r="E641" s="9" t="inlineStr">
        <is>
          <t>Public</t>
        </is>
      </c>
      <c r="F641" s="11" t="n">
        <v>9337</v>
      </c>
      <c r="G641" s="11" t="n">
        <v>55939</v>
      </c>
      <c r="H641" s="9">
        <f>COUNTIF($G$5:$G$1531,"&gt;"&amp;G641)+1</f>
        <v/>
      </c>
      <c r="I641" s="9" t="inlineStr"/>
      <c r="J641" s="11">
        <f>IF(E641="Private",F641,"")</f>
        <v/>
      </c>
      <c r="K641" s="11">
        <f>IF(E641="Private",G641,"")</f>
        <v/>
      </c>
    </row>
    <row r="642">
      <c r="A642" s="9" t="n">
        <v>238032</v>
      </c>
      <c r="B642" s="9" t="inlineStr">
        <is>
          <t>West Virginia University</t>
        </is>
      </c>
      <c r="C642" s="9" t="inlineStr">
        <is>
          <t>Morgantown</t>
        </is>
      </c>
      <c r="D642" s="9" t="inlineStr">
        <is>
          <t>WV</t>
        </is>
      </c>
      <c r="E642" s="9" t="inlineStr">
        <is>
          <t>Public</t>
        </is>
      </c>
      <c r="F642" s="11" t="n">
        <v>15634</v>
      </c>
      <c r="G642" s="11" t="n">
        <v>55939</v>
      </c>
      <c r="H642" s="9">
        <f>COUNTIF($G$5:$G$1531,"&gt;"&amp;G642)+1</f>
        <v/>
      </c>
      <c r="I642" s="9" t="inlineStr"/>
      <c r="J642" s="11">
        <f>IF(E642="Private",F642,"")</f>
        <v/>
      </c>
      <c r="K642" s="11">
        <f>IF(E642="Private",G642,"")</f>
        <v/>
      </c>
    </row>
    <row r="643">
      <c r="A643" s="9" t="n">
        <v>225399</v>
      </c>
      <c r="B643" s="9" t="inlineStr">
        <is>
          <t>Houston Christian University</t>
        </is>
      </c>
      <c r="C643" s="9" t="inlineStr">
        <is>
          <t>Houston</t>
        </is>
      </c>
      <c r="D643" s="9" t="inlineStr">
        <is>
          <t>TX</t>
        </is>
      </c>
      <c r="E643" s="9" t="inlineStr">
        <is>
          <t>Private</t>
        </is>
      </c>
      <c r="F643" s="11" t="n">
        <v>20629</v>
      </c>
      <c r="G643" s="11" t="n">
        <v>55933</v>
      </c>
      <c r="H643" s="9">
        <f>COUNTIF($G$5:$G$1531,"&gt;"&amp;G643)+1</f>
        <v/>
      </c>
      <c r="I643" s="9" t="inlineStr"/>
      <c r="J643" s="11">
        <f>IF(E643="Private",F643,"")</f>
        <v/>
      </c>
      <c r="K643" s="11">
        <f>IF(E643="Private",G643,"")</f>
        <v/>
      </c>
    </row>
    <row r="644">
      <c r="A644" s="9" t="n">
        <v>219709</v>
      </c>
      <c r="B644" s="9" t="inlineStr">
        <is>
          <t>Belmont University</t>
        </is>
      </c>
      <c r="C644" s="9" t="inlineStr">
        <is>
          <t>Nashville</t>
        </is>
      </c>
      <c r="D644" s="9" t="inlineStr">
        <is>
          <t>TN</t>
        </is>
      </c>
      <c r="E644" s="9" t="inlineStr">
        <is>
          <t>Private</t>
        </is>
      </c>
      <c r="F644" s="11" t="n">
        <v>33147</v>
      </c>
      <c r="G644" s="11" t="n">
        <v>55930</v>
      </c>
      <c r="H644" s="9">
        <f>COUNTIF($G$5:$G$1531,"&gt;"&amp;G644)+1</f>
        <v/>
      </c>
      <c r="I644" s="9" t="inlineStr"/>
      <c r="J644" s="11">
        <f>IF(E644="Private",F644,"")</f>
        <v/>
      </c>
      <c r="K644" s="11">
        <f>IF(E644="Private",G644,"")</f>
        <v/>
      </c>
    </row>
    <row r="645">
      <c r="A645" s="9" t="n">
        <v>161457</v>
      </c>
      <c r="B645" s="9" t="inlineStr">
        <is>
          <t>University of New England</t>
        </is>
      </c>
      <c r="C645" s="9" t="inlineStr">
        <is>
          <t>Biddeford</t>
        </is>
      </c>
      <c r="D645" s="9" t="inlineStr">
        <is>
          <t>ME</t>
        </is>
      </c>
      <c r="E645" s="9" t="inlineStr">
        <is>
          <t>Private</t>
        </is>
      </c>
      <c r="F645" s="11" t="n">
        <v>38107</v>
      </c>
      <c r="G645" s="11" t="n">
        <v>55921</v>
      </c>
      <c r="H645" s="9">
        <f>COUNTIF($G$5:$G$1531,"&gt;"&amp;G645)+1</f>
        <v/>
      </c>
      <c r="I645" s="9" t="inlineStr"/>
      <c r="J645" s="11">
        <f>IF(E645="Private",F645,"")</f>
        <v/>
      </c>
      <c r="K645" s="11">
        <f>IF(E645="Private",G645,"")</f>
        <v/>
      </c>
    </row>
    <row r="646">
      <c r="A646" s="9" t="n">
        <v>169248</v>
      </c>
      <c r="B646" s="9" t="inlineStr">
        <is>
          <t>Central Michigan University</t>
        </is>
      </c>
      <c r="C646" s="9" t="inlineStr">
        <is>
          <t>Mount Pleasant</t>
        </is>
      </c>
      <c r="D646" s="9" t="inlineStr">
        <is>
          <t>MI</t>
        </is>
      </c>
      <c r="E646" s="9" t="inlineStr">
        <is>
          <t>Public</t>
        </is>
      </c>
      <c r="F646" s="11" t="n">
        <v>17597</v>
      </c>
      <c r="G646" s="11" t="n">
        <v>55874</v>
      </c>
      <c r="H646" s="9">
        <f>COUNTIF($G$5:$G$1531,"&gt;"&amp;G646)+1</f>
        <v/>
      </c>
      <c r="I646" s="9" t="inlineStr"/>
      <c r="J646" s="11">
        <f>IF(E646="Private",F646,"")</f>
        <v/>
      </c>
      <c r="K646" s="11">
        <f>IF(E646="Private",G646,"")</f>
        <v/>
      </c>
    </row>
    <row r="647">
      <c r="A647" s="9" t="n">
        <v>211981</v>
      </c>
      <c r="B647" s="9" t="inlineStr">
        <is>
          <t>Delaware Valley University</t>
        </is>
      </c>
      <c r="C647" s="9" t="inlineStr">
        <is>
          <t>Doylestown</t>
        </is>
      </c>
      <c r="D647" s="9" t="inlineStr">
        <is>
          <t>PA</t>
        </is>
      </c>
      <c r="E647" s="9" t="inlineStr">
        <is>
          <t>Private</t>
        </is>
      </c>
      <c r="F647" s="11" t="n">
        <v>28278</v>
      </c>
      <c r="G647" s="11" t="n">
        <v>55838</v>
      </c>
      <c r="H647" s="9">
        <f>COUNTIF($G$5:$G$1531,"&gt;"&amp;G647)+1</f>
        <v/>
      </c>
      <c r="I647" s="9" t="inlineStr"/>
      <c r="J647" s="11">
        <f>IF(E647="Private",F647,"")</f>
        <v/>
      </c>
      <c r="K647" s="11">
        <f>IF(E647="Private",G647,"")</f>
        <v/>
      </c>
    </row>
    <row r="648">
      <c r="A648" s="9" t="n">
        <v>213826</v>
      </c>
      <c r="B648" s="9" t="inlineStr">
        <is>
          <t>Marywood University</t>
        </is>
      </c>
      <c r="C648" s="9" t="inlineStr">
        <is>
          <t>Scranton</t>
        </is>
      </c>
      <c r="D648" s="9" t="inlineStr">
        <is>
          <t>PA</t>
        </is>
      </c>
      <c r="E648" s="9" t="inlineStr">
        <is>
          <t>Private</t>
        </is>
      </c>
      <c r="F648" s="11" t="n">
        <v>23388</v>
      </c>
      <c r="G648" s="11" t="n">
        <v>55817</v>
      </c>
      <c r="H648" s="9">
        <f>COUNTIF($G$5:$G$1531,"&gt;"&amp;G648)+1</f>
        <v/>
      </c>
      <c r="I648" s="9" t="inlineStr"/>
      <c r="J648" s="11">
        <f>IF(E648="Private",F648,"")</f>
        <v/>
      </c>
      <c r="K648" s="11">
        <f>IF(E648="Private",G648,"")</f>
        <v/>
      </c>
    </row>
    <row r="649">
      <c r="A649" s="9" t="n">
        <v>174783</v>
      </c>
      <c r="B649" s="9" t="inlineStr">
        <is>
          <t>Saint Cloud State University</t>
        </is>
      </c>
      <c r="C649" s="9" t="inlineStr">
        <is>
          <t>Saint Cloud</t>
        </is>
      </c>
      <c r="D649" s="9" t="inlineStr">
        <is>
          <t>MN</t>
        </is>
      </c>
      <c r="E649" s="9" t="inlineStr">
        <is>
          <t>Public</t>
        </is>
      </c>
      <c r="F649" s="11" t="n">
        <v>13529</v>
      </c>
      <c r="G649" s="11" t="n">
        <v>55813</v>
      </c>
      <c r="H649" s="9">
        <f>COUNTIF($G$5:$G$1531,"&gt;"&amp;G649)+1</f>
        <v/>
      </c>
      <c r="I649" s="9" t="inlineStr"/>
      <c r="J649" s="11">
        <f>IF(E649="Private",F649,"")</f>
        <v/>
      </c>
      <c r="K649" s="11">
        <f>IF(E649="Private",G649,"")</f>
        <v/>
      </c>
    </row>
    <row r="650">
      <c r="A650" s="9" t="n">
        <v>239017</v>
      </c>
      <c r="B650" s="9" t="inlineStr">
        <is>
          <t>Lawrence University</t>
        </is>
      </c>
      <c r="C650" s="9" t="inlineStr">
        <is>
          <t>Appleton</t>
        </is>
      </c>
      <c r="D650" s="9" t="inlineStr">
        <is>
          <t>WI</t>
        </is>
      </c>
      <c r="E650" s="9" t="inlineStr">
        <is>
          <t>Private</t>
        </is>
      </c>
      <c r="F650" s="11" t="n">
        <v>23401</v>
      </c>
      <c r="G650" s="11" t="n">
        <v>55789</v>
      </c>
      <c r="H650" s="9">
        <f>COUNTIF($G$5:$G$1531,"&gt;"&amp;G650)+1</f>
        <v/>
      </c>
      <c r="I650" s="9" t="inlineStr"/>
      <c r="J650" s="11">
        <f>IF(E650="Private",F650,"")</f>
        <v/>
      </c>
      <c r="K650" s="11">
        <f>IF(E650="Private",G650,"")</f>
        <v/>
      </c>
    </row>
    <row r="651">
      <c r="A651" s="9" t="n">
        <v>237312</v>
      </c>
      <c r="B651" s="9" t="inlineStr">
        <is>
          <t>University of Charleston</t>
        </is>
      </c>
      <c r="C651" s="9" t="inlineStr">
        <is>
          <t>Charleston</t>
        </is>
      </c>
      <c r="D651" s="9" t="inlineStr">
        <is>
          <t>WV</t>
        </is>
      </c>
      <c r="E651" s="9" t="inlineStr">
        <is>
          <t>Private</t>
        </is>
      </c>
      <c r="F651" s="11" t="n">
        <v>22107</v>
      </c>
      <c r="G651" s="11" t="n">
        <v>55774</v>
      </c>
      <c r="H651" s="9">
        <f>COUNTIF($G$5:$G$1531,"&gt;"&amp;G651)+1</f>
        <v/>
      </c>
      <c r="I651" s="9" t="inlineStr"/>
      <c r="J651" s="11">
        <f>IF(E651="Private",F651,"")</f>
        <v/>
      </c>
      <c r="K651" s="11">
        <f>IF(E651="Private",G651,"")</f>
        <v/>
      </c>
    </row>
    <row r="652">
      <c r="A652" s="9" t="n">
        <v>196103</v>
      </c>
      <c r="B652" s="9" t="inlineStr">
        <is>
          <t>SUNY College of Environmental Science and Forestry</t>
        </is>
      </c>
      <c r="C652" s="9" t="inlineStr">
        <is>
          <t>Syracuse</t>
        </is>
      </c>
      <c r="D652" s="9" t="inlineStr">
        <is>
          <t>NY</t>
        </is>
      </c>
      <c r="E652" s="9" t="inlineStr">
        <is>
          <t>Public</t>
        </is>
      </c>
      <c r="F652" s="11" t="n">
        <v>18952</v>
      </c>
      <c r="G652" s="11" t="n">
        <v>55763</v>
      </c>
      <c r="H652" s="9">
        <f>COUNTIF($G$5:$G$1531,"&gt;"&amp;G652)+1</f>
        <v/>
      </c>
      <c r="I652" s="9" t="inlineStr"/>
      <c r="J652" s="11">
        <f>IF(E652="Private",F652,"")</f>
        <v/>
      </c>
      <c r="K652" s="11">
        <f>IF(E652="Private",G652,"")</f>
        <v/>
      </c>
    </row>
    <row r="653">
      <c r="A653" s="9" t="n">
        <v>226833</v>
      </c>
      <c r="B653" s="9" t="inlineStr">
        <is>
          <t>Midwestern State University</t>
        </is>
      </c>
      <c r="C653" s="9" t="inlineStr">
        <is>
          <t>Wichita Falls</t>
        </is>
      </c>
      <c r="D653" s="9" t="inlineStr">
        <is>
          <t>TX</t>
        </is>
      </c>
      <c r="E653" s="9" t="inlineStr">
        <is>
          <t>Public</t>
        </is>
      </c>
      <c r="F653" s="11" t="n">
        <v>11656</v>
      </c>
      <c r="G653" s="11" t="n">
        <v>55747</v>
      </c>
      <c r="H653" s="9">
        <f>COUNTIF($G$5:$G$1531,"&gt;"&amp;G653)+1</f>
        <v/>
      </c>
      <c r="I653" s="9" t="inlineStr"/>
      <c r="J653" s="11">
        <f>IF(E653="Private",F653,"")</f>
        <v/>
      </c>
      <c r="K653" s="11">
        <f>IF(E653="Private",G653,"")</f>
        <v/>
      </c>
    </row>
    <row r="654">
      <c r="A654" s="9" t="n">
        <v>222178</v>
      </c>
      <c r="B654" s="9" t="inlineStr">
        <is>
          <t>Abilene Christian University</t>
        </is>
      </c>
      <c r="C654" s="9" t="inlineStr">
        <is>
          <t>Abilene</t>
        </is>
      </c>
      <c r="D654" s="9" t="inlineStr">
        <is>
          <t>TX</t>
        </is>
      </c>
      <c r="E654" s="9" t="inlineStr">
        <is>
          <t>Private</t>
        </is>
      </c>
      <c r="F654" s="11" t="n">
        <v>26182</v>
      </c>
      <c r="G654" s="11" t="n">
        <v>55736</v>
      </c>
      <c r="H654" s="9">
        <f>COUNTIF($G$5:$G$1531,"&gt;"&amp;G654)+1</f>
        <v/>
      </c>
      <c r="I654" s="9" t="inlineStr"/>
      <c r="J654" s="11">
        <f>IF(E654="Private",F654,"")</f>
        <v/>
      </c>
      <c r="K654" s="11">
        <f>IF(E654="Private",G654,"")</f>
        <v/>
      </c>
    </row>
    <row r="655">
      <c r="A655" s="9" t="n">
        <v>149505</v>
      </c>
      <c r="B655" s="9" t="inlineStr">
        <is>
          <t>Trinity Christian College</t>
        </is>
      </c>
      <c r="C655" s="9" t="inlineStr">
        <is>
          <t>Palos Heights</t>
        </is>
      </c>
      <c r="D655" s="9" t="inlineStr">
        <is>
          <t>IL</t>
        </is>
      </c>
      <c r="E655" s="9" t="inlineStr">
        <is>
          <t>Private</t>
        </is>
      </c>
      <c r="F655" s="11" t="n">
        <v>19125</v>
      </c>
      <c r="G655" s="11" t="n">
        <v>55700</v>
      </c>
      <c r="H655" s="9">
        <f>COUNTIF($G$5:$G$1531,"&gt;"&amp;G655)+1</f>
        <v/>
      </c>
      <c r="I655" s="9" t="inlineStr"/>
      <c r="J655" s="11">
        <f>IF(E655="Private",F655,"")</f>
        <v/>
      </c>
      <c r="K655" s="11">
        <f>IF(E655="Private",G655,"")</f>
        <v/>
      </c>
    </row>
    <row r="656">
      <c r="A656" s="9" t="n">
        <v>240107</v>
      </c>
      <c r="B656" s="9" t="inlineStr">
        <is>
          <t>Viterbo University</t>
        </is>
      </c>
      <c r="C656" s="9" t="inlineStr">
        <is>
          <t>La Crosse</t>
        </is>
      </c>
      <c r="D656" s="9" t="inlineStr">
        <is>
          <t>WI</t>
        </is>
      </c>
      <c r="E656" s="9" t="inlineStr">
        <is>
          <t>Private</t>
        </is>
      </c>
      <c r="F656" s="11" t="n">
        <v>21260</v>
      </c>
      <c r="G656" s="11" t="n">
        <v>55660</v>
      </c>
      <c r="H656" s="9">
        <f>COUNTIF($G$5:$G$1531,"&gt;"&amp;G656)+1</f>
        <v/>
      </c>
      <c r="I656" s="9" t="inlineStr"/>
      <c r="J656" s="11">
        <f>IF(E656="Private",F656,"")</f>
        <v/>
      </c>
      <c r="K656" s="11">
        <f>IF(E656="Private",G656,"")</f>
        <v/>
      </c>
    </row>
    <row r="657">
      <c r="A657" s="9" t="n">
        <v>155900</v>
      </c>
      <c r="B657" s="9" t="inlineStr">
        <is>
          <t>Southwestern College</t>
        </is>
      </c>
      <c r="C657" s="9" t="inlineStr">
        <is>
          <t>Winfield</t>
        </is>
      </c>
      <c r="D657" s="9" t="inlineStr">
        <is>
          <t>KS</t>
        </is>
      </c>
      <c r="E657" s="9" t="inlineStr">
        <is>
          <t>Private</t>
        </is>
      </c>
      <c r="F657" s="11" t="n">
        <v>29824</v>
      </c>
      <c r="G657" s="11" t="n">
        <v>55646</v>
      </c>
      <c r="H657" s="9">
        <f>COUNTIF($G$5:$G$1531,"&gt;"&amp;G657)+1</f>
        <v/>
      </c>
      <c r="I657" s="9" t="inlineStr"/>
      <c r="J657" s="11">
        <f>IF(E657="Private",F657,"")</f>
        <v/>
      </c>
      <c r="K657" s="11">
        <f>IF(E657="Private",G657,"")</f>
        <v/>
      </c>
    </row>
    <row r="658">
      <c r="A658" s="9" t="n">
        <v>204909</v>
      </c>
      <c r="B658" s="9" t="inlineStr">
        <is>
          <t>Ohio Wesleyan University</t>
        </is>
      </c>
      <c r="C658" s="9" t="inlineStr">
        <is>
          <t>Delaware</t>
        </is>
      </c>
      <c r="D658" s="9" t="inlineStr">
        <is>
          <t>OH</t>
        </is>
      </c>
      <c r="E658" s="9" t="inlineStr">
        <is>
          <t>Private</t>
        </is>
      </c>
      <c r="F658" s="11" t="n">
        <v>20897</v>
      </c>
      <c r="G658" s="11" t="n">
        <v>55624</v>
      </c>
      <c r="H658" s="9">
        <f>COUNTIF($G$5:$G$1531,"&gt;"&amp;G658)+1</f>
        <v/>
      </c>
      <c r="I658" s="9" t="inlineStr"/>
      <c r="J658" s="11">
        <f>IF(E658="Private",F658,"")</f>
        <v/>
      </c>
      <c r="K658" s="11">
        <f>IF(E658="Private",G658,"")</f>
        <v/>
      </c>
    </row>
    <row r="659">
      <c r="A659" s="9" t="n">
        <v>124292</v>
      </c>
      <c r="B659" s="9" t="inlineStr">
        <is>
          <t>Thomas Aquinas College</t>
        </is>
      </c>
      <c r="C659" s="9" t="inlineStr">
        <is>
          <t>Santa Paula</t>
        </is>
      </c>
      <c r="D659" s="9" t="inlineStr">
        <is>
          <t>CA</t>
        </is>
      </c>
      <c r="E659" s="9" t="inlineStr">
        <is>
          <t>Private</t>
        </is>
      </c>
      <c r="F659" s="11" t="n">
        <v>26196</v>
      </c>
      <c r="G659" s="11" t="n">
        <v>55619</v>
      </c>
      <c r="H659" s="9">
        <f>COUNTIF($G$5:$G$1531,"&gt;"&amp;G659)+1</f>
        <v/>
      </c>
      <c r="I659" s="9" t="inlineStr"/>
      <c r="J659" s="11">
        <f>IF(E659="Private",F659,"")</f>
        <v/>
      </c>
      <c r="K659" s="11">
        <f>IF(E659="Private",G659,"")</f>
        <v/>
      </c>
    </row>
    <row r="660">
      <c r="A660" s="9" t="n">
        <v>128106</v>
      </c>
      <c r="B660" s="9" t="inlineStr">
        <is>
          <t>Colorado State University Pueblo</t>
        </is>
      </c>
      <c r="C660" s="9" t="inlineStr">
        <is>
          <t>Pueblo</t>
        </is>
      </c>
      <c r="D660" s="9" t="inlineStr">
        <is>
          <t>CO</t>
        </is>
      </c>
      <c r="E660" s="9" t="inlineStr">
        <is>
          <t>Public</t>
        </is>
      </c>
      <c r="F660" s="11" t="n">
        <v>10051</v>
      </c>
      <c r="G660" s="11" t="n">
        <v>55563</v>
      </c>
      <c r="H660" s="9">
        <f>COUNTIF($G$5:$G$1531,"&gt;"&amp;G660)+1</f>
        <v/>
      </c>
      <c r="I660" s="9" t="inlineStr"/>
      <c r="J660" s="11">
        <f>IF(E660="Private",F660,"")</f>
        <v/>
      </c>
      <c r="K660" s="11">
        <f>IF(E660="Private",G660,"")</f>
        <v/>
      </c>
    </row>
    <row r="661">
      <c r="A661" s="9" t="n">
        <v>464226</v>
      </c>
      <c r="B661" s="9" t="inlineStr">
        <is>
          <t>Ottawa University-Surprise</t>
        </is>
      </c>
      <c r="C661" s="9" t="inlineStr">
        <is>
          <t>Surprise</t>
        </is>
      </c>
      <c r="D661" s="9" t="inlineStr">
        <is>
          <t>AZ</t>
        </is>
      </c>
      <c r="E661" s="9" t="inlineStr">
        <is>
          <t>Private</t>
        </is>
      </c>
      <c r="F661" s="11" t="n">
        <v>33393</v>
      </c>
      <c r="G661" s="11" t="n">
        <v>55552</v>
      </c>
      <c r="H661" s="9">
        <f>COUNTIF($G$5:$G$1531,"&gt;"&amp;G661)+1</f>
        <v/>
      </c>
      <c r="I661" s="9" t="inlineStr"/>
      <c r="J661" s="11">
        <f>IF(E661="Private",F661,"")</f>
        <v/>
      </c>
      <c r="K661" s="11">
        <f>IF(E661="Private",G661,"")</f>
        <v/>
      </c>
    </row>
    <row r="662">
      <c r="A662" s="9" t="n">
        <v>155627</v>
      </c>
      <c r="B662" s="9" t="inlineStr">
        <is>
          <t>Ottawa University-Ottawa</t>
        </is>
      </c>
      <c r="C662" s="9" t="inlineStr">
        <is>
          <t>Ottawa</t>
        </is>
      </c>
      <c r="D662" s="9" t="inlineStr">
        <is>
          <t>KS</t>
        </is>
      </c>
      <c r="E662" s="9" t="inlineStr">
        <is>
          <t>Private</t>
        </is>
      </c>
      <c r="F662" s="11" t="n">
        <v>27963</v>
      </c>
      <c r="G662" s="11" t="n">
        <v>55552</v>
      </c>
      <c r="H662" s="9">
        <f>COUNTIF($G$5:$G$1531,"&gt;"&amp;G662)+1</f>
        <v/>
      </c>
      <c r="I662" s="9" t="inlineStr"/>
      <c r="J662" s="11">
        <f>IF(E662="Private",F662,"")</f>
        <v/>
      </c>
      <c r="K662" s="11">
        <f>IF(E662="Private",G662,"")</f>
        <v/>
      </c>
    </row>
    <row r="663">
      <c r="A663" s="9" t="n">
        <v>240365</v>
      </c>
      <c r="B663" s="9" t="inlineStr">
        <is>
          <t>University of Wisconsin-Oshkosh</t>
        </is>
      </c>
      <c r="C663" s="9" t="inlineStr">
        <is>
          <t>Oshkosh</t>
        </is>
      </c>
      <c r="D663" s="9" t="inlineStr">
        <is>
          <t>WI</t>
        </is>
      </c>
      <c r="E663" s="9" t="inlineStr">
        <is>
          <t>Public</t>
        </is>
      </c>
      <c r="F663" s="11" t="n">
        <v>14305</v>
      </c>
      <c r="G663" s="11" t="n">
        <v>55548</v>
      </c>
      <c r="H663" s="9">
        <f>COUNTIF($G$5:$G$1531,"&gt;"&amp;G663)+1</f>
        <v/>
      </c>
      <c r="I663" s="9" t="inlineStr"/>
      <c r="J663" s="11">
        <f>IF(E663="Private",F663,"")</f>
        <v/>
      </c>
      <c r="K663" s="11">
        <f>IF(E663="Private",G663,"")</f>
        <v/>
      </c>
    </row>
    <row r="664">
      <c r="A664" s="9" t="n">
        <v>219976</v>
      </c>
      <c r="B664" s="9" t="inlineStr">
        <is>
          <t>Lipscomb University</t>
        </is>
      </c>
      <c r="C664" s="9" t="inlineStr">
        <is>
          <t>Nashville</t>
        </is>
      </c>
      <c r="D664" s="9" t="inlineStr">
        <is>
          <t>TN</t>
        </is>
      </c>
      <c r="E664" s="9" t="inlineStr">
        <is>
          <t>Private</t>
        </is>
      </c>
      <c r="F664" s="11" t="n">
        <v>24739</v>
      </c>
      <c r="G664" s="11" t="n">
        <v>55541</v>
      </c>
      <c r="H664" s="9">
        <f>COUNTIF($G$5:$G$1531,"&gt;"&amp;G664)+1</f>
        <v/>
      </c>
      <c r="I664" s="9" t="inlineStr"/>
      <c r="J664" s="11">
        <f>IF(E664="Private",F664,"")</f>
        <v/>
      </c>
      <c r="K664" s="11">
        <f>IF(E664="Private",G664,"")</f>
        <v/>
      </c>
    </row>
    <row r="665">
      <c r="A665" s="9" t="n">
        <v>168528</v>
      </c>
      <c r="B665" s="9" t="inlineStr">
        <is>
          <t>Adrian College</t>
        </is>
      </c>
      <c r="C665" s="9" t="inlineStr">
        <is>
          <t>Adrian</t>
        </is>
      </c>
      <c r="D665" s="9" t="inlineStr">
        <is>
          <t>MI</t>
        </is>
      </c>
      <c r="E665" s="9" t="inlineStr">
        <is>
          <t>Private</t>
        </is>
      </c>
      <c r="F665" s="11" t="n">
        <v>25368</v>
      </c>
      <c r="G665" s="11" t="n">
        <v>55504</v>
      </c>
      <c r="H665" s="9">
        <f>COUNTIF($G$5:$G$1531,"&gt;"&amp;G665)+1</f>
        <v/>
      </c>
      <c r="I665" s="9" t="inlineStr"/>
      <c r="J665" s="11">
        <f>IF(E665="Private",F665,"")</f>
        <v/>
      </c>
      <c r="K665" s="11">
        <f>IF(E665="Private",G665,"")</f>
        <v/>
      </c>
    </row>
    <row r="666">
      <c r="A666" s="9" t="n">
        <v>154004</v>
      </c>
      <c r="B666" s="9" t="inlineStr">
        <is>
          <t>Morningside University</t>
        </is>
      </c>
      <c r="C666" s="9" t="inlineStr">
        <is>
          <t>Sioux City</t>
        </is>
      </c>
      <c r="D666" s="9" t="inlineStr">
        <is>
          <t>IA</t>
        </is>
      </c>
      <c r="E666" s="9" t="inlineStr">
        <is>
          <t>Private</t>
        </is>
      </c>
      <c r="F666" s="11" t="n">
        <v>31320</v>
      </c>
      <c r="G666" s="11" t="n">
        <v>55494</v>
      </c>
      <c r="H666" s="9">
        <f>COUNTIF($G$5:$G$1531,"&gt;"&amp;G666)+1</f>
        <v/>
      </c>
      <c r="I666" s="9" t="inlineStr"/>
      <c r="J666" s="11">
        <f>IF(E666="Private",F666,"")</f>
        <v/>
      </c>
      <c r="K666" s="11">
        <f>IF(E666="Private",G666,"")</f>
        <v/>
      </c>
    </row>
    <row r="667">
      <c r="A667" s="9" t="n">
        <v>162584</v>
      </c>
      <c r="B667" s="9" t="inlineStr">
        <is>
          <t>Frostburg State University</t>
        </is>
      </c>
      <c r="C667" s="9" t="inlineStr">
        <is>
          <t>Frostburg</t>
        </is>
      </c>
      <c r="D667" s="9" t="inlineStr">
        <is>
          <t>MD</t>
        </is>
      </c>
      <c r="E667" s="9" t="inlineStr">
        <is>
          <t>Public</t>
        </is>
      </c>
      <c r="F667" s="11" t="n">
        <v>16715</v>
      </c>
      <c r="G667" s="11" t="n">
        <v>55493</v>
      </c>
      <c r="H667" s="9">
        <f>COUNTIF($G$5:$G$1531,"&gt;"&amp;G667)+1</f>
        <v/>
      </c>
      <c r="I667" s="9" t="inlineStr"/>
      <c r="J667" s="11">
        <f>IF(E667="Private",F667,"")</f>
        <v/>
      </c>
      <c r="K667" s="11">
        <f>IF(E667="Private",G667,"")</f>
        <v/>
      </c>
    </row>
    <row r="668">
      <c r="A668" s="9" t="n">
        <v>230737</v>
      </c>
      <c r="B668" s="9" t="inlineStr">
        <is>
          <t>Utah Valley University</t>
        </is>
      </c>
      <c r="C668" s="9" t="inlineStr">
        <is>
          <t>Orem</t>
        </is>
      </c>
      <c r="D668" s="9" t="inlineStr">
        <is>
          <t>UT</t>
        </is>
      </c>
      <c r="E668" s="9" t="inlineStr">
        <is>
          <t>Public</t>
        </is>
      </c>
      <c r="F668" s="11" t="n">
        <v>6376</v>
      </c>
      <c r="G668" s="11" t="n">
        <v>55486</v>
      </c>
      <c r="H668" s="9">
        <f>COUNTIF($G$5:$G$1531,"&gt;"&amp;G668)+1</f>
        <v/>
      </c>
      <c r="I668" s="9" t="inlineStr"/>
      <c r="J668" s="11">
        <f>IF(E668="Private",F668,"")</f>
        <v/>
      </c>
      <c r="K668" s="11">
        <f>IF(E668="Private",G668,"")</f>
        <v/>
      </c>
    </row>
    <row r="669">
      <c r="A669" s="9" t="n">
        <v>201654</v>
      </c>
      <c r="B669" s="9" t="inlineStr">
        <is>
          <t>Cedarville University</t>
        </is>
      </c>
      <c r="C669" s="9" t="inlineStr">
        <is>
          <t>Cedarville</t>
        </is>
      </c>
      <c r="D669" s="9" t="inlineStr">
        <is>
          <t>OH</t>
        </is>
      </c>
      <c r="E669" s="9" t="inlineStr">
        <is>
          <t>Private</t>
        </is>
      </c>
      <c r="F669" s="11" t="n">
        <v>24468</v>
      </c>
      <c r="G669" s="11" t="n">
        <v>55443</v>
      </c>
      <c r="H669" s="9">
        <f>COUNTIF($G$5:$G$1531,"&gt;"&amp;G669)+1</f>
        <v/>
      </c>
      <c r="I669" s="9" t="inlineStr"/>
      <c r="J669" s="11">
        <f>IF(E669="Private",F669,"")</f>
        <v/>
      </c>
      <c r="K669" s="11">
        <f>IF(E669="Private",G669,"")</f>
        <v/>
      </c>
    </row>
    <row r="670">
      <c r="A670" s="9" t="n">
        <v>153126</v>
      </c>
      <c r="B670" s="9" t="inlineStr">
        <is>
          <t>Clarke University</t>
        </is>
      </c>
      <c r="C670" s="9" t="inlineStr">
        <is>
          <t>Dubuque</t>
        </is>
      </c>
      <c r="D670" s="9" t="inlineStr">
        <is>
          <t>IA</t>
        </is>
      </c>
      <c r="E670" s="9" t="inlineStr">
        <is>
          <t>Private</t>
        </is>
      </c>
      <c r="F670" s="11" t="n">
        <v>24479</v>
      </c>
      <c r="G670" s="11" t="n">
        <v>55396</v>
      </c>
      <c r="H670" s="9">
        <f>COUNTIF($G$5:$G$1531,"&gt;"&amp;G670)+1</f>
        <v/>
      </c>
      <c r="I670" s="9" t="inlineStr"/>
      <c r="J670" s="11">
        <f>IF(E670="Private",F670,"")</f>
        <v/>
      </c>
      <c r="K670" s="11">
        <f>IF(E670="Private",G670,"")</f>
        <v/>
      </c>
    </row>
    <row r="671">
      <c r="A671" s="9" t="n">
        <v>164632</v>
      </c>
      <c r="B671" s="9" t="inlineStr">
        <is>
          <t>Bay Path University</t>
        </is>
      </c>
      <c r="C671" s="9" t="inlineStr">
        <is>
          <t>Longmeadow</t>
        </is>
      </c>
      <c r="D671" s="9" t="inlineStr">
        <is>
          <t>MA</t>
        </is>
      </c>
      <c r="E671" s="9" t="inlineStr">
        <is>
          <t>Private</t>
        </is>
      </c>
      <c r="F671" s="11" t="n">
        <v>14271</v>
      </c>
      <c r="G671" s="11" t="n">
        <v>55383</v>
      </c>
      <c r="H671" s="9">
        <f>COUNTIF($G$5:$G$1531,"&gt;"&amp;G671)+1</f>
        <v/>
      </c>
      <c r="I671" s="9" t="inlineStr"/>
      <c r="J671" s="11">
        <f>IF(E671="Private",F671,"")</f>
        <v/>
      </c>
      <c r="K671" s="11">
        <f>IF(E671="Private",G671,"")</f>
        <v/>
      </c>
    </row>
    <row r="672">
      <c r="A672" s="9" t="n">
        <v>150604</v>
      </c>
      <c r="B672" s="9" t="inlineStr">
        <is>
          <t>Franklin College</t>
        </is>
      </c>
      <c r="C672" s="9" t="inlineStr">
        <is>
          <t>Franklin</t>
        </is>
      </c>
      <c r="D672" s="9" t="inlineStr">
        <is>
          <t>IN</t>
        </is>
      </c>
      <c r="E672" s="9" t="inlineStr">
        <is>
          <t>Private</t>
        </is>
      </c>
      <c r="F672" s="11" t="n">
        <v>22855</v>
      </c>
      <c r="G672" s="11" t="n">
        <v>55376</v>
      </c>
      <c r="H672" s="9">
        <f>COUNTIF($G$5:$G$1531,"&gt;"&amp;G672)+1</f>
        <v/>
      </c>
      <c r="I672" s="9" t="inlineStr"/>
      <c r="J672" s="11">
        <f>IF(E672="Private",F672,"")</f>
        <v/>
      </c>
      <c r="K672" s="11">
        <f>IF(E672="Private",G672,"")</f>
        <v/>
      </c>
    </row>
    <row r="673">
      <c r="A673" s="9" t="n">
        <v>152336</v>
      </c>
      <c r="B673" s="9" t="inlineStr">
        <is>
          <t>University of Saint Francis-Fort Wayne</t>
        </is>
      </c>
      <c r="C673" s="9" t="inlineStr">
        <is>
          <t>Fort Wayne</t>
        </is>
      </c>
      <c r="D673" s="9" t="inlineStr">
        <is>
          <t>IN</t>
        </is>
      </c>
      <c r="E673" s="9" t="inlineStr">
        <is>
          <t>Private</t>
        </is>
      </c>
      <c r="F673" s="11" t="n">
        <v>18196</v>
      </c>
      <c r="G673" s="11" t="n">
        <v>55362</v>
      </c>
      <c r="H673" s="9">
        <f>COUNTIF($G$5:$G$1531,"&gt;"&amp;G673)+1</f>
        <v/>
      </c>
      <c r="I673" s="9" t="inlineStr"/>
      <c r="J673" s="11">
        <f>IF(E673="Private",F673,"")</f>
        <v/>
      </c>
      <c r="K673" s="11">
        <f>IF(E673="Private",G673,"")</f>
        <v/>
      </c>
    </row>
    <row r="674">
      <c r="A674" s="9" t="n">
        <v>240189</v>
      </c>
      <c r="B674" s="9" t="inlineStr">
        <is>
          <t>University of Wisconsin-Whitewater</t>
        </is>
      </c>
      <c r="C674" s="9" t="inlineStr">
        <is>
          <t>Whitewater</t>
        </is>
      </c>
      <c r="D674" s="9" t="inlineStr">
        <is>
          <t>WI</t>
        </is>
      </c>
      <c r="E674" s="9" t="inlineStr">
        <is>
          <t>Public</t>
        </is>
      </c>
      <c r="F674" s="11" t="n">
        <v>14158</v>
      </c>
      <c r="G674" s="11" t="n">
        <v>55356</v>
      </c>
      <c r="H674" s="9">
        <f>COUNTIF($G$5:$G$1531,"&gt;"&amp;G674)+1</f>
        <v/>
      </c>
      <c r="I674" s="9" t="inlineStr"/>
      <c r="J674" s="11">
        <f>IF(E674="Private",F674,"")</f>
        <v/>
      </c>
      <c r="K674" s="11">
        <f>IF(E674="Private",G674,"")</f>
        <v/>
      </c>
    </row>
    <row r="675">
      <c r="A675" s="9" t="n">
        <v>134079</v>
      </c>
      <c r="B675" s="9" t="inlineStr">
        <is>
          <t>Florida Southern College</t>
        </is>
      </c>
      <c r="C675" s="9" t="inlineStr">
        <is>
          <t>Lakeland</t>
        </is>
      </c>
      <c r="D675" s="9" t="inlineStr">
        <is>
          <t>FL</t>
        </is>
      </c>
      <c r="E675" s="9" t="inlineStr">
        <is>
          <t>Private</t>
        </is>
      </c>
      <c r="F675" s="11" t="n">
        <v>28551</v>
      </c>
      <c r="G675" s="11" t="n">
        <v>55294</v>
      </c>
      <c r="H675" s="9">
        <f>COUNTIF($G$5:$G$1531,"&gt;"&amp;G675)+1</f>
        <v/>
      </c>
      <c r="I675" s="9" t="inlineStr"/>
      <c r="J675" s="11">
        <f>IF(E675="Private",F675,"")</f>
        <v/>
      </c>
      <c r="K675" s="11">
        <f>IF(E675="Private",G675,"")</f>
        <v/>
      </c>
    </row>
    <row r="676">
      <c r="A676" s="9" t="n">
        <v>214041</v>
      </c>
      <c r="B676" s="9" t="inlineStr">
        <is>
          <t>Millersville University of Pennsylvania</t>
        </is>
      </c>
      <c r="C676" s="9" t="inlineStr">
        <is>
          <t>Millersville</t>
        </is>
      </c>
      <c r="D676" s="9" t="inlineStr">
        <is>
          <t>PA</t>
        </is>
      </c>
      <c r="E676" s="9" t="inlineStr">
        <is>
          <t>Public</t>
        </is>
      </c>
      <c r="F676" s="11" t="n">
        <v>20787</v>
      </c>
      <c r="G676" s="11" t="n">
        <v>55246</v>
      </c>
      <c r="H676" s="9">
        <f>COUNTIF($G$5:$G$1531,"&gt;"&amp;G676)+1</f>
        <v/>
      </c>
      <c r="I676" s="9" t="inlineStr"/>
      <c r="J676" s="11">
        <f>IF(E676="Private",F676,"")</f>
        <v/>
      </c>
      <c r="K676" s="11">
        <f>IF(E676="Private",G676,"")</f>
        <v/>
      </c>
    </row>
    <row r="677">
      <c r="A677" s="9" t="n">
        <v>140696</v>
      </c>
      <c r="B677" s="9" t="inlineStr">
        <is>
          <t>Oglethorpe University</t>
        </is>
      </c>
      <c r="C677" s="9" t="inlineStr">
        <is>
          <t>Atlanta</t>
        </is>
      </c>
      <c r="D677" s="9" t="inlineStr">
        <is>
          <t>GA</t>
        </is>
      </c>
      <c r="E677" s="9" t="inlineStr">
        <is>
          <t>Private</t>
        </is>
      </c>
      <c r="F677" s="11" t="n">
        <v>19509</v>
      </c>
      <c r="G677" s="11" t="n">
        <v>55232</v>
      </c>
      <c r="H677" s="9">
        <f>COUNTIF($G$5:$G$1531,"&gt;"&amp;G677)+1</f>
        <v/>
      </c>
      <c r="I677" s="9" t="inlineStr"/>
      <c r="J677" s="11">
        <f>IF(E677="Private",F677,"")</f>
        <v/>
      </c>
      <c r="K677" s="11">
        <f>IF(E677="Private",G677,"")</f>
        <v/>
      </c>
    </row>
    <row r="678">
      <c r="A678" s="9" t="n">
        <v>210304</v>
      </c>
      <c r="B678" s="9" t="inlineStr">
        <is>
          <t>Warner Pacific University</t>
        </is>
      </c>
      <c r="C678" s="9" t="inlineStr">
        <is>
          <t>Portland</t>
        </is>
      </c>
      <c r="D678" s="9" t="inlineStr">
        <is>
          <t>OR</t>
        </is>
      </c>
      <c r="E678" s="9" t="inlineStr">
        <is>
          <t>Private</t>
        </is>
      </c>
      <c r="F678" s="11" t="n">
        <v>25629</v>
      </c>
      <c r="G678" s="11" t="n">
        <v>55204</v>
      </c>
      <c r="H678" s="9">
        <f>COUNTIF($G$5:$G$1531,"&gt;"&amp;G678)+1</f>
        <v/>
      </c>
      <c r="I678" s="9" t="inlineStr"/>
      <c r="J678" s="11">
        <f>IF(E678="Private",F678,"")</f>
        <v/>
      </c>
      <c r="K678" s="11">
        <f>IF(E678="Private",G678,"")</f>
        <v/>
      </c>
    </row>
    <row r="679">
      <c r="A679" s="9" t="n">
        <v>151111</v>
      </c>
      <c r="B679" s="9" t="inlineStr">
        <is>
          <t>Indiana University-Indianapolis</t>
        </is>
      </c>
      <c r="C679" s="9" t="inlineStr">
        <is>
          <t>Indianapolis</t>
        </is>
      </c>
      <c r="D679" s="9" t="inlineStr">
        <is>
          <t>IN</t>
        </is>
      </c>
      <c r="E679" s="9" t="inlineStr">
        <is>
          <t>Public</t>
        </is>
      </c>
      <c r="F679" s="11" t="n">
        <v>11668</v>
      </c>
      <c r="G679" s="11" t="n">
        <v>55198</v>
      </c>
      <c r="H679" s="9">
        <f>COUNTIF($G$5:$G$1531,"&gt;"&amp;G679)+1</f>
        <v/>
      </c>
      <c r="I679" s="9" t="inlineStr"/>
      <c r="J679" s="11">
        <f>IF(E679="Private",F679,"")</f>
        <v/>
      </c>
      <c r="K679" s="11">
        <f>IF(E679="Private",G679,"")</f>
        <v/>
      </c>
    </row>
    <row r="680">
      <c r="A680" s="9" t="n">
        <v>154095</v>
      </c>
      <c r="B680" s="9" t="inlineStr">
        <is>
          <t>University of Northern Iowa</t>
        </is>
      </c>
      <c r="C680" s="9" t="inlineStr">
        <is>
          <t>Cedar Falls</t>
        </is>
      </c>
      <c r="D680" s="9" t="inlineStr">
        <is>
          <t>IA</t>
        </is>
      </c>
      <c r="E680" s="9" t="inlineStr">
        <is>
          <t>Public</t>
        </is>
      </c>
      <c r="F680" s="11" t="n">
        <v>15901</v>
      </c>
      <c r="G680" s="11" t="n">
        <v>55177</v>
      </c>
      <c r="H680" s="9">
        <f>COUNTIF($G$5:$G$1531,"&gt;"&amp;G680)+1</f>
        <v/>
      </c>
      <c r="I680" s="9" t="inlineStr"/>
      <c r="J680" s="11">
        <f>IF(E680="Private",F680,"")</f>
        <v/>
      </c>
      <c r="K680" s="11">
        <f>IF(E680="Private",G680,"")</f>
        <v/>
      </c>
    </row>
    <row r="681">
      <c r="A681" s="9" t="n">
        <v>198464</v>
      </c>
      <c r="B681" s="9" t="inlineStr">
        <is>
          <t>East Carolina University</t>
        </is>
      </c>
      <c r="C681" s="9" t="inlineStr">
        <is>
          <t>Greenville</t>
        </is>
      </c>
      <c r="D681" s="9" t="inlineStr">
        <is>
          <t>NC</t>
        </is>
      </c>
      <c r="E681" s="9" t="inlineStr">
        <is>
          <t>Public</t>
        </is>
      </c>
      <c r="F681" s="11" t="n">
        <v>15739</v>
      </c>
      <c r="G681" s="11" t="n">
        <v>55146</v>
      </c>
      <c r="H681" s="9">
        <f>COUNTIF($G$5:$G$1531,"&gt;"&amp;G681)+1</f>
        <v/>
      </c>
      <c r="I681" s="9" t="inlineStr"/>
      <c r="J681" s="11">
        <f>IF(E681="Private",F681,"")</f>
        <v/>
      </c>
      <c r="K681" s="11">
        <f>IF(E681="Private",G681,"")</f>
        <v/>
      </c>
    </row>
    <row r="682">
      <c r="A682" s="9" t="n">
        <v>204006</v>
      </c>
      <c r="B682" s="9" t="inlineStr">
        <is>
          <t>Miami University-Hamilton</t>
        </is>
      </c>
      <c r="C682" s="9" t="inlineStr">
        <is>
          <t>Hamilton</t>
        </is>
      </c>
      <c r="D682" s="9" t="inlineStr">
        <is>
          <t>OH</t>
        </is>
      </c>
      <c r="E682" s="9" t="inlineStr">
        <is>
          <t>Public</t>
        </is>
      </c>
      <c r="F682" s="11" t="n">
        <v>11286</v>
      </c>
      <c r="G682" s="11" t="n">
        <v>55076</v>
      </c>
      <c r="H682" s="9">
        <f>COUNTIF($G$5:$G$1531,"&gt;"&amp;G682)+1</f>
        <v/>
      </c>
      <c r="I682" s="9" t="inlineStr"/>
      <c r="J682" s="11">
        <f>IF(E682="Private",F682,"")</f>
        <v/>
      </c>
      <c r="K682" s="11">
        <f>IF(E682="Private",G682,"")</f>
        <v/>
      </c>
    </row>
    <row r="683">
      <c r="A683" s="9" t="n">
        <v>204024</v>
      </c>
      <c r="B683" s="9" t="inlineStr">
        <is>
          <t>Miami University-Oxford</t>
        </is>
      </c>
      <c r="C683" s="9" t="inlineStr">
        <is>
          <t>Oxford</t>
        </is>
      </c>
      <c r="D683" s="9" t="inlineStr">
        <is>
          <t>OH</t>
        </is>
      </c>
      <c r="E683" s="9" t="inlineStr">
        <is>
          <t>Public</t>
        </is>
      </c>
      <c r="F683" s="11" t="n">
        <v>28384</v>
      </c>
      <c r="G683" s="11" t="n">
        <v>55076</v>
      </c>
      <c r="H683" s="9">
        <f>COUNTIF($G$5:$G$1531,"&gt;"&amp;G683)+1</f>
        <v/>
      </c>
      <c r="I683" s="9" t="inlineStr"/>
      <c r="J683" s="11">
        <f>IF(E683="Private",F683,"")</f>
        <v/>
      </c>
      <c r="K683" s="11">
        <f>IF(E683="Private",G683,"")</f>
        <v/>
      </c>
    </row>
    <row r="684">
      <c r="A684" s="9" t="n">
        <v>204015</v>
      </c>
      <c r="B684" s="9" t="inlineStr">
        <is>
          <t>Miami University-Middletown</t>
        </is>
      </c>
      <c r="C684" s="9" t="inlineStr">
        <is>
          <t>Middletown</t>
        </is>
      </c>
      <c r="D684" s="9" t="inlineStr">
        <is>
          <t>OH</t>
        </is>
      </c>
      <c r="E684" s="9" t="inlineStr">
        <is>
          <t>Public</t>
        </is>
      </c>
      <c r="F684" s="11" t="n">
        <v>10809</v>
      </c>
      <c r="G684" s="11" t="n">
        <v>55076</v>
      </c>
      <c r="H684" s="9">
        <f>COUNTIF($G$5:$G$1531,"&gt;"&amp;G684)+1</f>
        <v/>
      </c>
      <c r="I684" s="9" t="inlineStr"/>
      <c r="J684" s="11">
        <f>IF(E684="Private",F684,"")</f>
        <v/>
      </c>
      <c r="K684" s="11">
        <f>IF(E684="Private",G684,"")</f>
        <v/>
      </c>
    </row>
    <row r="685">
      <c r="A685" s="9" t="n">
        <v>219356</v>
      </c>
      <c r="B685" s="9" t="inlineStr">
        <is>
          <t>South Dakota State University</t>
        </is>
      </c>
      <c r="C685" s="9" t="inlineStr">
        <is>
          <t>Brookings</t>
        </is>
      </c>
      <c r="D685" s="9" t="inlineStr">
        <is>
          <t>SD</t>
        </is>
      </c>
      <c r="E685" s="9" t="inlineStr">
        <is>
          <t>Public</t>
        </is>
      </c>
      <c r="F685" s="11" t="n">
        <v>19841</v>
      </c>
      <c r="G685" s="11" t="n">
        <v>55070</v>
      </c>
      <c r="H685" s="9">
        <f>COUNTIF($G$5:$G$1531,"&gt;"&amp;G685)+1</f>
        <v/>
      </c>
      <c r="I685" s="9" t="inlineStr"/>
      <c r="J685" s="11">
        <f>IF(E685="Private",F685,"")</f>
        <v/>
      </c>
      <c r="K685" s="11">
        <f>IF(E685="Private",G685,"")</f>
        <v/>
      </c>
    </row>
    <row r="686">
      <c r="A686" s="9" t="n">
        <v>210775</v>
      </c>
      <c r="B686" s="9" t="inlineStr">
        <is>
          <t>Alvernia University</t>
        </is>
      </c>
      <c r="C686" s="9" t="inlineStr">
        <is>
          <t>Reading</t>
        </is>
      </c>
      <c r="D686" s="9" t="inlineStr">
        <is>
          <t>PA</t>
        </is>
      </c>
      <c r="E686" s="9" t="inlineStr">
        <is>
          <t>Private</t>
        </is>
      </c>
      <c r="F686" s="11" t="n">
        <v>28138</v>
      </c>
      <c r="G686" s="11" t="n">
        <v>55055</v>
      </c>
      <c r="H686" s="9">
        <f>COUNTIF($G$5:$G$1531,"&gt;"&amp;G686)+1</f>
        <v/>
      </c>
      <c r="I686" s="9" t="inlineStr"/>
      <c r="J686" s="11">
        <f>IF(E686="Private",F686,"")</f>
        <v/>
      </c>
      <c r="K686" s="11">
        <f>IF(E686="Private",G686,"")</f>
        <v/>
      </c>
    </row>
    <row r="687">
      <c r="A687" s="9" t="n">
        <v>181738</v>
      </c>
      <c r="B687" s="9" t="inlineStr">
        <is>
          <t>Union Adventist University</t>
        </is>
      </c>
      <c r="C687" s="9" t="inlineStr">
        <is>
          <t>Lincoln</t>
        </is>
      </c>
      <c r="D687" s="9" t="inlineStr">
        <is>
          <t>NE</t>
        </is>
      </c>
      <c r="E687" s="9" t="inlineStr">
        <is>
          <t>Private</t>
        </is>
      </c>
      <c r="F687" s="11" t="n">
        <v>23716</v>
      </c>
      <c r="G687" s="11" t="n">
        <v>55045</v>
      </c>
      <c r="H687" s="9">
        <f>COUNTIF($G$5:$G$1531,"&gt;"&amp;G687)+1</f>
        <v/>
      </c>
      <c r="I687" s="9" t="inlineStr"/>
      <c r="J687" s="11">
        <f>IF(E687="Private",F687,"")</f>
        <v/>
      </c>
      <c r="K687" s="11">
        <f>IF(E687="Private",G687,"")</f>
        <v/>
      </c>
    </row>
    <row r="688">
      <c r="A688" s="9" t="n">
        <v>130493</v>
      </c>
      <c r="B688" s="9" t="inlineStr">
        <is>
          <t>Southern Connecticut State University</t>
        </is>
      </c>
      <c r="C688" s="9" t="inlineStr">
        <is>
          <t>New Haven</t>
        </is>
      </c>
      <c r="D688" s="9" t="inlineStr">
        <is>
          <t>CT</t>
        </is>
      </c>
      <c r="E688" s="9" t="inlineStr">
        <is>
          <t>Public</t>
        </is>
      </c>
      <c r="F688" s="11" t="n">
        <v>20857</v>
      </c>
      <c r="G688" s="11" t="n">
        <v>55043</v>
      </c>
      <c r="H688" s="9">
        <f>COUNTIF($G$5:$G$1531,"&gt;"&amp;G688)+1</f>
        <v/>
      </c>
      <c r="I688" s="9" t="inlineStr"/>
      <c r="J688" s="11">
        <f>IF(E688="Private",F688,"")</f>
        <v/>
      </c>
      <c r="K688" s="11">
        <f>IF(E688="Private",G688,"")</f>
        <v/>
      </c>
    </row>
    <row r="689">
      <c r="A689" s="9" t="n">
        <v>155335</v>
      </c>
      <c r="B689" s="9" t="inlineStr">
        <is>
          <t>Newman University</t>
        </is>
      </c>
      <c r="C689" s="9" t="inlineStr">
        <is>
          <t>Wichita</t>
        </is>
      </c>
      <c r="D689" s="9" t="inlineStr">
        <is>
          <t>KS</t>
        </is>
      </c>
      <c r="E689" s="9" t="inlineStr">
        <is>
          <t>Private</t>
        </is>
      </c>
      <c r="F689" s="11" t="n">
        <v>19971</v>
      </c>
      <c r="G689" s="11" t="n">
        <v>55041</v>
      </c>
      <c r="H689" s="9">
        <f>COUNTIF($G$5:$G$1531,"&gt;"&amp;G689)+1</f>
        <v/>
      </c>
      <c r="I689" s="9" t="inlineStr"/>
      <c r="J689" s="11">
        <f>IF(E689="Private",F689,"")</f>
        <v/>
      </c>
      <c r="K689" s="11">
        <f>IF(E689="Private",G689,"")</f>
        <v/>
      </c>
    </row>
    <row r="690">
      <c r="A690" s="9" t="n">
        <v>182281</v>
      </c>
      <c r="B690" s="9" t="inlineStr">
        <is>
          <t>University of Nevada-Las Vegas</t>
        </is>
      </c>
      <c r="C690" s="9" t="inlineStr">
        <is>
          <t>Las Vegas</t>
        </is>
      </c>
      <c r="D690" s="9" t="inlineStr">
        <is>
          <t>NV</t>
        </is>
      </c>
      <c r="E690" s="9" t="inlineStr">
        <is>
          <t>Public</t>
        </is>
      </c>
      <c r="F690" s="11" t="n">
        <v>10359</v>
      </c>
      <c r="G690" s="11" t="n">
        <v>55037</v>
      </c>
      <c r="H690" s="9">
        <f>COUNTIF($G$5:$G$1531,"&gt;"&amp;G690)+1</f>
        <v/>
      </c>
      <c r="I690" s="9" t="inlineStr"/>
      <c r="J690" s="11">
        <f>IF(E690="Private",F690,"")</f>
        <v/>
      </c>
      <c r="K690" s="11">
        <f>IF(E690="Private",G690,"")</f>
        <v/>
      </c>
    </row>
    <row r="691">
      <c r="A691" s="9" t="n">
        <v>194958</v>
      </c>
      <c r="B691" s="9" t="inlineStr">
        <is>
          <t>Roberts Wesleyan University</t>
        </is>
      </c>
      <c r="C691" s="9" t="inlineStr">
        <is>
          <t>Rochester</t>
        </is>
      </c>
      <c r="D691" s="9" t="inlineStr">
        <is>
          <t>NY</t>
        </is>
      </c>
      <c r="E691" s="9" t="inlineStr">
        <is>
          <t>Private</t>
        </is>
      </c>
      <c r="F691" s="11" t="n">
        <v>23130</v>
      </c>
      <c r="G691" s="11" t="n">
        <v>55031</v>
      </c>
      <c r="H691" s="9">
        <f>COUNTIF($G$5:$G$1531,"&gt;"&amp;G691)+1</f>
        <v/>
      </c>
      <c r="I691" s="9" t="inlineStr"/>
      <c r="J691" s="11">
        <f>IF(E691="Private",F691,"")</f>
        <v/>
      </c>
      <c r="K691" s="11">
        <f>IF(E691="Private",G691,"")</f>
        <v/>
      </c>
    </row>
    <row r="692">
      <c r="A692" s="9" t="n">
        <v>399911</v>
      </c>
      <c r="B692" s="9" t="inlineStr">
        <is>
          <t>Soka University of America</t>
        </is>
      </c>
      <c r="C692" s="9" t="inlineStr">
        <is>
          <t>Aliso Viejo</t>
        </is>
      </c>
      <c r="D692" s="9" t="inlineStr">
        <is>
          <t>CA</t>
        </is>
      </c>
      <c r="E692" s="9" t="inlineStr">
        <is>
          <t>Private</t>
        </is>
      </c>
      <c r="F692" s="11" t="n">
        <v>18260</v>
      </c>
      <c r="G692" s="11" t="n">
        <v>55017</v>
      </c>
      <c r="H692" s="9">
        <f>COUNTIF($G$5:$G$1531,"&gt;"&amp;G692)+1</f>
        <v/>
      </c>
      <c r="I692" s="9" t="inlineStr"/>
      <c r="J692" s="11">
        <f>IF(E692="Private",F692,"")</f>
        <v/>
      </c>
      <c r="K692" s="11">
        <f>IF(E692="Private",G692,"")</f>
        <v/>
      </c>
    </row>
    <row r="693">
      <c r="A693" s="9" t="n">
        <v>240453</v>
      </c>
      <c r="B693" s="9" t="inlineStr">
        <is>
          <t>University of Wisconsin-Milwaukee</t>
        </is>
      </c>
      <c r="C693" s="9" t="inlineStr">
        <is>
          <t>Milwaukee</t>
        </is>
      </c>
      <c r="D693" s="9" t="inlineStr">
        <is>
          <t>WI</t>
        </is>
      </c>
      <c r="E693" s="9" t="inlineStr">
        <is>
          <t>Public</t>
        </is>
      </c>
      <c r="F693" s="11" t="n">
        <v>15014</v>
      </c>
      <c r="G693" s="11" t="n">
        <v>54990</v>
      </c>
      <c r="H693" s="9">
        <f>COUNTIF($G$5:$G$1531,"&gt;"&amp;G693)+1</f>
        <v/>
      </c>
      <c r="I693" s="9" t="inlineStr"/>
      <c r="J693" s="11">
        <f>IF(E693="Private",F693,"")</f>
        <v/>
      </c>
      <c r="K693" s="11">
        <f>IF(E693="Private",G693,"")</f>
        <v/>
      </c>
    </row>
    <row r="694">
      <c r="A694" s="9" t="n">
        <v>199218</v>
      </c>
      <c r="B694" s="9" t="inlineStr">
        <is>
          <t>University of North Carolina Wilmington</t>
        </is>
      </c>
      <c r="C694" s="9" t="inlineStr">
        <is>
          <t>Wilmington</t>
        </is>
      </c>
      <c r="D694" s="9" t="inlineStr">
        <is>
          <t>NC</t>
        </is>
      </c>
      <c r="E694" s="9" t="inlineStr">
        <is>
          <t>Public</t>
        </is>
      </c>
      <c r="F694" s="11" t="n">
        <v>20109</v>
      </c>
      <c r="G694" s="11" t="n">
        <v>54967</v>
      </c>
      <c r="H694" s="9">
        <f>COUNTIF($G$5:$G$1531,"&gt;"&amp;G694)+1</f>
        <v/>
      </c>
      <c r="I694" s="9" t="inlineStr"/>
      <c r="J694" s="11">
        <f>IF(E694="Private",F694,"")</f>
        <v/>
      </c>
      <c r="K694" s="11">
        <f>IF(E694="Private",G694,"")</f>
        <v/>
      </c>
    </row>
    <row r="695">
      <c r="A695" s="9" t="n">
        <v>206862</v>
      </c>
      <c r="B695" s="9" t="inlineStr">
        <is>
          <t>Southern Nazarene University</t>
        </is>
      </c>
      <c r="C695" s="9" t="inlineStr">
        <is>
          <t>Bethany</t>
        </is>
      </c>
      <c r="D695" s="9" t="inlineStr">
        <is>
          <t>OK</t>
        </is>
      </c>
      <c r="E695" s="9" t="inlineStr">
        <is>
          <t>Private</t>
        </is>
      </c>
      <c r="F695" s="11" t="n">
        <v>22084</v>
      </c>
      <c r="G695" s="11" t="n">
        <v>54951</v>
      </c>
      <c r="H695" s="9">
        <f>COUNTIF($G$5:$G$1531,"&gt;"&amp;G695)+1</f>
        <v/>
      </c>
      <c r="I695" s="9" t="inlineStr"/>
      <c r="J695" s="11">
        <f>IF(E695="Private",F695,"")</f>
        <v/>
      </c>
      <c r="K695" s="11">
        <f>IF(E695="Private",G695,"")</f>
        <v/>
      </c>
    </row>
    <row r="696">
      <c r="A696" s="9" t="n">
        <v>206525</v>
      </c>
      <c r="B696" s="9" t="inlineStr">
        <is>
          <t>Wittenberg University</t>
        </is>
      </c>
      <c r="C696" s="9" t="inlineStr">
        <is>
          <t>Springfield</t>
        </is>
      </c>
      <c r="D696" s="9" t="inlineStr">
        <is>
          <t>OH</t>
        </is>
      </c>
      <c r="E696" s="9" t="inlineStr">
        <is>
          <t>Private</t>
        </is>
      </c>
      <c r="F696" s="11" t="n">
        <v>18649</v>
      </c>
      <c r="G696" s="11" t="n">
        <v>54947</v>
      </c>
      <c r="H696" s="9">
        <f>COUNTIF($G$5:$G$1531,"&gt;"&amp;G696)+1</f>
        <v/>
      </c>
      <c r="I696" s="9" t="inlineStr"/>
      <c r="J696" s="11">
        <f>IF(E696="Private",F696,"")</f>
        <v/>
      </c>
      <c r="K696" s="11">
        <f>IF(E696="Private",G696,"")</f>
        <v/>
      </c>
    </row>
    <row r="697">
      <c r="A697" s="9" t="n">
        <v>232982</v>
      </c>
      <c r="B697" s="9" t="inlineStr">
        <is>
          <t>Old Dominion University</t>
        </is>
      </c>
      <c r="C697" s="9" t="inlineStr">
        <is>
          <t>Norfolk</t>
        </is>
      </c>
      <c r="D697" s="9" t="inlineStr">
        <is>
          <t>VA</t>
        </is>
      </c>
      <c r="E697" s="9" t="inlineStr">
        <is>
          <t>Public</t>
        </is>
      </c>
      <c r="F697" s="11" t="n">
        <v>14638</v>
      </c>
      <c r="G697" s="11" t="n">
        <v>54914</v>
      </c>
      <c r="H697" s="9">
        <f>COUNTIF($G$5:$G$1531,"&gt;"&amp;G697)+1</f>
        <v/>
      </c>
      <c r="I697" s="9" t="inlineStr"/>
      <c r="J697" s="11">
        <f>IF(E697="Private",F697,"")</f>
        <v/>
      </c>
      <c r="K697" s="11">
        <f>IF(E697="Private",G697,"")</f>
        <v/>
      </c>
    </row>
    <row r="698">
      <c r="A698" s="9" t="n">
        <v>487603</v>
      </c>
      <c r="B698" s="9" t="inlineStr">
        <is>
          <t>Northwest University-Center for Online and Extended Education</t>
        </is>
      </c>
      <c r="C698" s="9" t="inlineStr">
        <is>
          <t>Kirkland</t>
        </is>
      </c>
      <c r="D698" s="9" t="inlineStr">
        <is>
          <t>WA</t>
        </is>
      </c>
      <c r="E698" s="9" t="inlineStr">
        <is>
          <t>Private</t>
        </is>
      </c>
      <c r="F698" s="11" t="n">
        <v>35671</v>
      </c>
      <c r="G698" s="11" t="n">
        <v>54914</v>
      </c>
      <c r="H698" s="9">
        <f>COUNTIF($G$5:$G$1531,"&gt;"&amp;G698)+1</f>
        <v/>
      </c>
      <c r="I698" s="9" t="inlineStr"/>
      <c r="J698" s="11">
        <f>IF(E698="Private",F698,"")</f>
        <v/>
      </c>
      <c r="K698" s="11">
        <f>IF(E698="Private",G698,"")</f>
        <v/>
      </c>
    </row>
    <row r="699">
      <c r="A699" s="9" t="n">
        <v>236133</v>
      </c>
      <c r="B699" s="9" t="inlineStr">
        <is>
          <t>Northwest University</t>
        </is>
      </c>
      <c r="C699" s="9" t="inlineStr">
        <is>
          <t>Kirkland</t>
        </is>
      </c>
      <c r="D699" s="9" t="inlineStr">
        <is>
          <t>WA</t>
        </is>
      </c>
      <c r="E699" s="9" t="inlineStr">
        <is>
          <t>Private</t>
        </is>
      </c>
      <c r="F699" s="11" t="n">
        <v>22288</v>
      </c>
      <c r="G699" s="11" t="n">
        <v>54914</v>
      </c>
      <c r="H699" s="9">
        <f>COUNTIF($G$5:$G$1531,"&gt;"&amp;G699)+1</f>
        <v/>
      </c>
      <c r="I699" s="9" t="inlineStr"/>
      <c r="J699" s="11">
        <f>IF(E699="Private",F699,"")</f>
        <v/>
      </c>
      <c r="K699" s="11">
        <f>IF(E699="Private",G699,"")</f>
        <v/>
      </c>
    </row>
    <row r="700">
      <c r="A700" s="9" t="n">
        <v>239628</v>
      </c>
      <c r="B700" s="9" t="inlineStr">
        <is>
          <t>Ripon College</t>
        </is>
      </c>
      <c r="C700" s="9" t="inlineStr">
        <is>
          <t>Ripon</t>
        </is>
      </c>
      <c r="D700" s="9" t="inlineStr">
        <is>
          <t>WI</t>
        </is>
      </c>
      <c r="E700" s="9" t="inlineStr">
        <is>
          <t>Private</t>
        </is>
      </c>
      <c r="F700" s="11" t="n">
        <v>20216</v>
      </c>
      <c r="G700" s="11" t="n">
        <v>54902</v>
      </c>
      <c r="H700" s="9">
        <f>COUNTIF($G$5:$G$1531,"&gt;"&amp;G700)+1</f>
        <v/>
      </c>
      <c r="I700" s="9" t="inlineStr"/>
      <c r="J700" s="11">
        <f>IF(E700="Private",F700,"")</f>
        <v/>
      </c>
      <c r="K700" s="11">
        <f>IF(E700="Private",G700,"")</f>
        <v/>
      </c>
    </row>
    <row r="701">
      <c r="A701" s="9" t="n">
        <v>188641</v>
      </c>
      <c r="B701" s="9" t="inlineStr">
        <is>
          <t>Alfred University</t>
        </is>
      </c>
      <c r="C701" s="9" t="inlineStr">
        <is>
          <t>Alfred</t>
        </is>
      </c>
      <c r="D701" s="9" t="inlineStr">
        <is>
          <t>NY</t>
        </is>
      </c>
      <c r="E701" s="9" t="inlineStr">
        <is>
          <t>Private</t>
        </is>
      </c>
      <c r="F701" s="11" t="n">
        <v>25620</v>
      </c>
      <c r="G701" s="11" t="n">
        <v>54897</v>
      </c>
      <c r="H701" s="9">
        <f>COUNTIF($G$5:$G$1531,"&gt;"&amp;G701)+1</f>
        <v/>
      </c>
      <c r="I701" s="9" t="inlineStr"/>
      <c r="J701" s="11">
        <f>IF(E701="Private",F701,"")</f>
        <v/>
      </c>
      <c r="K701" s="11">
        <f>IF(E701="Private",G701,"")</f>
        <v/>
      </c>
    </row>
    <row r="702">
      <c r="A702" s="9" t="n">
        <v>198136</v>
      </c>
      <c r="B702" s="9" t="inlineStr">
        <is>
          <t>Campbell University</t>
        </is>
      </c>
      <c r="C702" s="9" t="inlineStr">
        <is>
          <t>Buies Creek</t>
        </is>
      </c>
      <c r="D702" s="9" t="inlineStr">
        <is>
          <t>NC</t>
        </is>
      </c>
      <c r="E702" s="9" t="inlineStr">
        <is>
          <t>Private</t>
        </is>
      </c>
      <c r="F702" s="11" t="n">
        <v>24516</v>
      </c>
      <c r="G702" s="11" t="n">
        <v>54886</v>
      </c>
      <c r="H702" s="9">
        <f>COUNTIF($G$5:$G$1531,"&gt;"&amp;G702)+1</f>
        <v/>
      </c>
      <c r="I702" s="9" t="inlineStr"/>
      <c r="J702" s="11">
        <f>IF(E702="Private",F702,"")</f>
        <v/>
      </c>
      <c r="K702" s="11">
        <f>IF(E702="Private",G702,"")</f>
        <v/>
      </c>
    </row>
    <row r="703">
      <c r="A703" s="9" t="n">
        <v>232043</v>
      </c>
      <c r="B703" s="9" t="inlineStr">
        <is>
          <t>Eastern Mennonite University</t>
        </is>
      </c>
      <c r="C703" s="9" t="inlineStr">
        <is>
          <t>Harrisonburg</t>
        </is>
      </c>
      <c r="D703" s="9" t="inlineStr">
        <is>
          <t>VA</t>
        </is>
      </c>
      <c r="E703" s="9" t="inlineStr">
        <is>
          <t>Private</t>
        </is>
      </c>
      <c r="F703" s="11" t="n">
        <v>24588</v>
      </c>
      <c r="G703" s="11" t="n">
        <v>54869</v>
      </c>
      <c r="H703" s="9">
        <f>COUNTIF($G$5:$G$1531,"&gt;"&amp;G703)+1</f>
        <v/>
      </c>
      <c r="I703" s="9" t="inlineStr"/>
      <c r="J703" s="11">
        <f>IF(E703="Private",F703,"")</f>
        <v/>
      </c>
      <c r="K703" s="11">
        <f>IF(E703="Private",G703,"")</f>
        <v/>
      </c>
    </row>
    <row r="704">
      <c r="A704" s="9" t="n">
        <v>146427</v>
      </c>
      <c r="B704" s="9" t="inlineStr">
        <is>
          <t>Knox College</t>
        </is>
      </c>
      <c r="C704" s="9" t="inlineStr">
        <is>
          <t>Galesburg</t>
        </is>
      </c>
      <c r="D704" s="9" t="inlineStr">
        <is>
          <t>IL</t>
        </is>
      </c>
      <c r="E704" s="9" t="inlineStr">
        <is>
          <t>Private</t>
        </is>
      </c>
      <c r="F704" s="11" t="n">
        <v>24595</v>
      </c>
      <c r="G704" s="11" t="n">
        <v>54820</v>
      </c>
      <c r="H704" s="9">
        <f>COUNTIF($G$5:$G$1531,"&gt;"&amp;G704)+1</f>
        <v/>
      </c>
      <c r="I704" s="9" t="inlineStr"/>
      <c r="J704" s="11">
        <f>IF(E704="Private",F704,"")</f>
        <v/>
      </c>
      <c r="K704" s="11">
        <f>IF(E704="Private",G704,"")</f>
        <v/>
      </c>
    </row>
    <row r="705">
      <c r="A705" s="9" t="n">
        <v>201885</v>
      </c>
      <c r="B705" s="9" t="inlineStr">
        <is>
          <t>University of Cincinnati-Main Campus</t>
        </is>
      </c>
      <c r="C705" s="9" t="inlineStr">
        <is>
          <t>Cincinnati</t>
        </is>
      </c>
      <c r="D705" s="9" t="inlineStr">
        <is>
          <t>OH</t>
        </is>
      </c>
      <c r="E705" s="9" t="inlineStr">
        <is>
          <t>Public</t>
        </is>
      </c>
      <c r="F705" s="11" t="n">
        <v>25648</v>
      </c>
      <c r="G705" s="11" t="n">
        <v>54810</v>
      </c>
      <c r="H705" s="9">
        <f>COUNTIF($G$5:$G$1531,"&gt;"&amp;G705)+1</f>
        <v/>
      </c>
      <c r="I705" s="9" t="inlineStr"/>
      <c r="J705" s="11">
        <f>IF(E705="Private",F705,"")</f>
        <v/>
      </c>
      <c r="K705" s="11">
        <f>IF(E705="Private",G705,"")</f>
        <v/>
      </c>
    </row>
    <row r="706">
      <c r="A706" s="9" t="n">
        <v>148405</v>
      </c>
      <c r="B706" s="9" t="inlineStr">
        <is>
          <t>Rockford University</t>
        </is>
      </c>
      <c r="C706" s="9" t="inlineStr">
        <is>
          <t>Rockford</t>
        </is>
      </c>
      <c r="D706" s="9" t="inlineStr">
        <is>
          <t>IL</t>
        </is>
      </c>
      <c r="E706" s="9" t="inlineStr">
        <is>
          <t>Private</t>
        </is>
      </c>
      <c r="F706" s="11" t="n">
        <v>22436</v>
      </c>
      <c r="G706" s="11" t="n">
        <v>54794</v>
      </c>
      <c r="H706" s="9">
        <f>COUNTIF($G$5:$G$1531,"&gt;"&amp;G706)+1</f>
        <v/>
      </c>
      <c r="I706" s="9" t="inlineStr"/>
      <c r="J706" s="11">
        <f>IF(E706="Private",F706,"")</f>
        <v/>
      </c>
      <c r="K706" s="11">
        <f>IF(E706="Private",G706,"")</f>
        <v/>
      </c>
    </row>
    <row r="707">
      <c r="A707" s="9" t="n">
        <v>225247</v>
      </c>
      <c r="B707" s="9" t="inlineStr">
        <is>
          <t>Hardin-Simmons University</t>
        </is>
      </c>
      <c r="C707" s="9" t="inlineStr">
        <is>
          <t>Abilene</t>
        </is>
      </c>
      <c r="D707" s="9" t="inlineStr">
        <is>
          <t>TX</t>
        </is>
      </c>
      <c r="E707" s="9" t="inlineStr">
        <is>
          <t>Private</t>
        </is>
      </c>
      <c r="F707" s="11" t="n">
        <v>19555</v>
      </c>
      <c r="G707" s="11" t="n">
        <v>54771</v>
      </c>
      <c r="H707" s="9">
        <f>COUNTIF($G$5:$G$1531,"&gt;"&amp;G707)+1</f>
        <v/>
      </c>
      <c r="I707" s="9" t="inlineStr"/>
      <c r="J707" s="11">
        <f>IF(E707="Private",F707,"")</f>
        <v/>
      </c>
      <c r="K707" s="11">
        <f>IF(E707="Private",G707,"")</f>
        <v/>
      </c>
    </row>
    <row r="708">
      <c r="A708" s="9" t="n">
        <v>168591</v>
      </c>
      <c r="B708" s="9" t="inlineStr">
        <is>
          <t>Alma College</t>
        </is>
      </c>
      <c r="C708" s="9" t="inlineStr">
        <is>
          <t>Alma</t>
        </is>
      </c>
      <c r="D708" s="9" t="inlineStr">
        <is>
          <t>MI</t>
        </is>
      </c>
      <c r="E708" s="9" t="inlineStr">
        <is>
          <t>Private</t>
        </is>
      </c>
      <c r="F708" s="11" t="n">
        <v>20694</v>
      </c>
      <c r="G708" s="11" t="n">
        <v>54742</v>
      </c>
      <c r="H708" s="9">
        <f>COUNTIF($G$5:$G$1531,"&gt;"&amp;G708)+1</f>
        <v/>
      </c>
      <c r="I708" s="9" t="inlineStr"/>
      <c r="J708" s="11">
        <f>IF(E708="Private",F708,"")</f>
        <v/>
      </c>
      <c r="K708" s="11">
        <f>IF(E708="Private",G708,"")</f>
        <v/>
      </c>
    </row>
    <row r="709">
      <c r="A709" s="9" t="n">
        <v>169910</v>
      </c>
      <c r="B709" s="9" t="inlineStr">
        <is>
          <t>Ferris State University</t>
        </is>
      </c>
      <c r="C709" s="9" t="inlineStr">
        <is>
          <t>Big Rapids</t>
        </is>
      </c>
      <c r="D709" s="9" t="inlineStr">
        <is>
          <t>MI</t>
        </is>
      </c>
      <c r="E709" s="9" t="inlineStr">
        <is>
          <t>Public</t>
        </is>
      </c>
      <c r="F709" s="11" t="n">
        <v>8624</v>
      </c>
      <c r="G709" s="11" t="n">
        <v>54735</v>
      </c>
      <c r="H709" s="9">
        <f>COUNTIF($G$5:$G$1531,"&gt;"&amp;G709)+1</f>
        <v/>
      </c>
      <c r="I709" s="9" t="inlineStr"/>
      <c r="J709" s="11">
        <f>IF(E709="Private",F709,"")</f>
        <v/>
      </c>
      <c r="K709" s="11">
        <f>IF(E709="Private",G709,"")</f>
        <v/>
      </c>
    </row>
    <row r="710">
      <c r="A710" s="9" t="n">
        <v>157818</v>
      </c>
      <c r="B710" s="9" t="inlineStr">
        <is>
          <t>Transylvania University</t>
        </is>
      </c>
      <c r="C710" s="9" t="inlineStr">
        <is>
          <t>Lexington</t>
        </is>
      </c>
      <c r="D710" s="9" t="inlineStr">
        <is>
          <t>KY</t>
        </is>
      </c>
      <c r="E710" s="9" t="inlineStr">
        <is>
          <t>Private</t>
        </is>
      </c>
      <c r="F710" s="11" t="n">
        <v>21913</v>
      </c>
      <c r="G710" s="11" t="n">
        <v>54705</v>
      </c>
      <c r="H710" s="9">
        <f>COUNTIF($G$5:$G$1531,"&gt;"&amp;G710)+1</f>
        <v/>
      </c>
      <c r="I710" s="9" t="inlineStr"/>
      <c r="J710" s="11">
        <f>IF(E710="Private",F710,"")</f>
        <v/>
      </c>
      <c r="K710" s="11">
        <f>IF(E710="Private",G710,"")</f>
        <v/>
      </c>
    </row>
    <row r="711">
      <c r="A711" s="9" t="n">
        <v>142285</v>
      </c>
      <c r="B711" s="9" t="inlineStr">
        <is>
          <t>University of Idaho</t>
        </is>
      </c>
      <c r="C711" s="9" t="inlineStr">
        <is>
          <t>Moscow</t>
        </is>
      </c>
      <c r="D711" s="9" t="inlineStr">
        <is>
          <t>ID</t>
        </is>
      </c>
      <c r="E711" s="9" t="inlineStr">
        <is>
          <t>Public</t>
        </is>
      </c>
      <c r="F711" s="11" t="n">
        <v>14831</v>
      </c>
      <c r="G711" s="11" t="n">
        <v>54670</v>
      </c>
      <c r="H711" s="9">
        <f>COUNTIF($G$5:$G$1531,"&gt;"&amp;G711)+1</f>
        <v/>
      </c>
      <c r="I711" s="9" t="inlineStr"/>
      <c r="J711" s="11">
        <f>IF(E711="Private",F711,"")</f>
        <v/>
      </c>
      <c r="K711" s="11">
        <f>IF(E711="Private",G711,"")</f>
        <v/>
      </c>
    </row>
    <row r="712">
      <c r="A712" s="9" t="n">
        <v>240338</v>
      </c>
      <c r="B712" s="9" t="inlineStr">
        <is>
          <t>Wisconsin Lutheran College</t>
        </is>
      </c>
      <c r="C712" s="9" t="inlineStr">
        <is>
          <t>Milwaukee</t>
        </is>
      </c>
      <c r="D712" s="9" t="inlineStr">
        <is>
          <t>WI</t>
        </is>
      </c>
      <c r="E712" s="9" t="inlineStr">
        <is>
          <t>Private</t>
        </is>
      </c>
      <c r="F712" s="11" t="n">
        <v>23245</v>
      </c>
      <c r="G712" s="11" t="n">
        <v>54664</v>
      </c>
      <c r="H712" s="9">
        <f>COUNTIF($G$5:$G$1531,"&gt;"&amp;G712)+1</f>
        <v/>
      </c>
      <c r="I712" s="9" t="inlineStr"/>
      <c r="J712" s="11">
        <f>IF(E712="Private",F712,"")</f>
        <v/>
      </c>
      <c r="K712" s="11">
        <f>IF(E712="Private",G712,"")</f>
        <v/>
      </c>
    </row>
    <row r="713">
      <c r="A713" s="9" t="n">
        <v>126580</v>
      </c>
      <c r="B713" s="9" t="inlineStr">
        <is>
          <t>University of Colorado Colorado Springs</t>
        </is>
      </c>
      <c r="C713" s="9" t="inlineStr">
        <is>
          <t>Colorado Springs</t>
        </is>
      </c>
      <c r="D713" s="9" t="inlineStr">
        <is>
          <t>CO</t>
        </is>
      </c>
      <c r="E713" s="9" t="inlineStr">
        <is>
          <t>Public</t>
        </is>
      </c>
      <c r="F713" s="11" t="n">
        <v>15788</v>
      </c>
      <c r="G713" s="11" t="n">
        <v>54659</v>
      </c>
      <c r="H713" s="9">
        <f>COUNTIF($G$5:$G$1531,"&gt;"&amp;G713)+1</f>
        <v/>
      </c>
      <c r="I713" s="9" t="inlineStr"/>
      <c r="J713" s="11">
        <f>IF(E713="Private",F713,"")</f>
        <v/>
      </c>
      <c r="K713" s="11">
        <f>IF(E713="Private",G713,"")</f>
        <v/>
      </c>
    </row>
    <row r="714">
      <c r="A714" s="9" t="n">
        <v>207458</v>
      </c>
      <c r="B714" s="9" t="inlineStr">
        <is>
          <t>Oklahoma City University</t>
        </is>
      </c>
      <c r="C714" s="9" t="inlineStr">
        <is>
          <t>Oklahoma City</t>
        </is>
      </c>
      <c r="D714" s="9" t="inlineStr">
        <is>
          <t>OK</t>
        </is>
      </c>
      <c r="E714" s="9" t="inlineStr">
        <is>
          <t>Private</t>
        </is>
      </c>
      <c r="F714" s="11" t="n">
        <v>22857</v>
      </c>
      <c r="G714" s="11" t="n">
        <v>54655</v>
      </c>
      <c r="H714" s="9">
        <f>COUNTIF($G$5:$G$1531,"&gt;"&amp;G714)+1</f>
        <v/>
      </c>
      <c r="I714" s="9" t="inlineStr"/>
      <c r="J714" s="11">
        <f>IF(E714="Private",F714,"")</f>
        <v/>
      </c>
      <c r="K714" s="11">
        <f>IF(E714="Private",G714,"")</f>
        <v/>
      </c>
    </row>
    <row r="715">
      <c r="A715" s="9" t="n">
        <v>433660</v>
      </c>
      <c r="B715" s="9" t="inlineStr">
        <is>
          <t>Florida Gulf Coast University</t>
        </is>
      </c>
      <c r="C715" s="9" t="inlineStr">
        <is>
          <t>Fort Myers</t>
        </is>
      </c>
      <c r="D715" s="9" t="inlineStr">
        <is>
          <t>FL</t>
        </is>
      </c>
      <c r="E715" s="9" t="inlineStr">
        <is>
          <t>Public</t>
        </is>
      </c>
      <c r="F715" s="11" t="n">
        <v>12568</v>
      </c>
      <c r="G715" s="11" t="n">
        <v>54560</v>
      </c>
      <c r="H715" s="9">
        <f>COUNTIF($G$5:$G$1531,"&gt;"&amp;G715)+1</f>
        <v/>
      </c>
      <c r="I715" s="9" t="inlineStr"/>
      <c r="J715" s="11">
        <f>IF(E715="Private",F715,"")</f>
        <v/>
      </c>
      <c r="K715" s="11">
        <f>IF(E715="Private",G715,"")</f>
        <v/>
      </c>
    </row>
    <row r="716">
      <c r="A716" s="9" t="n">
        <v>162007</v>
      </c>
      <c r="B716" s="9" t="inlineStr">
        <is>
          <t>Bowie State University</t>
        </is>
      </c>
      <c r="C716" s="9" t="inlineStr">
        <is>
          <t>Bowie</t>
        </is>
      </c>
      <c r="D716" s="9" t="inlineStr">
        <is>
          <t>MD</t>
        </is>
      </c>
      <c r="E716" s="9" t="inlineStr">
        <is>
          <t>Public</t>
        </is>
      </c>
      <c r="F716" s="11" t="n">
        <v>19298</v>
      </c>
      <c r="G716" s="11" t="n">
        <v>54537</v>
      </c>
      <c r="H716" s="9">
        <f>COUNTIF($G$5:$G$1531,"&gt;"&amp;G716)+1</f>
        <v/>
      </c>
      <c r="I716" s="9" t="inlineStr"/>
      <c r="J716" s="11">
        <f>IF(E716="Private",F716,"")</f>
        <v/>
      </c>
      <c r="K716" s="11">
        <f>IF(E716="Private",G716,"")</f>
        <v/>
      </c>
    </row>
    <row r="717">
      <c r="A717" s="9" t="n">
        <v>219383</v>
      </c>
      <c r="B717" s="9" t="inlineStr">
        <is>
          <t>University of Sioux Falls</t>
        </is>
      </c>
      <c r="C717" s="9" t="inlineStr">
        <is>
          <t>Sioux Falls</t>
        </is>
      </c>
      <c r="D717" s="9" t="inlineStr">
        <is>
          <t>SD</t>
        </is>
      </c>
      <c r="E717" s="9" t="inlineStr">
        <is>
          <t>Private</t>
        </is>
      </c>
      <c r="F717" s="11" t="n">
        <v>21383</v>
      </c>
      <c r="G717" s="11" t="n">
        <v>54521</v>
      </c>
      <c r="H717" s="9">
        <f>COUNTIF($G$5:$G$1531,"&gt;"&amp;G717)+1</f>
        <v/>
      </c>
      <c r="I717" s="9" t="inlineStr"/>
      <c r="J717" s="11">
        <f>IF(E717="Private",F717,"")</f>
        <v/>
      </c>
      <c r="K717" s="11">
        <f>IF(E717="Private",G717,"")</f>
        <v/>
      </c>
    </row>
    <row r="718">
      <c r="A718" s="9" t="n">
        <v>100663</v>
      </c>
      <c r="B718" s="9" t="inlineStr">
        <is>
          <t>University of Alabama at Birmingham</t>
        </is>
      </c>
      <c r="C718" s="9" t="inlineStr">
        <is>
          <t>Birmingham</t>
        </is>
      </c>
      <c r="D718" s="9" t="inlineStr">
        <is>
          <t>AL</t>
        </is>
      </c>
      <c r="E718" s="9" t="inlineStr">
        <is>
          <t>Public</t>
        </is>
      </c>
      <c r="F718" s="11" t="n">
        <v>18749</v>
      </c>
      <c r="G718" s="11" t="n">
        <v>54501</v>
      </c>
      <c r="H718" s="9">
        <f>COUNTIF($G$5:$G$1531,"&gt;"&amp;G718)+1</f>
        <v/>
      </c>
      <c r="I718" s="9" t="inlineStr"/>
      <c r="J718" s="11">
        <f>IF(E718="Private",F718,"")</f>
        <v/>
      </c>
      <c r="K718" s="11">
        <f>IF(E718="Private",G718,"")</f>
        <v/>
      </c>
    </row>
    <row r="719">
      <c r="A719" s="9" t="n">
        <v>196121</v>
      </c>
      <c r="B719" s="9" t="inlineStr">
        <is>
          <t>SUNY Brockport</t>
        </is>
      </c>
      <c r="C719" s="9" t="inlineStr">
        <is>
          <t>Brockport</t>
        </is>
      </c>
      <c r="D719" s="9" t="inlineStr">
        <is>
          <t>NY</t>
        </is>
      </c>
      <c r="E719" s="9" t="inlineStr">
        <is>
          <t>Public</t>
        </is>
      </c>
      <c r="F719" s="11" t="n">
        <v>16353</v>
      </c>
      <c r="G719" s="11" t="n">
        <v>54496</v>
      </c>
      <c r="H719" s="9">
        <f>COUNTIF($G$5:$G$1531,"&gt;"&amp;G719)+1</f>
        <v/>
      </c>
      <c r="I719" s="9" t="inlineStr"/>
      <c r="J719" s="11">
        <f>IF(E719="Private",F719,"")</f>
        <v/>
      </c>
      <c r="K719" s="11">
        <f>IF(E719="Private",G719,"")</f>
        <v/>
      </c>
    </row>
    <row r="720">
      <c r="A720" s="9" t="n">
        <v>152992</v>
      </c>
      <c r="B720" s="9" t="inlineStr">
        <is>
          <t>Briar Cliff University</t>
        </is>
      </c>
      <c r="C720" s="9" t="inlineStr">
        <is>
          <t>Sioux City</t>
        </is>
      </c>
      <c r="D720" s="9" t="inlineStr">
        <is>
          <t>IA</t>
        </is>
      </c>
      <c r="E720" s="9" t="inlineStr">
        <is>
          <t>Private</t>
        </is>
      </c>
      <c r="F720" s="11" t="n">
        <v>23907</v>
      </c>
      <c r="G720" s="11" t="n">
        <v>54475</v>
      </c>
      <c r="H720" s="9">
        <f>COUNTIF($G$5:$G$1531,"&gt;"&amp;G720)+1</f>
        <v/>
      </c>
      <c r="I720" s="9" t="inlineStr"/>
      <c r="J720" s="11">
        <f>IF(E720="Private",F720,"")</f>
        <v/>
      </c>
      <c r="K720" s="11">
        <f>IF(E720="Private",G720,"")</f>
        <v/>
      </c>
    </row>
    <row r="721">
      <c r="A721" s="9" t="n">
        <v>225502</v>
      </c>
      <c r="B721" s="9" t="inlineStr">
        <is>
          <t>Texas A&amp;M University-Victoria</t>
        </is>
      </c>
      <c r="C721" s="9" t="inlineStr">
        <is>
          <t>Victoria</t>
        </is>
      </c>
      <c r="D721" s="9" t="inlineStr">
        <is>
          <t>TX</t>
        </is>
      </c>
      <c r="E721" s="9" t="inlineStr">
        <is>
          <t>Public</t>
        </is>
      </c>
      <c r="F721" s="11" t="n">
        <v>8109</v>
      </c>
      <c r="G721" s="11" t="n">
        <v>54467</v>
      </c>
      <c r="H721" s="9">
        <f>COUNTIF($G$5:$G$1531,"&gt;"&amp;G721)+1</f>
        <v/>
      </c>
      <c r="I721" s="9" t="inlineStr"/>
      <c r="J721" s="11">
        <f>IF(E721="Private",F721,"")</f>
        <v/>
      </c>
      <c r="K721" s="11">
        <f>IF(E721="Private",G721,"")</f>
        <v/>
      </c>
    </row>
    <row r="722">
      <c r="A722" s="9" t="n">
        <v>240471</v>
      </c>
      <c r="B722" s="9" t="inlineStr">
        <is>
          <t>University of Wisconsin-River Falls</t>
        </is>
      </c>
      <c r="C722" s="9" t="inlineStr">
        <is>
          <t>River Falls</t>
        </is>
      </c>
      <c r="D722" s="9" t="inlineStr">
        <is>
          <t>WI</t>
        </is>
      </c>
      <c r="E722" s="9" t="inlineStr">
        <is>
          <t>Public</t>
        </is>
      </c>
      <c r="F722" s="11" t="n">
        <v>14054</v>
      </c>
      <c r="G722" s="11" t="n">
        <v>54458</v>
      </c>
      <c r="H722" s="9">
        <f>COUNTIF($G$5:$G$1531,"&gt;"&amp;G722)+1</f>
        <v/>
      </c>
      <c r="I722" s="9" t="inlineStr"/>
      <c r="J722" s="11">
        <f>IF(E722="Private",F722,"")</f>
        <v/>
      </c>
      <c r="K722" s="11">
        <f>IF(E722="Private",G722,"")</f>
        <v/>
      </c>
    </row>
    <row r="723">
      <c r="A723" s="9" t="n">
        <v>219790</v>
      </c>
      <c r="B723" s="9" t="inlineStr">
        <is>
          <t>Bryan College-Dayton</t>
        </is>
      </c>
      <c r="C723" s="9" t="inlineStr">
        <is>
          <t>Dayton</t>
        </is>
      </c>
      <c r="D723" s="9" t="inlineStr">
        <is>
          <t>TN</t>
        </is>
      </c>
      <c r="E723" s="9" t="inlineStr">
        <is>
          <t>Private</t>
        </is>
      </c>
      <c r="F723" s="11" t="n">
        <v>20614</v>
      </c>
      <c r="G723" s="11" t="n">
        <v>54434</v>
      </c>
      <c r="H723" s="9">
        <f>COUNTIF($G$5:$G$1531,"&gt;"&amp;G723)+1</f>
        <v/>
      </c>
      <c r="I723" s="9" t="inlineStr"/>
      <c r="J723" s="11">
        <f>IF(E723="Private",F723,"")</f>
        <v/>
      </c>
      <c r="K723" s="11">
        <f>IF(E723="Private",G723,"")</f>
        <v/>
      </c>
    </row>
    <row r="724">
      <c r="A724" s="9" t="n">
        <v>165529</v>
      </c>
      <c r="B724" s="9" t="inlineStr">
        <is>
          <t>Curry College</t>
        </is>
      </c>
      <c r="C724" s="9" t="inlineStr">
        <is>
          <t>Milton</t>
        </is>
      </c>
      <c r="D724" s="9" t="inlineStr">
        <is>
          <t>MA</t>
        </is>
      </c>
      <c r="E724" s="9" t="inlineStr">
        <is>
          <t>Private</t>
        </is>
      </c>
      <c r="F724" s="11" t="n">
        <v>29207</v>
      </c>
      <c r="G724" s="11" t="n">
        <v>54400</v>
      </c>
      <c r="H724" s="9">
        <f>COUNTIF($G$5:$G$1531,"&gt;"&amp;G724)+1</f>
        <v/>
      </c>
      <c r="I724" s="9" t="inlineStr"/>
      <c r="J724" s="11">
        <f>IF(E724="Private",F724,"")</f>
        <v/>
      </c>
      <c r="K724" s="11">
        <f>IF(E724="Private",G724,"")</f>
        <v/>
      </c>
    </row>
    <row r="725">
      <c r="A725" s="9" t="n">
        <v>105330</v>
      </c>
      <c r="B725" s="9" t="inlineStr">
        <is>
          <t>Northern Arizona University</t>
        </is>
      </c>
      <c r="C725" s="9" t="inlineStr">
        <is>
          <t>Flagstaff</t>
        </is>
      </c>
      <c r="D725" s="9" t="inlineStr">
        <is>
          <t>AZ</t>
        </is>
      </c>
      <c r="E725" s="9" t="inlineStr">
        <is>
          <t>Public</t>
        </is>
      </c>
      <c r="F725" s="11" t="n">
        <v>14158</v>
      </c>
      <c r="G725" s="11" t="n">
        <v>54384</v>
      </c>
      <c r="H725" s="9">
        <f>COUNTIF($G$5:$G$1531,"&gt;"&amp;G725)+1</f>
        <v/>
      </c>
      <c r="I725" s="9" t="inlineStr"/>
      <c r="J725" s="11">
        <f>IF(E725="Private",F725,"")</f>
        <v/>
      </c>
      <c r="K725" s="11">
        <f>IF(E725="Private",G725,"")</f>
        <v/>
      </c>
    </row>
    <row r="726">
      <c r="A726" s="9" t="n">
        <v>183062</v>
      </c>
      <c r="B726" s="9" t="inlineStr">
        <is>
          <t>Keene State College</t>
        </is>
      </c>
      <c r="C726" s="9" t="inlineStr">
        <is>
          <t>Keene</t>
        </is>
      </c>
      <c r="D726" s="9" t="inlineStr">
        <is>
          <t>NH</t>
        </is>
      </c>
      <c r="E726" s="9" t="inlineStr">
        <is>
          <t>Public</t>
        </is>
      </c>
      <c r="F726" s="11" t="n">
        <v>17887</v>
      </c>
      <c r="G726" s="11" t="n">
        <v>54368</v>
      </c>
      <c r="H726" s="9">
        <f>COUNTIF($G$5:$G$1531,"&gt;"&amp;G726)+1</f>
        <v/>
      </c>
      <c r="I726" s="9" t="inlineStr"/>
      <c r="J726" s="11">
        <f>IF(E726="Private",F726,"")</f>
        <v/>
      </c>
      <c r="K726" s="11">
        <f>IF(E726="Private",G726,"")</f>
        <v/>
      </c>
    </row>
    <row r="727">
      <c r="A727" s="9" t="n">
        <v>123457</v>
      </c>
      <c r="B727" s="9" t="inlineStr">
        <is>
          <t>Simpson University</t>
        </is>
      </c>
      <c r="C727" s="9" t="inlineStr">
        <is>
          <t>Redding</t>
        </is>
      </c>
      <c r="D727" s="9" t="inlineStr">
        <is>
          <t>CA</t>
        </is>
      </c>
      <c r="E727" s="9" t="inlineStr">
        <is>
          <t>Private</t>
        </is>
      </c>
      <c r="F727" s="11" t="n">
        <v>27817</v>
      </c>
      <c r="G727" s="11" t="n">
        <v>54340</v>
      </c>
      <c r="H727" s="9">
        <f>COUNTIF($G$5:$G$1531,"&gt;"&amp;G727)+1</f>
        <v/>
      </c>
      <c r="I727" s="9" t="inlineStr"/>
      <c r="J727" s="11">
        <f>IF(E727="Private",F727,"")</f>
        <v/>
      </c>
      <c r="K727" s="11">
        <f>IF(E727="Private",G727,"")</f>
        <v/>
      </c>
    </row>
    <row r="728">
      <c r="A728" s="9" t="n">
        <v>181604</v>
      </c>
      <c r="B728" s="9" t="inlineStr">
        <is>
          <t>College of Saint Mary</t>
        </is>
      </c>
      <c r="C728" s="9" t="inlineStr">
        <is>
          <t>Omaha</t>
        </is>
      </c>
      <c r="D728" s="9" t="inlineStr">
        <is>
          <t>NE</t>
        </is>
      </c>
      <c r="E728" s="9" t="inlineStr">
        <is>
          <t>Private</t>
        </is>
      </c>
      <c r="F728" s="11" t="n">
        <v>16590</v>
      </c>
      <c r="G728" s="11" t="n">
        <v>54338</v>
      </c>
      <c r="H728" s="9">
        <f>COUNTIF($G$5:$G$1531,"&gt;"&amp;G728)+1</f>
        <v/>
      </c>
      <c r="I728" s="9" t="inlineStr"/>
      <c r="J728" s="11">
        <f>IF(E728="Private",F728,"")</f>
        <v/>
      </c>
      <c r="K728" s="11">
        <f>IF(E728="Private",G728,"")</f>
        <v/>
      </c>
    </row>
    <row r="729">
      <c r="A729" s="9" t="n">
        <v>459949</v>
      </c>
      <c r="B729" s="9" t="inlineStr">
        <is>
          <t>Texas A&amp;M University-San Antonio</t>
        </is>
      </c>
      <c r="C729" s="9" t="inlineStr">
        <is>
          <t>San Antonio</t>
        </is>
      </c>
      <c r="D729" s="9" t="inlineStr">
        <is>
          <t>TX</t>
        </is>
      </c>
      <c r="E729" s="9" t="inlineStr">
        <is>
          <t>Public</t>
        </is>
      </c>
      <c r="F729" s="11" t="n">
        <v>11196</v>
      </c>
      <c r="G729" s="11" t="n">
        <v>54338</v>
      </c>
      <c r="H729" s="9">
        <f>COUNTIF($G$5:$G$1531,"&gt;"&amp;G729)+1</f>
        <v/>
      </c>
      <c r="I729" s="9" t="inlineStr"/>
      <c r="J729" s="11">
        <f>IF(E729="Private",F729,"")</f>
        <v/>
      </c>
      <c r="K729" s="11">
        <f>IF(E729="Private",G729,"")</f>
        <v/>
      </c>
    </row>
    <row r="730">
      <c r="A730" s="9" t="n">
        <v>180416</v>
      </c>
      <c r="B730" s="9" t="inlineStr">
        <is>
          <t>Montana Technological University</t>
        </is>
      </c>
      <c r="C730" s="9" t="inlineStr">
        <is>
          <t>Butte</t>
        </is>
      </c>
      <c r="D730" s="9" t="inlineStr">
        <is>
          <t>MT</t>
        </is>
      </c>
      <c r="E730" s="9" t="inlineStr">
        <is>
          <t>Public</t>
        </is>
      </c>
      <c r="F730" s="11" t="n">
        <v>16481</v>
      </c>
      <c r="G730" s="11" t="n">
        <v>54329</v>
      </c>
      <c r="H730" s="9">
        <f>COUNTIF($G$5:$G$1531,"&gt;"&amp;G730)+1</f>
        <v/>
      </c>
      <c r="I730" s="9" t="inlineStr"/>
      <c r="J730" s="11">
        <f>IF(E730="Private",F730,"")</f>
        <v/>
      </c>
      <c r="K730" s="11">
        <f>IF(E730="Private",G730,"")</f>
        <v/>
      </c>
    </row>
    <row r="731">
      <c r="A731" s="9" t="n">
        <v>153108</v>
      </c>
      <c r="B731" s="9" t="inlineStr">
        <is>
          <t>Central College</t>
        </is>
      </c>
      <c r="C731" s="9" t="inlineStr">
        <is>
          <t>Pella</t>
        </is>
      </c>
      <c r="D731" s="9" t="inlineStr">
        <is>
          <t>IA</t>
        </is>
      </c>
      <c r="E731" s="9" t="inlineStr">
        <is>
          <t>Private</t>
        </is>
      </c>
      <c r="F731" s="11" t="n">
        <v>23377</v>
      </c>
      <c r="G731" s="11" t="n">
        <v>54317</v>
      </c>
      <c r="H731" s="9">
        <f>COUNTIF($G$5:$G$1531,"&gt;"&amp;G731)+1</f>
        <v/>
      </c>
      <c r="I731" s="9" t="inlineStr"/>
      <c r="J731" s="11">
        <f>IF(E731="Private",F731,"")</f>
        <v/>
      </c>
      <c r="K731" s="11">
        <f>IF(E731="Private",G731,"")</f>
        <v/>
      </c>
    </row>
    <row r="732">
      <c r="A732" s="9" t="n">
        <v>203128</v>
      </c>
      <c r="B732" s="9" t="inlineStr">
        <is>
          <t>Hiram College</t>
        </is>
      </c>
      <c r="C732" s="9" t="inlineStr">
        <is>
          <t>Hiram</t>
        </is>
      </c>
      <c r="D732" s="9" t="inlineStr">
        <is>
          <t>OH</t>
        </is>
      </c>
      <c r="E732" s="9" t="inlineStr">
        <is>
          <t>Private</t>
        </is>
      </c>
      <c r="F732" s="11" t="n">
        <v>21058</v>
      </c>
      <c r="G732" s="11" t="n">
        <v>54311</v>
      </c>
      <c r="H732" s="9">
        <f>COUNTIF($G$5:$G$1531,"&gt;"&amp;G732)+1</f>
        <v/>
      </c>
      <c r="I732" s="9" t="inlineStr"/>
      <c r="J732" s="11">
        <f>IF(E732="Private",F732,"")</f>
        <v/>
      </c>
      <c r="K732" s="11">
        <f>IF(E732="Private",G732,"")</f>
        <v/>
      </c>
    </row>
    <row r="733">
      <c r="A733" s="9" t="n">
        <v>137476</v>
      </c>
      <c r="B733" s="9" t="inlineStr">
        <is>
          <t>St. Thomas University</t>
        </is>
      </c>
      <c r="C733" s="9" t="inlineStr">
        <is>
          <t>Miami Gardens</t>
        </is>
      </c>
      <c r="D733" s="9" t="inlineStr">
        <is>
          <t>FL</t>
        </is>
      </c>
      <c r="E733" s="9" t="inlineStr">
        <is>
          <t>Private</t>
        </is>
      </c>
      <c r="F733" s="11" t="n">
        <v>26312</v>
      </c>
      <c r="G733" s="11" t="n">
        <v>54272</v>
      </c>
      <c r="H733" s="9">
        <f>COUNTIF($G$5:$G$1531,"&gt;"&amp;G733)+1</f>
        <v/>
      </c>
      <c r="I733" s="9" t="inlineStr"/>
      <c r="J733" s="11">
        <f>IF(E733="Private",F733,"")</f>
        <v/>
      </c>
      <c r="K733" s="11">
        <f>IF(E733="Private",G733,"")</f>
        <v/>
      </c>
    </row>
    <row r="734">
      <c r="A734" s="9" t="n">
        <v>102669</v>
      </c>
      <c r="B734" s="9" t="inlineStr">
        <is>
          <t>Alaska Pacific University</t>
        </is>
      </c>
      <c r="C734" s="9" t="inlineStr">
        <is>
          <t>Anchorage</t>
        </is>
      </c>
      <c r="D734" s="9" t="inlineStr">
        <is>
          <t>AK</t>
        </is>
      </c>
      <c r="E734" s="9" t="inlineStr">
        <is>
          <t>Private</t>
        </is>
      </c>
      <c r="F734" s="11" t="n">
        <v>21616</v>
      </c>
      <c r="G734" s="11" t="n">
        <v>54271</v>
      </c>
      <c r="H734" s="9">
        <f>COUNTIF($G$5:$G$1531,"&gt;"&amp;G734)+1</f>
        <v/>
      </c>
      <c r="I734" s="9" t="inlineStr"/>
      <c r="J734" s="11">
        <f>IF(E734="Private",F734,"")</f>
        <v/>
      </c>
      <c r="K734" s="11">
        <f>IF(E734="Private",G734,"")</f>
        <v/>
      </c>
    </row>
    <row r="735">
      <c r="A735" s="9" t="n">
        <v>196158</v>
      </c>
      <c r="B735" s="9" t="inlineStr">
        <is>
          <t>SUNY at Fredonia</t>
        </is>
      </c>
      <c r="C735" s="9" t="inlineStr">
        <is>
          <t>Fredonia</t>
        </is>
      </c>
      <c r="D735" s="9" t="inlineStr">
        <is>
          <t>NY</t>
        </is>
      </c>
      <c r="E735" s="9" t="inlineStr">
        <is>
          <t>Public</t>
        </is>
      </c>
      <c r="F735" s="11" t="n">
        <v>15897</v>
      </c>
      <c r="G735" s="11" t="n">
        <v>54247</v>
      </c>
      <c r="H735" s="9">
        <f>COUNTIF($G$5:$G$1531,"&gt;"&amp;G735)+1</f>
        <v/>
      </c>
      <c r="I735" s="9" t="inlineStr"/>
      <c r="J735" s="11">
        <f>IF(E735="Private",F735,"")</f>
        <v/>
      </c>
      <c r="K735" s="11">
        <f>IF(E735="Private",G735,"")</f>
        <v/>
      </c>
    </row>
    <row r="736">
      <c r="A736" s="9" t="n">
        <v>227881</v>
      </c>
      <c r="B736" s="9" t="inlineStr">
        <is>
          <t>Sam Houston State University</t>
        </is>
      </c>
      <c r="C736" s="9" t="inlineStr">
        <is>
          <t>Huntsville</t>
        </is>
      </c>
      <c r="D736" s="9" t="inlineStr">
        <is>
          <t>TX</t>
        </is>
      </c>
      <c r="E736" s="9" t="inlineStr">
        <is>
          <t>Public</t>
        </is>
      </c>
      <c r="F736" s="11" t="n">
        <v>16404</v>
      </c>
      <c r="G736" s="11" t="n">
        <v>54211</v>
      </c>
      <c r="H736" s="9">
        <f>COUNTIF($G$5:$G$1531,"&gt;"&amp;G736)+1</f>
        <v/>
      </c>
      <c r="I736" s="9" t="inlineStr"/>
      <c r="J736" s="11">
        <f>IF(E736="Private",F736,"")</f>
        <v/>
      </c>
      <c r="K736" s="11">
        <f>IF(E736="Private",G736,"")</f>
        <v/>
      </c>
    </row>
    <row r="737">
      <c r="A737" s="9" t="n">
        <v>149772</v>
      </c>
      <c r="B737" s="9" t="inlineStr">
        <is>
          <t>Western Illinois University</t>
        </is>
      </c>
      <c r="C737" s="9" t="inlineStr">
        <is>
          <t>Macomb</t>
        </is>
      </c>
      <c r="D737" s="9" t="inlineStr">
        <is>
          <t>IL</t>
        </is>
      </c>
      <c r="E737" s="9" t="inlineStr">
        <is>
          <t>Public</t>
        </is>
      </c>
      <c r="F737" s="11" t="n">
        <v>12937</v>
      </c>
      <c r="G737" s="11" t="n">
        <v>54163</v>
      </c>
      <c r="H737" s="9">
        <f>COUNTIF($G$5:$G$1531,"&gt;"&amp;G737)+1</f>
        <v/>
      </c>
      <c r="I737" s="9" t="inlineStr"/>
      <c r="J737" s="11">
        <f>IF(E737="Private",F737,"")</f>
        <v/>
      </c>
      <c r="K737" s="11">
        <f>IF(E737="Private",G737,"")</f>
        <v/>
      </c>
    </row>
    <row r="738">
      <c r="A738" s="9" t="n">
        <v>201548</v>
      </c>
      <c r="B738" s="9" t="inlineStr">
        <is>
          <t>Capital University</t>
        </is>
      </c>
      <c r="C738" s="9" t="inlineStr">
        <is>
          <t>Columbus</t>
        </is>
      </c>
      <c r="D738" s="9" t="inlineStr">
        <is>
          <t>OH</t>
        </is>
      </c>
      <c r="E738" s="9" t="inlineStr">
        <is>
          <t>Private</t>
        </is>
      </c>
      <c r="F738" s="11" t="n">
        <v>22576</v>
      </c>
      <c r="G738" s="11" t="n">
        <v>54143</v>
      </c>
      <c r="H738" s="9">
        <f>COUNTIF($G$5:$G$1531,"&gt;"&amp;G738)+1</f>
        <v/>
      </c>
      <c r="I738" s="9" t="inlineStr"/>
      <c r="J738" s="11">
        <f>IF(E738="Private",F738,"")</f>
        <v/>
      </c>
      <c r="K738" s="11">
        <f>IF(E738="Private",G738,"")</f>
        <v/>
      </c>
    </row>
    <row r="739">
      <c r="A739" s="9" t="n">
        <v>201195</v>
      </c>
      <c r="B739" s="9" t="inlineStr">
        <is>
          <t>Baldwin Wallace University</t>
        </is>
      </c>
      <c r="C739" s="9" t="inlineStr">
        <is>
          <t>Berea</t>
        </is>
      </c>
      <c r="D739" s="9" t="inlineStr">
        <is>
          <t>OH</t>
        </is>
      </c>
      <c r="E739" s="9" t="inlineStr">
        <is>
          <t>Private</t>
        </is>
      </c>
      <c r="F739" s="11" t="n">
        <v>27603</v>
      </c>
      <c r="G739" s="11" t="n">
        <v>54122</v>
      </c>
      <c r="H739" s="9">
        <f>COUNTIF($G$5:$G$1531,"&gt;"&amp;G739)+1</f>
        <v/>
      </c>
      <c r="I739" s="9" t="inlineStr"/>
      <c r="J739" s="11">
        <f>IF(E739="Private",F739,"")</f>
        <v/>
      </c>
      <c r="K739" s="11">
        <f>IF(E739="Private",G739,"")</f>
        <v/>
      </c>
    </row>
    <row r="740">
      <c r="A740" s="9" t="n">
        <v>144351</v>
      </c>
      <c r="B740" s="9" t="inlineStr">
        <is>
          <t>Concordia University-Chicago</t>
        </is>
      </c>
      <c r="C740" s="9" t="inlineStr">
        <is>
          <t>River Forest</t>
        </is>
      </c>
      <c r="D740" s="9" t="inlineStr">
        <is>
          <t>IL</t>
        </is>
      </c>
      <c r="E740" s="9" t="inlineStr">
        <is>
          <t>Private</t>
        </is>
      </c>
      <c r="F740" s="11" t="n">
        <v>18436</v>
      </c>
      <c r="G740" s="11" t="n">
        <v>54089</v>
      </c>
      <c r="H740" s="9">
        <f>COUNTIF($G$5:$G$1531,"&gt;"&amp;G740)+1</f>
        <v/>
      </c>
      <c r="I740" s="9" t="inlineStr"/>
      <c r="J740" s="11">
        <f>IF(E740="Private",F740,"")</f>
        <v/>
      </c>
      <c r="K740" s="11">
        <f>IF(E740="Private",G740,"")</f>
        <v/>
      </c>
    </row>
    <row r="741">
      <c r="A741" s="9" t="n">
        <v>196264</v>
      </c>
      <c r="B741" s="9" t="inlineStr">
        <is>
          <t>Empire State University</t>
        </is>
      </c>
      <c r="C741" s="9" t="inlineStr">
        <is>
          <t>Saratoga Springs</t>
        </is>
      </c>
      <c r="D741" s="9" t="inlineStr">
        <is>
          <t>NY</t>
        </is>
      </c>
      <c r="E741" s="9" t="inlineStr">
        <is>
          <t>Public</t>
        </is>
      </c>
      <c r="F741" s="11" t="n">
        <v>11676</v>
      </c>
      <c r="G741" s="11" t="n">
        <v>54080</v>
      </c>
      <c r="H741" s="9">
        <f>COUNTIF($G$5:$G$1531,"&gt;"&amp;G741)+1</f>
        <v/>
      </c>
      <c r="I741" s="9" t="inlineStr"/>
      <c r="J741" s="11">
        <f>IF(E741="Private",F741,"")</f>
        <v/>
      </c>
      <c r="K741" s="11">
        <f>IF(E741="Private",G741,"")</f>
        <v/>
      </c>
    </row>
    <row r="742">
      <c r="A742" s="9" t="n">
        <v>213996</v>
      </c>
      <c r="B742" s="9" t="inlineStr">
        <is>
          <t>Messiah University</t>
        </is>
      </c>
      <c r="C742" s="9" t="inlineStr">
        <is>
          <t>Mechanicsburg</t>
        </is>
      </c>
      <c r="D742" s="9" t="inlineStr">
        <is>
          <t>PA</t>
        </is>
      </c>
      <c r="E742" s="9" t="inlineStr">
        <is>
          <t>Private</t>
        </is>
      </c>
      <c r="F742" s="11" t="n">
        <v>26502</v>
      </c>
      <c r="G742" s="11" t="n">
        <v>54064</v>
      </c>
      <c r="H742" s="9">
        <f>COUNTIF($G$5:$G$1531,"&gt;"&amp;G742)+1</f>
        <v/>
      </c>
      <c r="I742" s="9" t="inlineStr"/>
      <c r="J742" s="11">
        <f>IF(E742="Private",F742,"")</f>
        <v/>
      </c>
      <c r="K742" s="11">
        <f>IF(E742="Private",G742,"")</f>
        <v/>
      </c>
    </row>
    <row r="743">
      <c r="A743" s="9" t="n">
        <v>155973</v>
      </c>
      <c r="B743" s="9" t="inlineStr">
        <is>
          <t>Tabor College</t>
        </is>
      </c>
      <c r="C743" s="9" t="inlineStr">
        <is>
          <t>Hillsboro</t>
        </is>
      </c>
      <c r="D743" s="9" t="inlineStr">
        <is>
          <t>KS</t>
        </is>
      </c>
      <c r="E743" s="9" t="inlineStr">
        <is>
          <t>Private</t>
        </is>
      </c>
      <c r="F743" s="11" t="n">
        <v>20205</v>
      </c>
      <c r="G743" s="11" t="n">
        <v>54058</v>
      </c>
      <c r="H743" s="9">
        <f>COUNTIF($G$5:$G$1531,"&gt;"&amp;G743)+1</f>
        <v/>
      </c>
      <c r="I743" s="9" t="inlineStr"/>
      <c r="J743" s="11">
        <f>IF(E743="Private",F743,"")</f>
        <v/>
      </c>
      <c r="K743" s="11">
        <f>IF(E743="Private",G743,"")</f>
        <v/>
      </c>
    </row>
    <row r="744">
      <c r="A744" s="9" t="n">
        <v>229160</v>
      </c>
      <c r="B744" s="9" t="inlineStr">
        <is>
          <t>Texas Wesleyan University</t>
        </is>
      </c>
      <c r="C744" s="9" t="inlineStr">
        <is>
          <t>Fort Worth</t>
        </is>
      </c>
      <c r="D744" s="9" t="inlineStr">
        <is>
          <t>TX</t>
        </is>
      </c>
      <c r="E744" s="9" t="inlineStr">
        <is>
          <t>Private</t>
        </is>
      </c>
      <c r="F744" s="11" t="n">
        <v>24066</v>
      </c>
      <c r="G744" s="11" t="n">
        <v>54053</v>
      </c>
      <c r="H744" s="9">
        <f>COUNTIF($G$5:$G$1531,"&gt;"&amp;G744)+1</f>
        <v/>
      </c>
      <c r="I744" s="9" t="inlineStr"/>
      <c r="J744" s="11">
        <f>IF(E744="Private",F744,"")</f>
        <v/>
      </c>
      <c r="K744" s="11">
        <f>IF(E744="Private",G744,"")</f>
        <v/>
      </c>
    </row>
    <row r="745">
      <c r="A745" s="9" t="n">
        <v>230728</v>
      </c>
      <c r="B745" s="9" t="inlineStr">
        <is>
          <t>Utah State University</t>
        </is>
      </c>
      <c r="C745" s="9" t="inlineStr">
        <is>
          <t>Logan</t>
        </is>
      </c>
      <c r="D745" s="9" t="inlineStr">
        <is>
          <t>UT</t>
        </is>
      </c>
      <c r="E745" s="9" t="inlineStr">
        <is>
          <t>Public</t>
        </is>
      </c>
      <c r="F745" s="11" t="n">
        <v>14936</v>
      </c>
      <c r="G745" s="11" t="n">
        <v>54022</v>
      </c>
      <c r="H745" s="9">
        <f>COUNTIF($G$5:$G$1531,"&gt;"&amp;G745)+1</f>
        <v/>
      </c>
      <c r="I745" s="9" t="inlineStr"/>
      <c r="J745" s="11">
        <f>IF(E745="Private",F745,"")</f>
        <v/>
      </c>
      <c r="K745" s="11">
        <f>IF(E745="Private",G745,"")</f>
        <v/>
      </c>
    </row>
    <row r="746">
      <c r="A746" s="9" t="n">
        <v>139199</v>
      </c>
      <c r="B746" s="9" t="inlineStr">
        <is>
          <t>Brenau University</t>
        </is>
      </c>
      <c r="C746" s="9" t="inlineStr">
        <is>
          <t>Gainesville</t>
        </is>
      </c>
      <c r="D746" s="9" t="inlineStr">
        <is>
          <t>GA</t>
        </is>
      </c>
      <c r="E746" s="9" t="inlineStr">
        <is>
          <t>Private</t>
        </is>
      </c>
      <c r="F746" s="11" t="n">
        <v>18924</v>
      </c>
      <c r="G746" s="11" t="n">
        <v>54003</v>
      </c>
      <c r="H746" s="9">
        <f>COUNTIF($G$5:$G$1531,"&gt;"&amp;G746)+1</f>
        <v/>
      </c>
      <c r="I746" s="9" t="inlineStr"/>
      <c r="J746" s="11">
        <f>IF(E746="Private",F746,"")</f>
        <v/>
      </c>
      <c r="K746" s="11">
        <f>IF(E746="Private",G746,"")</f>
        <v/>
      </c>
    </row>
    <row r="747">
      <c r="A747" s="9" t="n">
        <v>221971</v>
      </c>
      <c r="B747" s="9" t="inlineStr">
        <is>
          <t>Union University</t>
        </is>
      </c>
      <c r="C747" s="9" t="inlineStr">
        <is>
          <t>Jackson</t>
        </is>
      </c>
      <c r="D747" s="9" t="inlineStr">
        <is>
          <t>TN</t>
        </is>
      </c>
      <c r="E747" s="9" t="inlineStr">
        <is>
          <t>Private</t>
        </is>
      </c>
      <c r="F747" s="11" t="n">
        <v>27171</v>
      </c>
      <c r="G747" s="11" t="n">
        <v>53990</v>
      </c>
      <c r="H747" s="9">
        <f>COUNTIF($G$5:$G$1531,"&gt;"&amp;G747)+1</f>
        <v/>
      </c>
      <c r="I747" s="9" t="inlineStr"/>
      <c r="J747" s="11">
        <f>IF(E747="Private",F747,"")</f>
        <v/>
      </c>
      <c r="K747" s="11">
        <f>IF(E747="Private",G747,"")</f>
        <v/>
      </c>
    </row>
    <row r="748">
      <c r="A748" s="9" t="n">
        <v>150756</v>
      </c>
      <c r="B748" s="9" t="inlineStr">
        <is>
          <t>Hanover College</t>
        </is>
      </c>
      <c r="C748" s="9" t="inlineStr">
        <is>
          <t>Hanover</t>
        </is>
      </c>
      <c r="D748" s="9" t="inlineStr">
        <is>
          <t>IN</t>
        </is>
      </c>
      <c r="E748" s="9" t="inlineStr">
        <is>
          <t>Private</t>
        </is>
      </c>
      <c r="F748" s="11" t="n">
        <v>21829</v>
      </c>
      <c r="G748" s="11" t="n">
        <v>53957</v>
      </c>
      <c r="H748" s="9">
        <f>COUNTIF($G$5:$G$1531,"&gt;"&amp;G748)+1</f>
        <v/>
      </c>
      <c r="I748" s="9" t="inlineStr"/>
      <c r="J748" s="11">
        <f>IF(E748="Private",F748,"")</f>
        <v/>
      </c>
      <c r="K748" s="11">
        <f>IF(E748="Private",G748,"")</f>
        <v/>
      </c>
    </row>
    <row r="749">
      <c r="A749" s="9" t="n">
        <v>181394</v>
      </c>
      <c r="B749" s="9" t="inlineStr">
        <is>
          <t>University of Nebraska at Omaha</t>
        </is>
      </c>
      <c r="C749" s="9" t="inlineStr">
        <is>
          <t>Omaha</t>
        </is>
      </c>
      <c r="D749" s="9" t="inlineStr">
        <is>
          <t>NE</t>
        </is>
      </c>
      <c r="E749" s="9" t="inlineStr">
        <is>
          <t>Public</t>
        </is>
      </c>
      <c r="F749" s="11" t="n">
        <v>13441</v>
      </c>
      <c r="G749" s="11" t="n">
        <v>53909</v>
      </c>
      <c r="H749" s="9">
        <f>COUNTIF($G$5:$G$1531,"&gt;"&amp;G749)+1</f>
        <v/>
      </c>
      <c r="I749" s="9" t="inlineStr"/>
      <c r="J749" s="11">
        <f>IF(E749="Private",F749,"")</f>
        <v/>
      </c>
      <c r="K749" s="11">
        <f>IF(E749="Private",G749,"")</f>
        <v/>
      </c>
    </row>
    <row r="750">
      <c r="A750" s="9" t="n">
        <v>107141</v>
      </c>
      <c r="B750" s="9" t="inlineStr">
        <is>
          <t>John Brown University</t>
        </is>
      </c>
      <c r="C750" s="9" t="inlineStr">
        <is>
          <t>Siloam Springs</t>
        </is>
      </c>
      <c r="D750" s="9" t="inlineStr">
        <is>
          <t>AR</t>
        </is>
      </c>
      <c r="E750" s="9" t="inlineStr">
        <is>
          <t>Private</t>
        </is>
      </c>
      <c r="F750" s="11" t="n">
        <v>20397</v>
      </c>
      <c r="G750" s="11" t="n">
        <v>53907</v>
      </c>
      <c r="H750" s="9">
        <f>COUNTIF($G$5:$G$1531,"&gt;"&amp;G750)+1</f>
        <v/>
      </c>
      <c r="I750" s="9" t="inlineStr"/>
      <c r="J750" s="11">
        <f>IF(E750="Private",F750,"")</f>
        <v/>
      </c>
      <c r="K750" s="11">
        <f>IF(E750="Private",G750,"")</f>
        <v/>
      </c>
    </row>
    <row r="751">
      <c r="A751" s="9" t="n">
        <v>157289</v>
      </c>
      <c r="B751" s="9" t="inlineStr">
        <is>
          <t>University of Louisville</t>
        </is>
      </c>
      <c r="C751" s="9" t="inlineStr">
        <is>
          <t>Louisville</t>
        </is>
      </c>
      <c r="D751" s="9" t="inlineStr">
        <is>
          <t>KY</t>
        </is>
      </c>
      <c r="E751" s="9" t="inlineStr">
        <is>
          <t>Public</t>
        </is>
      </c>
      <c r="F751" s="11" t="n">
        <v>17988</v>
      </c>
      <c r="G751" s="11" t="n">
        <v>53899</v>
      </c>
      <c r="H751" s="9">
        <f>COUNTIF($G$5:$G$1531,"&gt;"&amp;G751)+1</f>
        <v/>
      </c>
      <c r="I751" s="9" t="inlineStr"/>
      <c r="J751" s="11">
        <f>IF(E751="Private",F751,"")</f>
        <v/>
      </c>
      <c r="K751" s="11">
        <f>IF(E751="Private",G751,"")</f>
        <v/>
      </c>
    </row>
    <row r="752">
      <c r="A752" s="9" t="n">
        <v>165820</v>
      </c>
      <c r="B752" s="9" t="inlineStr">
        <is>
          <t>Fitchburg State University</t>
        </is>
      </c>
      <c r="C752" s="9" t="inlineStr">
        <is>
          <t>Fitchburg</t>
        </is>
      </c>
      <c r="D752" s="9" t="inlineStr">
        <is>
          <t>MA</t>
        </is>
      </c>
      <c r="E752" s="9" t="inlineStr">
        <is>
          <t>Public</t>
        </is>
      </c>
      <c r="F752" s="11" t="n">
        <v>14262</v>
      </c>
      <c r="G752" s="11" t="n">
        <v>53874</v>
      </c>
      <c r="H752" s="9">
        <f>COUNTIF($G$5:$G$1531,"&gt;"&amp;G752)+1</f>
        <v/>
      </c>
      <c r="I752" s="9" t="inlineStr"/>
      <c r="J752" s="11">
        <f>IF(E752="Private",F752,"")</f>
        <v/>
      </c>
      <c r="K752" s="11">
        <f>IF(E752="Private",G752,"")</f>
        <v/>
      </c>
    </row>
    <row r="753">
      <c r="A753" s="9" t="n">
        <v>228981</v>
      </c>
      <c r="B753" s="9" t="inlineStr">
        <is>
          <t>Texas Lutheran University</t>
        </is>
      </c>
      <c r="C753" s="9" t="inlineStr">
        <is>
          <t>Seguin</t>
        </is>
      </c>
      <c r="D753" s="9" t="inlineStr">
        <is>
          <t>TX</t>
        </is>
      </c>
      <c r="E753" s="9" t="inlineStr">
        <is>
          <t>Private</t>
        </is>
      </c>
      <c r="F753" s="11" t="n">
        <v>24654</v>
      </c>
      <c r="G753" s="11" t="n">
        <v>53863</v>
      </c>
      <c r="H753" s="9">
        <f>COUNTIF($G$5:$G$1531,"&gt;"&amp;G753)+1</f>
        <v/>
      </c>
      <c r="I753" s="9" t="inlineStr"/>
      <c r="J753" s="11">
        <f>IF(E753="Private",F753,"")</f>
        <v/>
      </c>
      <c r="K753" s="11">
        <f>IF(E753="Private",G753,"")</f>
        <v/>
      </c>
    </row>
    <row r="754">
      <c r="A754" s="9" t="n">
        <v>216807</v>
      </c>
      <c r="B754" s="9" t="inlineStr">
        <is>
          <t>Westminster College (New Wilmington, PA)</t>
        </is>
      </c>
      <c r="C754" s="9" t="inlineStr">
        <is>
          <t>New Wilmington</t>
        </is>
      </c>
      <c r="D754" s="9" t="inlineStr">
        <is>
          <t>PA</t>
        </is>
      </c>
      <c r="E754" s="9" t="inlineStr">
        <is>
          <t>Private</t>
        </is>
      </c>
      <c r="F754" s="11" t="n">
        <v>19859</v>
      </c>
      <c r="G754" s="11" t="n">
        <v>53861</v>
      </c>
      <c r="H754" s="9">
        <f>COUNTIF($G$5:$G$1531,"&gt;"&amp;G754)+1</f>
        <v/>
      </c>
      <c r="I754" s="9" t="inlineStr"/>
      <c r="J754" s="11">
        <f>IF(E754="Private",F754,"")</f>
        <v/>
      </c>
      <c r="K754" s="11">
        <f>IF(E754="Private",G754,"")</f>
        <v/>
      </c>
    </row>
    <row r="755">
      <c r="A755" s="9" t="n">
        <v>175980</v>
      </c>
      <c r="B755" s="9" t="inlineStr">
        <is>
          <t>Millsaps College</t>
        </is>
      </c>
      <c r="C755" s="9" t="inlineStr">
        <is>
          <t>Jackson</t>
        </is>
      </c>
      <c r="D755" s="9" t="inlineStr">
        <is>
          <t>MS</t>
        </is>
      </c>
      <c r="E755" s="9" t="inlineStr">
        <is>
          <t>Private</t>
        </is>
      </c>
      <c r="F755" s="11" t="n">
        <v>26034</v>
      </c>
      <c r="G755" s="11" t="n">
        <v>53848</v>
      </c>
      <c r="H755" s="9">
        <f>COUNTIF($G$5:$G$1531,"&gt;"&amp;G755)+1</f>
        <v/>
      </c>
      <c r="I755" s="9" t="inlineStr"/>
      <c r="J755" s="11">
        <f>IF(E755="Private",F755,"")</f>
        <v/>
      </c>
      <c r="K755" s="11">
        <f>IF(E755="Private",G755,"")</f>
        <v/>
      </c>
    </row>
    <row r="756">
      <c r="A756" s="9" t="n">
        <v>131113</v>
      </c>
      <c r="B756" s="9" t="inlineStr">
        <is>
          <t>Wilmington University</t>
        </is>
      </c>
      <c r="C756" s="9" t="inlineStr">
        <is>
          <t>New Castle</t>
        </is>
      </c>
      <c r="D756" s="9" t="inlineStr">
        <is>
          <t>DE</t>
        </is>
      </c>
      <c r="E756" s="9" t="inlineStr">
        <is>
          <t>Private</t>
        </is>
      </c>
      <c r="F756" s="11" t="n">
        <v>15644</v>
      </c>
      <c r="G756" s="11" t="n">
        <v>53844</v>
      </c>
      <c r="H756" s="9">
        <f>COUNTIF($G$5:$G$1531,"&gt;"&amp;G756)+1</f>
        <v/>
      </c>
      <c r="I756" s="9" t="inlineStr"/>
      <c r="J756" s="11">
        <f>IF(E756="Private",F756,"")</f>
        <v/>
      </c>
      <c r="K756" s="11">
        <f>IF(E756="Private",G756,"")</f>
        <v/>
      </c>
    </row>
    <row r="757">
      <c r="A757" s="9" t="n">
        <v>183910</v>
      </c>
      <c r="B757" s="9" t="inlineStr">
        <is>
          <t>Caldwell University</t>
        </is>
      </c>
      <c r="C757" s="9" t="inlineStr">
        <is>
          <t>Caldwell</t>
        </is>
      </c>
      <c r="D757" s="9" t="inlineStr">
        <is>
          <t>NJ</t>
        </is>
      </c>
      <c r="E757" s="9" t="inlineStr">
        <is>
          <t>Private</t>
        </is>
      </c>
      <c r="F757" s="11" t="n">
        <v>24691</v>
      </c>
      <c r="G757" s="11" t="n">
        <v>53843</v>
      </c>
      <c r="H757" s="9">
        <f>COUNTIF($G$5:$G$1531,"&gt;"&amp;G757)+1</f>
        <v/>
      </c>
      <c r="I757" s="9" t="inlineStr"/>
      <c r="J757" s="11">
        <f>IF(E757="Private",F757,"")</f>
        <v/>
      </c>
      <c r="K757" s="11">
        <f>IF(E757="Private",G757,"")</f>
        <v/>
      </c>
    </row>
    <row r="758">
      <c r="A758" s="9" t="n">
        <v>131876</v>
      </c>
      <c r="B758" s="9" t="inlineStr">
        <is>
          <t>Trinity Washington University</t>
        </is>
      </c>
      <c r="C758" s="9" t="inlineStr">
        <is>
          <t>Washington</t>
        </is>
      </c>
      <c r="D758" s="9" t="inlineStr">
        <is>
          <t>DC</t>
        </is>
      </c>
      <c r="E758" s="9" t="inlineStr">
        <is>
          <t>Private</t>
        </is>
      </c>
      <c r="F758" s="11" t="n">
        <v>9302</v>
      </c>
      <c r="G758" s="11" t="n">
        <v>53804</v>
      </c>
      <c r="H758" s="9">
        <f>COUNTIF($G$5:$G$1531,"&gt;"&amp;G758)+1</f>
        <v/>
      </c>
      <c r="I758" s="9" t="inlineStr"/>
      <c r="J758" s="11">
        <f>IF(E758="Private",F758,"")</f>
        <v/>
      </c>
      <c r="K758" s="11">
        <f>IF(E758="Private",G758,"")</f>
        <v/>
      </c>
    </row>
    <row r="759">
      <c r="A759" s="9" t="n">
        <v>139144</v>
      </c>
      <c r="B759" s="9" t="inlineStr">
        <is>
          <t>Berry College</t>
        </is>
      </c>
      <c r="C759" s="9" t="inlineStr">
        <is>
          <t>Mount Berry</t>
        </is>
      </c>
      <c r="D759" s="9" t="inlineStr">
        <is>
          <t>GA</t>
        </is>
      </c>
      <c r="E759" s="9" t="inlineStr">
        <is>
          <t>Private</t>
        </is>
      </c>
      <c r="F759" s="11" t="n">
        <v>22320</v>
      </c>
      <c r="G759" s="11" t="n">
        <v>53800</v>
      </c>
      <c r="H759" s="9">
        <f>COUNTIF($G$5:$G$1531,"&gt;"&amp;G759)+1</f>
        <v/>
      </c>
      <c r="I759" s="9" t="inlineStr"/>
      <c r="J759" s="11">
        <f>IF(E759="Private",F759,"")</f>
        <v/>
      </c>
      <c r="K759" s="11">
        <f>IF(E759="Private",G759,"")</f>
        <v/>
      </c>
    </row>
    <row r="760">
      <c r="A760" s="9" t="n">
        <v>226383</v>
      </c>
      <c r="B760" s="9" t="inlineStr">
        <is>
          <t>Lubbock Christian University</t>
        </is>
      </c>
      <c r="C760" s="9" t="inlineStr">
        <is>
          <t>Lubbock</t>
        </is>
      </c>
      <c r="D760" s="9" t="inlineStr">
        <is>
          <t>TX</t>
        </is>
      </c>
      <c r="E760" s="9" t="inlineStr">
        <is>
          <t>Private</t>
        </is>
      </c>
      <c r="F760" s="11" t="n">
        <v>24456</v>
      </c>
      <c r="G760" s="11" t="n">
        <v>53787</v>
      </c>
      <c r="H760" s="9">
        <f>COUNTIF($G$5:$G$1531,"&gt;"&amp;G760)+1</f>
        <v/>
      </c>
      <c r="I760" s="9" t="inlineStr"/>
      <c r="J760" s="11">
        <f>IF(E760="Private",F760,"")</f>
        <v/>
      </c>
      <c r="K760" s="11">
        <f>IF(E760="Private",G760,"")</f>
        <v/>
      </c>
    </row>
    <row r="761">
      <c r="A761" s="9" t="n">
        <v>213349</v>
      </c>
      <c r="B761" s="9" t="inlineStr">
        <is>
          <t>Kutztown University of Pennsylvania</t>
        </is>
      </c>
      <c r="C761" s="9" t="inlineStr">
        <is>
          <t>Kutztown</t>
        </is>
      </c>
      <c r="D761" s="9" t="inlineStr">
        <is>
          <t>PA</t>
        </is>
      </c>
      <c r="E761" s="9" t="inlineStr">
        <is>
          <t>Public</t>
        </is>
      </c>
      <c r="F761" s="11" t="n">
        <v>21331</v>
      </c>
      <c r="G761" s="11" t="n">
        <v>53775</v>
      </c>
      <c r="H761" s="9">
        <f>COUNTIF($G$5:$G$1531,"&gt;"&amp;G761)+1</f>
        <v/>
      </c>
      <c r="I761" s="9" t="inlineStr"/>
      <c r="J761" s="11">
        <f>IF(E761="Private",F761,"")</f>
        <v/>
      </c>
      <c r="K761" s="11">
        <f>IF(E761="Private",G761,"")</f>
        <v/>
      </c>
    </row>
    <row r="762">
      <c r="A762" s="9" t="n">
        <v>150534</v>
      </c>
      <c r="B762" s="9" t="inlineStr">
        <is>
          <t>University of Evansville</t>
        </is>
      </c>
      <c r="C762" s="9" t="inlineStr">
        <is>
          <t>Evansville</t>
        </is>
      </c>
      <c r="D762" s="9" t="inlineStr">
        <is>
          <t>IN</t>
        </is>
      </c>
      <c r="E762" s="9" t="inlineStr">
        <is>
          <t>Private</t>
        </is>
      </c>
      <c r="F762" s="11" t="n">
        <v>18499</v>
      </c>
      <c r="G762" s="11" t="n">
        <v>53770</v>
      </c>
      <c r="H762" s="9">
        <f>COUNTIF($G$5:$G$1531,"&gt;"&amp;G762)+1</f>
        <v/>
      </c>
      <c r="I762" s="9" t="inlineStr"/>
      <c r="J762" s="11">
        <f>IF(E762="Private",F762,"")</f>
        <v/>
      </c>
      <c r="K762" s="11">
        <f>IF(E762="Private",G762,"")</f>
        <v/>
      </c>
    </row>
    <row r="763">
      <c r="A763" s="9" t="n">
        <v>173124</v>
      </c>
      <c r="B763" s="9" t="inlineStr">
        <is>
          <t>Bemidji State University</t>
        </is>
      </c>
      <c r="C763" s="9" t="inlineStr">
        <is>
          <t>Bemidji</t>
        </is>
      </c>
      <c r="D763" s="9" t="inlineStr">
        <is>
          <t>MN</t>
        </is>
      </c>
      <c r="E763" s="9" t="inlineStr">
        <is>
          <t>Public</t>
        </is>
      </c>
      <c r="F763" s="11" t="n">
        <v>15261</v>
      </c>
      <c r="G763" s="11" t="n">
        <v>53755</v>
      </c>
      <c r="H763" s="9">
        <f>COUNTIF($G$5:$G$1531,"&gt;"&amp;G763)+1</f>
        <v/>
      </c>
      <c r="I763" s="9" t="inlineStr"/>
      <c r="J763" s="11">
        <f>IF(E763="Private",F763,"")</f>
        <v/>
      </c>
      <c r="K763" s="11">
        <f>IF(E763="Private",G763,"")</f>
        <v/>
      </c>
    </row>
    <row r="764">
      <c r="A764" s="9" t="n">
        <v>233277</v>
      </c>
      <c r="B764" s="9" t="inlineStr">
        <is>
          <t>Radford University</t>
        </is>
      </c>
      <c r="C764" s="9" t="inlineStr">
        <is>
          <t>Radford</t>
        </is>
      </c>
      <c r="D764" s="9" t="inlineStr">
        <is>
          <t>VA</t>
        </is>
      </c>
      <c r="E764" s="9" t="inlineStr">
        <is>
          <t>Public</t>
        </is>
      </c>
      <c r="F764" s="11" t="n">
        <v>14578</v>
      </c>
      <c r="G764" s="11" t="n">
        <v>53739</v>
      </c>
      <c r="H764" s="9">
        <f>COUNTIF($G$5:$G$1531,"&gt;"&amp;G764)+1</f>
        <v/>
      </c>
      <c r="I764" s="9" t="inlineStr"/>
      <c r="J764" s="11">
        <f>IF(E764="Private",F764,"")</f>
        <v/>
      </c>
      <c r="K764" s="11">
        <f>IF(E764="Private",G764,"")</f>
        <v/>
      </c>
    </row>
    <row r="765">
      <c r="A765" s="9" t="n">
        <v>219091</v>
      </c>
      <c r="B765" s="9" t="inlineStr">
        <is>
          <t>Dakota Wesleyan University</t>
        </is>
      </c>
      <c r="C765" s="9" t="inlineStr">
        <is>
          <t>Mitchell</t>
        </is>
      </c>
      <c r="D765" s="9" t="inlineStr">
        <is>
          <t>SD</t>
        </is>
      </c>
      <c r="E765" s="9" t="inlineStr">
        <is>
          <t>Private</t>
        </is>
      </c>
      <c r="F765" s="11" t="n">
        <v>19735</v>
      </c>
      <c r="G765" s="11" t="n">
        <v>53728</v>
      </c>
      <c r="H765" s="9">
        <f>COUNTIF($G$5:$G$1531,"&gt;"&amp;G765)+1</f>
        <v/>
      </c>
      <c r="I765" s="9" t="inlineStr"/>
      <c r="J765" s="11">
        <f>IF(E765="Private",F765,"")</f>
        <v/>
      </c>
      <c r="K765" s="11">
        <f>IF(E765="Private",G765,"")</f>
        <v/>
      </c>
    </row>
    <row r="766">
      <c r="A766" s="9" t="n">
        <v>183974</v>
      </c>
      <c r="B766" s="9" t="inlineStr">
        <is>
          <t>Centenary University</t>
        </is>
      </c>
      <c r="C766" s="9" t="inlineStr">
        <is>
          <t>Hackettstown</t>
        </is>
      </c>
      <c r="D766" s="9" t="inlineStr">
        <is>
          <t>NJ</t>
        </is>
      </c>
      <c r="E766" s="9" t="inlineStr">
        <is>
          <t>Private</t>
        </is>
      </c>
      <c r="F766" s="11" t="n">
        <v>20503</v>
      </c>
      <c r="G766" s="11" t="n">
        <v>53726</v>
      </c>
      <c r="H766" s="9">
        <f>COUNTIF($G$5:$G$1531,"&gt;"&amp;G766)+1</f>
        <v/>
      </c>
      <c r="I766" s="9" t="inlineStr"/>
      <c r="J766" s="11">
        <f>IF(E766="Private",F766,"")</f>
        <v/>
      </c>
      <c r="K766" s="11">
        <f>IF(E766="Private",G766,"")</f>
        <v/>
      </c>
    </row>
    <row r="767">
      <c r="A767" s="9" t="n">
        <v>221661</v>
      </c>
      <c r="B767" s="9" t="inlineStr">
        <is>
          <t>Southern Adventist University</t>
        </is>
      </c>
      <c r="C767" s="9" t="inlineStr">
        <is>
          <t>Collegedale</t>
        </is>
      </c>
      <c r="D767" s="9" t="inlineStr">
        <is>
          <t>TN</t>
        </is>
      </c>
      <c r="E767" s="9" t="inlineStr">
        <is>
          <t>Private</t>
        </is>
      </c>
      <c r="F767" s="11" t="n">
        <v>24345</v>
      </c>
      <c r="G767" s="11" t="n">
        <v>53723</v>
      </c>
      <c r="H767" s="9">
        <f>COUNTIF($G$5:$G$1531,"&gt;"&amp;G767)+1</f>
        <v/>
      </c>
      <c r="I767" s="9" t="inlineStr"/>
      <c r="J767" s="11">
        <f>IF(E767="Private",F767,"")</f>
        <v/>
      </c>
      <c r="K767" s="11">
        <f>IF(E767="Private",G767,"")</f>
        <v/>
      </c>
    </row>
    <row r="768">
      <c r="A768" s="9" t="n">
        <v>209409</v>
      </c>
      <c r="B768" s="9" t="inlineStr">
        <is>
          <t>Bushnell University</t>
        </is>
      </c>
      <c r="C768" s="9" t="inlineStr">
        <is>
          <t>Eugene</t>
        </is>
      </c>
      <c r="D768" s="9" t="inlineStr">
        <is>
          <t>OR</t>
        </is>
      </c>
      <c r="E768" s="9" t="inlineStr">
        <is>
          <t>Private</t>
        </is>
      </c>
      <c r="F768" s="11" t="n">
        <v>20789</v>
      </c>
      <c r="G768" s="11" t="n">
        <v>53623</v>
      </c>
      <c r="H768" s="9">
        <f>COUNTIF($G$5:$G$1531,"&gt;"&amp;G768)+1</f>
        <v/>
      </c>
      <c r="I768" s="9" t="inlineStr"/>
      <c r="J768" s="11">
        <f>IF(E768="Private",F768,"")</f>
        <v/>
      </c>
      <c r="K768" s="11">
        <f>IF(E768="Private",G768,"")</f>
        <v/>
      </c>
    </row>
    <row r="769">
      <c r="A769" s="9" t="n">
        <v>151263</v>
      </c>
      <c r="B769" s="9" t="inlineStr">
        <is>
          <t>University of Indianapolis</t>
        </is>
      </c>
      <c r="C769" s="9" t="inlineStr">
        <is>
          <t>Indianapolis</t>
        </is>
      </c>
      <c r="D769" s="9" t="inlineStr">
        <is>
          <t>IN</t>
        </is>
      </c>
      <c r="E769" s="9" t="inlineStr">
        <is>
          <t>Private</t>
        </is>
      </c>
      <c r="F769" s="11" t="n">
        <v>21602</v>
      </c>
      <c r="G769" s="11" t="n">
        <v>53610</v>
      </c>
      <c r="H769" s="9">
        <f>COUNTIF($G$5:$G$1531,"&gt;"&amp;G769)+1</f>
        <v/>
      </c>
      <c r="I769" s="9" t="inlineStr"/>
      <c r="J769" s="11">
        <f>IF(E769="Private",F769,"")</f>
        <v/>
      </c>
      <c r="K769" s="11">
        <f>IF(E769="Private",G769,"")</f>
        <v/>
      </c>
    </row>
    <row r="770">
      <c r="A770" s="9" t="n">
        <v>195304</v>
      </c>
      <c r="B770" s="9" t="inlineStr">
        <is>
          <t>Sarah Lawrence College</t>
        </is>
      </c>
      <c r="C770" s="9" t="inlineStr">
        <is>
          <t>Bronxville</t>
        </is>
      </c>
      <c r="D770" s="9" t="inlineStr">
        <is>
          <t>NY</t>
        </is>
      </c>
      <c r="E770" s="9" t="inlineStr">
        <is>
          <t>Private</t>
        </is>
      </c>
      <c r="F770" s="11" t="n">
        <v>41437</v>
      </c>
      <c r="G770" s="11" t="n">
        <v>53603</v>
      </c>
      <c r="H770" s="9">
        <f>COUNTIF($G$5:$G$1531,"&gt;"&amp;G770)+1</f>
        <v/>
      </c>
      <c r="I770" s="9" t="inlineStr"/>
      <c r="J770" s="11">
        <f>IF(E770="Private",F770,"")</f>
        <v/>
      </c>
      <c r="K770" s="11">
        <f>IF(E770="Private",G770,"")</f>
        <v/>
      </c>
    </row>
    <row r="771">
      <c r="A771" s="9" t="n">
        <v>183275</v>
      </c>
      <c r="B771" s="9" t="inlineStr">
        <is>
          <t>Thomas More College of Liberal Arts</t>
        </is>
      </c>
      <c r="C771" s="9" t="inlineStr">
        <is>
          <t>Merrimack</t>
        </is>
      </c>
      <c r="D771" s="9" t="inlineStr">
        <is>
          <t>NH</t>
        </is>
      </c>
      <c r="E771" s="9" t="inlineStr">
        <is>
          <t>Private</t>
        </is>
      </c>
      <c r="F771" s="11" t="n">
        <v>18489</v>
      </c>
      <c r="G771" s="11" t="n">
        <v>53565</v>
      </c>
      <c r="H771" s="9">
        <f>COUNTIF($G$5:$G$1531,"&gt;"&amp;G771)+1</f>
        <v/>
      </c>
      <c r="I771" s="9" t="inlineStr"/>
      <c r="J771" s="11">
        <f>IF(E771="Private",F771,"")</f>
        <v/>
      </c>
      <c r="K771" s="11">
        <f>IF(E771="Private",G771,"")</f>
        <v/>
      </c>
    </row>
    <row r="772">
      <c r="A772" s="9" t="n">
        <v>172699</v>
      </c>
      <c r="B772" s="9" t="inlineStr">
        <is>
          <t>Western Michigan University</t>
        </is>
      </c>
      <c r="C772" s="9" t="inlineStr">
        <is>
          <t>Kalamazoo</t>
        </is>
      </c>
      <c r="D772" s="9" t="inlineStr">
        <is>
          <t>MI</t>
        </is>
      </c>
      <c r="E772" s="9" t="inlineStr">
        <is>
          <t>Public</t>
        </is>
      </c>
      <c r="F772" s="11" t="n">
        <v>15273</v>
      </c>
      <c r="G772" s="11" t="n">
        <v>53562</v>
      </c>
      <c r="H772" s="9">
        <f>COUNTIF($G$5:$G$1531,"&gt;"&amp;G772)+1</f>
        <v/>
      </c>
      <c r="I772" s="9" t="inlineStr"/>
      <c r="J772" s="11">
        <f>IF(E772="Private",F772,"")</f>
        <v/>
      </c>
      <c r="K772" s="11">
        <f>IF(E772="Private",G772,"")</f>
        <v/>
      </c>
    </row>
    <row r="773">
      <c r="A773" s="9" t="n">
        <v>225432</v>
      </c>
      <c r="B773" s="9" t="inlineStr">
        <is>
          <t>University of Houston-Downtown</t>
        </is>
      </c>
      <c r="C773" s="9" t="inlineStr">
        <is>
          <t>Houston</t>
        </is>
      </c>
      <c r="D773" s="9" t="inlineStr">
        <is>
          <t>TX</t>
        </is>
      </c>
      <c r="E773" s="9" t="inlineStr">
        <is>
          <t>Public</t>
        </is>
      </c>
      <c r="F773" s="11" t="n">
        <v>10542</v>
      </c>
      <c r="G773" s="11" t="n">
        <v>53551</v>
      </c>
      <c r="H773" s="9">
        <f>COUNTIF($G$5:$G$1531,"&gt;"&amp;G773)+1</f>
        <v/>
      </c>
      <c r="I773" s="9" t="inlineStr"/>
      <c r="J773" s="11">
        <f>IF(E773="Private",F773,"")</f>
        <v/>
      </c>
      <c r="K773" s="11">
        <f>IF(E773="Private",G773,"")</f>
        <v/>
      </c>
    </row>
    <row r="774">
      <c r="A774" s="9" t="n">
        <v>239080</v>
      </c>
      <c r="B774" s="9" t="inlineStr">
        <is>
          <t>Marian University (Fond Du Lac, WI)</t>
        </is>
      </c>
      <c r="C774" s="9" t="inlineStr">
        <is>
          <t>Fond Du Lac</t>
        </is>
      </c>
      <c r="D774" s="9" t="inlineStr">
        <is>
          <t>WI</t>
        </is>
      </c>
      <c r="E774" s="9" t="inlineStr">
        <is>
          <t>Private</t>
        </is>
      </c>
      <c r="F774" s="11" t="n">
        <v>21937</v>
      </c>
      <c r="G774" s="11" t="n">
        <v>53501</v>
      </c>
      <c r="H774" s="9">
        <f>COUNTIF($G$5:$G$1531,"&gt;"&amp;G774)+1</f>
        <v/>
      </c>
      <c r="I774" s="9" t="inlineStr"/>
      <c r="J774" s="11">
        <f>IF(E774="Private",F774,"")</f>
        <v/>
      </c>
      <c r="K774" s="11">
        <f>IF(E774="Private",G774,"")</f>
        <v/>
      </c>
    </row>
    <row r="775">
      <c r="A775" s="9" t="n">
        <v>190558</v>
      </c>
      <c r="B775" s="9" t="inlineStr">
        <is>
          <t>College of Staten Island CUNY</t>
        </is>
      </c>
      <c r="C775" s="9" t="inlineStr">
        <is>
          <t>Staten Island</t>
        </is>
      </c>
      <c r="D775" s="9" t="inlineStr">
        <is>
          <t>NY</t>
        </is>
      </c>
      <c r="E775" s="9" t="inlineStr">
        <is>
          <t>Public</t>
        </is>
      </c>
      <c r="F775" s="11" t="n">
        <v>5579</v>
      </c>
      <c r="G775" s="11" t="n">
        <v>53501</v>
      </c>
      <c r="H775" s="9">
        <f>COUNTIF($G$5:$G$1531,"&gt;"&amp;G775)+1</f>
        <v/>
      </c>
      <c r="I775" s="9" t="inlineStr"/>
      <c r="J775" s="11">
        <f>IF(E775="Private",F775,"")</f>
        <v/>
      </c>
      <c r="K775" s="11">
        <f>IF(E775="Private",G775,"")</f>
        <v/>
      </c>
    </row>
    <row r="776">
      <c r="A776" s="9" t="n">
        <v>172644</v>
      </c>
      <c r="B776" s="9" t="inlineStr">
        <is>
          <t>Wayne State University</t>
        </is>
      </c>
      <c r="C776" s="9" t="inlineStr">
        <is>
          <t>Detroit</t>
        </is>
      </c>
      <c r="D776" s="9" t="inlineStr">
        <is>
          <t>MI</t>
        </is>
      </c>
      <c r="E776" s="9" t="inlineStr">
        <is>
          <t>Public</t>
        </is>
      </c>
      <c r="F776" s="11" t="n">
        <v>12766</v>
      </c>
      <c r="G776" s="11" t="n">
        <v>53493</v>
      </c>
      <c r="H776" s="9">
        <f>COUNTIF($G$5:$G$1531,"&gt;"&amp;G776)+1</f>
        <v/>
      </c>
      <c r="I776" s="9" t="inlineStr"/>
      <c r="J776" s="11">
        <f>IF(E776="Private",F776,"")</f>
        <v/>
      </c>
      <c r="K776" s="11">
        <f>IF(E776="Private",G776,"")</f>
        <v/>
      </c>
    </row>
    <row r="777">
      <c r="A777" s="9" t="n">
        <v>153162</v>
      </c>
      <c r="B777" s="9" t="inlineStr">
        <is>
          <t>Cornell College</t>
        </is>
      </c>
      <c r="C777" s="9" t="inlineStr">
        <is>
          <t>Mount Vernon</t>
        </is>
      </c>
      <c r="D777" s="9" t="inlineStr">
        <is>
          <t>IA</t>
        </is>
      </c>
      <c r="E777" s="9" t="inlineStr">
        <is>
          <t>Private</t>
        </is>
      </c>
      <c r="F777" s="11" t="n">
        <v>23634</v>
      </c>
      <c r="G777" s="11" t="n">
        <v>53460</v>
      </c>
      <c r="H777" s="9">
        <f>COUNTIF($G$5:$G$1531,"&gt;"&amp;G777)+1</f>
        <v/>
      </c>
      <c r="I777" s="9" t="inlineStr"/>
      <c r="J777" s="11">
        <f>IF(E777="Private",F777,"")</f>
        <v/>
      </c>
      <c r="K777" s="11">
        <f>IF(E777="Private",G777,"")</f>
        <v/>
      </c>
    </row>
    <row r="778">
      <c r="A778" s="9" t="n">
        <v>217998</v>
      </c>
      <c r="B778" s="9" t="inlineStr">
        <is>
          <t>Erskine College</t>
        </is>
      </c>
      <c r="C778" s="9" t="inlineStr">
        <is>
          <t>Due West</t>
        </is>
      </c>
      <c r="D778" s="9" t="inlineStr">
        <is>
          <t>SC</t>
        </is>
      </c>
      <c r="E778" s="9" t="inlineStr">
        <is>
          <t>Private</t>
        </is>
      </c>
      <c r="F778" s="11" t="n">
        <v>16525</v>
      </c>
      <c r="G778" s="11" t="n">
        <v>53459</v>
      </c>
      <c r="H778" s="9">
        <f>COUNTIF($G$5:$G$1531,"&gt;"&amp;G778)+1</f>
        <v/>
      </c>
      <c r="I778" s="9" t="inlineStr"/>
      <c r="J778" s="11">
        <f>IF(E778="Private",F778,"")</f>
        <v/>
      </c>
      <c r="K778" s="11">
        <f>IF(E778="Private",G778,"")</f>
        <v/>
      </c>
    </row>
    <row r="779">
      <c r="A779" s="9" t="n">
        <v>231581</v>
      </c>
      <c r="B779" s="9" t="inlineStr">
        <is>
          <t>Bridgewater College</t>
        </is>
      </c>
      <c r="C779" s="9" t="inlineStr">
        <is>
          <t>Bridgewater</t>
        </is>
      </c>
      <c r="D779" s="9" t="inlineStr">
        <is>
          <t>VA</t>
        </is>
      </c>
      <c r="E779" s="9" t="inlineStr">
        <is>
          <t>Private</t>
        </is>
      </c>
      <c r="F779" s="11" t="n">
        <v>17800</v>
      </c>
      <c r="G779" s="11" t="n">
        <v>53453</v>
      </c>
      <c r="H779" s="9">
        <f>COUNTIF($G$5:$G$1531,"&gt;"&amp;G779)+1</f>
        <v/>
      </c>
      <c r="I779" s="9" t="inlineStr"/>
      <c r="J779" s="11">
        <f>IF(E779="Private",F779,"")</f>
        <v/>
      </c>
      <c r="K779" s="11">
        <f>IF(E779="Private",G779,"")</f>
        <v/>
      </c>
    </row>
    <row r="780">
      <c r="A780" s="9" t="n">
        <v>196592</v>
      </c>
      <c r="B780" s="9" t="inlineStr">
        <is>
          <t>Touro University</t>
        </is>
      </c>
      <c r="C780" s="9" t="inlineStr">
        <is>
          <t>New York</t>
        </is>
      </c>
      <c r="D780" s="9" t="inlineStr">
        <is>
          <t>NY</t>
        </is>
      </c>
      <c r="E780" s="9" t="inlineStr">
        <is>
          <t>Private</t>
        </is>
      </c>
      <c r="F780" s="11" t="n">
        <v>29627</v>
      </c>
      <c r="G780" s="11" t="n">
        <v>53419</v>
      </c>
      <c r="H780" s="9">
        <f>COUNTIF($G$5:$G$1531,"&gt;"&amp;G780)+1</f>
        <v/>
      </c>
      <c r="I780" s="9" t="inlineStr"/>
      <c r="J780" s="11">
        <f>IF(E780="Private",F780,"")</f>
        <v/>
      </c>
      <c r="K780" s="11">
        <f>IF(E780="Private",G780,"")</f>
        <v/>
      </c>
    </row>
    <row r="781">
      <c r="A781" s="9" t="n">
        <v>233301</v>
      </c>
      <c r="B781" s="9" t="inlineStr">
        <is>
          <t>Randolph College</t>
        </is>
      </c>
      <c r="C781" s="9" t="inlineStr">
        <is>
          <t>Lynchburg</t>
        </is>
      </c>
      <c r="D781" s="9" t="inlineStr">
        <is>
          <t>VA</t>
        </is>
      </c>
      <c r="E781" s="9" t="inlineStr">
        <is>
          <t>Private</t>
        </is>
      </c>
      <c r="F781" s="11" t="n">
        <v>15921</v>
      </c>
      <c r="G781" s="11" t="n">
        <v>53409</v>
      </c>
      <c r="H781" s="9">
        <f>COUNTIF($G$5:$G$1531,"&gt;"&amp;G781)+1</f>
        <v/>
      </c>
      <c r="I781" s="9" t="inlineStr"/>
      <c r="J781" s="11">
        <f>IF(E781="Private",F781,"")</f>
        <v/>
      </c>
      <c r="K781" s="11">
        <f>IF(E781="Private",G781,"")</f>
        <v/>
      </c>
    </row>
    <row r="782">
      <c r="A782" s="9" t="n">
        <v>142522</v>
      </c>
      <c r="B782" s="9" t="inlineStr">
        <is>
          <t>Brigham Young University-Idaho</t>
        </is>
      </c>
      <c r="C782" s="9" t="inlineStr">
        <is>
          <t>Rexburg</t>
        </is>
      </c>
      <c r="D782" s="9" t="inlineStr">
        <is>
          <t>ID</t>
        </is>
      </c>
      <c r="E782" s="9" t="inlineStr">
        <is>
          <t>Private</t>
        </is>
      </c>
      <c r="F782" s="11" t="n">
        <v>8221</v>
      </c>
      <c r="G782" s="11" t="n">
        <v>53406</v>
      </c>
      <c r="H782" s="9">
        <f>COUNTIF($G$5:$G$1531,"&gt;"&amp;G782)+1</f>
        <v/>
      </c>
      <c r="I782" s="9" t="inlineStr"/>
      <c r="J782" s="11">
        <f>IF(E782="Private",F782,"")</f>
        <v/>
      </c>
      <c r="K782" s="11">
        <f>IF(E782="Private",G782,"")</f>
        <v/>
      </c>
    </row>
    <row r="783">
      <c r="A783" s="9" t="n">
        <v>149222</v>
      </c>
      <c r="B783" s="9" t="inlineStr">
        <is>
          <t>Southern Illinois University-Carbondale</t>
        </is>
      </c>
      <c r="C783" s="9" t="inlineStr">
        <is>
          <t>Carbondale</t>
        </is>
      </c>
      <c r="D783" s="9" t="inlineStr">
        <is>
          <t>IL</t>
        </is>
      </c>
      <c r="E783" s="9" t="inlineStr">
        <is>
          <t>Public</t>
        </is>
      </c>
      <c r="F783" s="11" t="n">
        <v>13297</v>
      </c>
      <c r="G783" s="11" t="n">
        <v>53390</v>
      </c>
      <c r="H783" s="9">
        <f>COUNTIF($G$5:$G$1531,"&gt;"&amp;G783)+1</f>
        <v/>
      </c>
      <c r="I783" s="9" t="inlineStr"/>
      <c r="J783" s="11">
        <f>IF(E783="Private",F783,"")</f>
        <v/>
      </c>
      <c r="K783" s="11">
        <f>IF(E783="Private",G783,"")</f>
        <v/>
      </c>
    </row>
    <row r="784">
      <c r="A784" s="9" t="n">
        <v>182795</v>
      </c>
      <c r="B784" s="9" t="inlineStr">
        <is>
          <t>Franklin Pierce University</t>
        </is>
      </c>
      <c r="C784" s="9" t="inlineStr">
        <is>
          <t>Rindge</t>
        </is>
      </c>
      <c r="D784" s="9" t="inlineStr">
        <is>
          <t>NH</t>
        </is>
      </c>
      <c r="E784" s="9" t="inlineStr">
        <is>
          <t>Private</t>
        </is>
      </c>
      <c r="F784" s="11" t="n">
        <v>27154</v>
      </c>
      <c r="G784" s="11" t="n">
        <v>53353</v>
      </c>
      <c r="H784" s="9">
        <f>COUNTIF($G$5:$G$1531,"&gt;"&amp;G784)+1</f>
        <v/>
      </c>
      <c r="I784" s="9" t="inlineStr"/>
      <c r="J784" s="11">
        <f>IF(E784="Private",F784,"")</f>
        <v/>
      </c>
      <c r="K784" s="11">
        <f>IF(E784="Private",G784,"")</f>
        <v/>
      </c>
    </row>
    <row r="785">
      <c r="A785" s="9" t="n">
        <v>181020</v>
      </c>
      <c r="B785" s="9" t="inlineStr">
        <is>
          <t>Doane University</t>
        </is>
      </c>
      <c r="C785" s="9" t="inlineStr">
        <is>
          <t>Crete</t>
        </is>
      </c>
      <c r="D785" s="9" t="inlineStr">
        <is>
          <t>NE</t>
        </is>
      </c>
      <c r="E785" s="9" t="inlineStr">
        <is>
          <t>Private</t>
        </is>
      </c>
      <c r="F785" s="11" t="n">
        <v>26364</v>
      </c>
      <c r="G785" s="11" t="n">
        <v>53316</v>
      </c>
      <c r="H785" s="9">
        <f>COUNTIF($G$5:$G$1531,"&gt;"&amp;G785)+1</f>
        <v/>
      </c>
      <c r="I785" s="9" t="inlineStr"/>
      <c r="J785" s="11">
        <f>IF(E785="Private",F785,"")</f>
        <v/>
      </c>
      <c r="K785" s="11">
        <f>IF(E785="Private",G785,"")</f>
        <v/>
      </c>
    </row>
    <row r="786">
      <c r="A786" s="9" t="n">
        <v>204936</v>
      </c>
      <c r="B786" s="9" t="inlineStr">
        <is>
          <t>Otterbein University</t>
        </is>
      </c>
      <c r="C786" s="9" t="inlineStr">
        <is>
          <t>Westerville</t>
        </is>
      </c>
      <c r="D786" s="9" t="inlineStr">
        <is>
          <t>OH</t>
        </is>
      </c>
      <c r="E786" s="9" t="inlineStr">
        <is>
          <t>Private</t>
        </is>
      </c>
      <c r="F786" s="11" t="n">
        <v>19237</v>
      </c>
      <c r="G786" s="11" t="n">
        <v>53313</v>
      </c>
      <c r="H786" s="9">
        <f>COUNTIF($G$5:$G$1531,"&gt;"&amp;G786)+1</f>
        <v/>
      </c>
      <c r="I786" s="9" t="inlineStr"/>
      <c r="J786" s="11">
        <f>IF(E786="Private",F786,"")</f>
        <v/>
      </c>
      <c r="K786" s="11">
        <f>IF(E786="Private",G786,"")</f>
        <v/>
      </c>
    </row>
    <row r="787">
      <c r="A787" s="9" t="n">
        <v>177968</v>
      </c>
      <c r="B787" s="9" t="inlineStr">
        <is>
          <t>Lindenwood University</t>
        </is>
      </c>
      <c r="C787" s="9" t="inlineStr">
        <is>
          <t>Saint Charles</t>
        </is>
      </c>
      <c r="D787" s="9" t="inlineStr">
        <is>
          <t>MO</t>
        </is>
      </c>
      <c r="E787" s="9" t="inlineStr">
        <is>
          <t>Private</t>
        </is>
      </c>
      <c r="F787" s="11" t="n">
        <v>19638</v>
      </c>
      <c r="G787" s="11" t="n">
        <v>53278</v>
      </c>
      <c r="H787" s="9">
        <f>COUNTIF($G$5:$G$1531,"&gt;"&amp;G787)+1</f>
        <v/>
      </c>
      <c r="I787" s="9" t="inlineStr"/>
      <c r="J787" s="11">
        <f>IF(E787="Private",F787,"")</f>
        <v/>
      </c>
      <c r="K787" s="11">
        <f>IF(E787="Private",G787,"")</f>
        <v/>
      </c>
    </row>
    <row r="788">
      <c r="A788" s="9" t="n">
        <v>180461</v>
      </c>
      <c r="B788" s="9" t="inlineStr">
        <is>
          <t>Montana State University</t>
        </is>
      </c>
      <c r="C788" s="9" t="inlineStr">
        <is>
          <t>Bozeman</t>
        </is>
      </c>
      <c r="D788" s="9" t="inlineStr">
        <is>
          <t>MT</t>
        </is>
      </c>
      <c r="E788" s="9" t="inlineStr">
        <is>
          <t>Public</t>
        </is>
      </c>
      <c r="F788" s="11" t="n">
        <v>22499</v>
      </c>
      <c r="G788" s="11" t="n">
        <v>53263</v>
      </c>
      <c r="H788" s="9">
        <f>COUNTIF($G$5:$G$1531,"&gt;"&amp;G788)+1</f>
        <v/>
      </c>
      <c r="I788" s="9" t="inlineStr"/>
      <c r="J788" s="11">
        <f>IF(E788="Private",F788,"")</f>
        <v/>
      </c>
      <c r="K788" s="11">
        <f>IF(E788="Private",G788,"")</f>
        <v/>
      </c>
    </row>
    <row r="789">
      <c r="A789" s="9" t="n">
        <v>238333</v>
      </c>
      <c r="B789" s="9" t="inlineStr">
        <is>
          <t>Beloit College</t>
        </is>
      </c>
      <c r="C789" s="9" t="inlineStr">
        <is>
          <t>Beloit</t>
        </is>
      </c>
      <c r="D789" s="9" t="inlineStr">
        <is>
          <t>WI</t>
        </is>
      </c>
      <c r="E789" s="9" t="inlineStr">
        <is>
          <t>Private</t>
        </is>
      </c>
      <c r="F789" s="11" t="n">
        <v>21526</v>
      </c>
      <c r="G789" s="11" t="n">
        <v>53260</v>
      </c>
      <c r="H789" s="9">
        <f>COUNTIF($G$5:$G$1531,"&gt;"&amp;G789)+1</f>
        <v/>
      </c>
      <c r="I789" s="9" t="inlineStr"/>
      <c r="J789" s="11">
        <f>IF(E789="Private",F789,"")</f>
        <v/>
      </c>
      <c r="K789" s="11">
        <f>IF(E789="Private",G789,"")</f>
        <v/>
      </c>
    </row>
    <row r="790">
      <c r="A790" s="9" t="n">
        <v>139931</v>
      </c>
      <c r="B790" s="9" t="inlineStr">
        <is>
          <t>Georgia Southern University</t>
        </is>
      </c>
      <c r="C790" s="9" t="inlineStr">
        <is>
          <t>Statesboro</t>
        </is>
      </c>
      <c r="D790" s="9" t="inlineStr">
        <is>
          <t>GA</t>
        </is>
      </c>
      <c r="E790" s="9" t="inlineStr">
        <is>
          <t>Public</t>
        </is>
      </c>
      <c r="F790" s="11" t="n">
        <v>15267</v>
      </c>
      <c r="G790" s="11" t="n">
        <v>53236</v>
      </c>
      <c r="H790" s="9">
        <f>COUNTIF($G$5:$G$1531,"&gt;"&amp;G790)+1</f>
        <v/>
      </c>
      <c r="I790" s="9" t="inlineStr"/>
      <c r="J790" s="11">
        <f>IF(E790="Private",F790,"")</f>
        <v/>
      </c>
      <c r="K790" s="11">
        <f>IF(E790="Private",G790,"")</f>
        <v/>
      </c>
    </row>
    <row r="791">
      <c r="A791" s="9" t="n">
        <v>171146</v>
      </c>
      <c r="B791" s="9" t="inlineStr">
        <is>
          <t>University of Michigan-Flint</t>
        </is>
      </c>
      <c r="C791" s="9" t="inlineStr">
        <is>
          <t>Flint</t>
        </is>
      </c>
      <c r="D791" s="9" t="inlineStr">
        <is>
          <t>MI</t>
        </is>
      </c>
      <c r="E791" s="9" t="inlineStr">
        <is>
          <t>Public</t>
        </is>
      </c>
      <c r="F791" s="11" t="n">
        <v>7007</v>
      </c>
      <c r="G791" s="11" t="n">
        <v>53230</v>
      </c>
      <c r="H791" s="9">
        <f>COUNTIF($G$5:$G$1531,"&gt;"&amp;G791)+1</f>
        <v/>
      </c>
      <c r="I791" s="9" t="inlineStr"/>
      <c r="J791" s="11">
        <f>IF(E791="Private",F791,"")</f>
        <v/>
      </c>
      <c r="K791" s="11">
        <f>IF(E791="Private",G791,"")</f>
        <v/>
      </c>
    </row>
    <row r="792">
      <c r="A792" s="9" t="n">
        <v>204185</v>
      </c>
      <c r="B792" s="9" t="inlineStr">
        <is>
          <t>University of Mount Union</t>
        </is>
      </c>
      <c r="C792" s="9" t="inlineStr">
        <is>
          <t>Alliance</t>
        </is>
      </c>
      <c r="D792" s="9" t="inlineStr">
        <is>
          <t>OH</t>
        </is>
      </c>
      <c r="E792" s="9" t="inlineStr">
        <is>
          <t>Private</t>
        </is>
      </c>
      <c r="F792" s="11" t="n">
        <v>23280</v>
      </c>
      <c r="G792" s="11" t="n">
        <v>53217</v>
      </c>
      <c r="H792" s="9">
        <f>COUNTIF($G$5:$G$1531,"&gt;"&amp;G792)+1</f>
        <v/>
      </c>
      <c r="I792" s="9" t="inlineStr"/>
      <c r="J792" s="11">
        <f>IF(E792="Private",F792,"")</f>
        <v/>
      </c>
      <c r="K792" s="11">
        <f>IF(E792="Private",G792,"")</f>
        <v/>
      </c>
    </row>
    <row r="793">
      <c r="A793" s="9" t="n">
        <v>147828</v>
      </c>
      <c r="B793" s="9" t="inlineStr">
        <is>
          <t>Olivet Nazarene University</t>
        </is>
      </c>
      <c r="C793" s="9" t="inlineStr">
        <is>
          <t>Bourbonnais</t>
        </is>
      </c>
      <c r="D793" s="9" t="inlineStr">
        <is>
          <t>IL</t>
        </is>
      </c>
      <c r="E793" s="9" t="inlineStr">
        <is>
          <t>Private</t>
        </is>
      </c>
      <c r="F793" s="11" t="n">
        <v>20729</v>
      </c>
      <c r="G793" s="11" t="n">
        <v>53213</v>
      </c>
      <c r="H793" s="9">
        <f>COUNTIF($G$5:$G$1531,"&gt;"&amp;G793)+1</f>
        <v/>
      </c>
      <c r="I793" s="9" t="inlineStr"/>
      <c r="J793" s="11">
        <f>IF(E793="Private",F793,"")</f>
        <v/>
      </c>
      <c r="K793" s="11">
        <f>IF(E793="Private",G793,"")</f>
        <v/>
      </c>
    </row>
    <row r="794">
      <c r="A794" s="9" t="n">
        <v>168740</v>
      </c>
      <c r="B794" s="9" t="inlineStr">
        <is>
          <t>Andrews University</t>
        </is>
      </c>
      <c r="C794" s="9" t="inlineStr">
        <is>
          <t>Berrien Springs</t>
        </is>
      </c>
      <c r="D794" s="9" t="inlineStr">
        <is>
          <t>MI</t>
        </is>
      </c>
      <c r="E794" s="9" t="inlineStr">
        <is>
          <t>Private</t>
        </is>
      </c>
      <c r="F794" s="11" t="n">
        <v>12547</v>
      </c>
      <c r="G794" s="11" t="n">
        <v>53187</v>
      </c>
      <c r="H794" s="9">
        <f>COUNTIF($G$5:$G$1531,"&gt;"&amp;G794)+1</f>
        <v/>
      </c>
      <c r="I794" s="9" t="inlineStr"/>
      <c r="J794" s="11">
        <f>IF(E794="Private",F794,"")</f>
        <v/>
      </c>
      <c r="K794" s="11">
        <f>IF(E794="Private",G794,"")</f>
        <v/>
      </c>
    </row>
    <row r="795">
      <c r="A795" s="9" t="n">
        <v>154712</v>
      </c>
      <c r="B795" s="9" t="inlineStr">
        <is>
          <t>Benedictine College</t>
        </is>
      </c>
      <c r="C795" s="9" t="inlineStr">
        <is>
          <t>Atchison</t>
        </is>
      </c>
      <c r="D795" s="9" t="inlineStr">
        <is>
          <t>KS</t>
        </is>
      </c>
      <c r="E795" s="9" t="inlineStr">
        <is>
          <t>Private</t>
        </is>
      </c>
      <c r="F795" s="11" t="n">
        <v>27891</v>
      </c>
      <c r="G795" s="11" t="n">
        <v>53175</v>
      </c>
      <c r="H795" s="9">
        <f>COUNTIF($G$5:$G$1531,"&gt;"&amp;G795)+1</f>
        <v/>
      </c>
      <c r="I795" s="9" t="inlineStr"/>
      <c r="J795" s="11">
        <f>IF(E795="Private",F795,"")</f>
        <v/>
      </c>
      <c r="K795" s="11">
        <f>IF(E795="Private",G795,"")</f>
        <v/>
      </c>
    </row>
    <row r="796">
      <c r="A796" s="9" t="n">
        <v>441900</v>
      </c>
      <c r="B796" s="9" t="inlineStr">
        <is>
          <t>Nevada State University</t>
        </is>
      </c>
      <c r="C796" s="9" t="inlineStr">
        <is>
          <t>Henderson</t>
        </is>
      </c>
      <c r="D796" s="9" t="inlineStr">
        <is>
          <t>NV</t>
        </is>
      </c>
      <c r="E796" s="9" t="inlineStr">
        <is>
          <t>Public</t>
        </is>
      </c>
      <c r="F796" s="11" t="n">
        <v>14068</v>
      </c>
      <c r="G796" s="11" t="n">
        <v>53166</v>
      </c>
      <c r="H796" s="9">
        <f>COUNTIF($G$5:$G$1531,"&gt;"&amp;G796)+1</f>
        <v/>
      </c>
      <c r="I796" s="9" t="inlineStr"/>
      <c r="J796" s="11">
        <f>IF(E796="Private",F796,"")</f>
        <v/>
      </c>
      <c r="K796" s="11">
        <f>IF(E796="Private",G796,"")</f>
        <v/>
      </c>
    </row>
    <row r="797">
      <c r="A797" s="9" t="n">
        <v>238193</v>
      </c>
      <c r="B797" s="9" t="inlineStr">
        <is>
          <t>Alverno College</t>
        </is>
      </c>
      <c r="C797" s="9" t="inlineStr">
        <is>
          <t>Milwaukee</t>
        </is>
      </c>
      <c r="D797" s="9" t="inlineStr">
        <is>
          <t>WI</t>
        </is>
      </c>
      <c r="E797" s="9" t="inlineStr">
        <is>
          <t>Private</t>
        </is>
      </c>
      <c r="F797" s="11" t="n">
        <v>22540</v>
      </c>
      <c r="G797" s="11" t="n">
        <v>53145</v>
      </c>
      <c r="H797" s="9">
        <f>COUNTIF($G$5:$G$1531,"&gt;"&amp;G797)+1</f>
        <v/>
      </c>
      <c r="I797" s="9" t="inlineStr"/>
      <c r="J797" s="11">
        <f>IF(E797="Private",F797,"")</f>
        <v/>
      </c>
      <c r="K797" s="11">
        <f>IF(E797="Private",G797,"")</f>
        <v/>
      </c>
    </row>
    <row r="798">
      <c r="A798" s="9" t="n">
        <v>164447</v>
      </c>
      <c r="B798" s="9" t="inlineStr">
        <is>
          <t>American International College</t>
        </is>
      </c>
      <c r="C798" s="9" t="inlineStr">
        <is>
          <t>Springfield</t>
        </is>
      </c>
      <c r="D798" s="9" t="inlineStr">
        <is>
          <t>MA</t>
        </is>
      </c>
      <c r="E798" s="9" t="inlineStr">
        <is>
          <t>Private</t>
        </is>
      </c>
      <c r="F798" s="11" t="n">
        <v>23274</v>
      </c>
      <c r="G798" s="11" t="n">
        <v>53124</v>
      </c>
      <c r="H798" s="9">
        <f>COUNTIF($G$5:$G$1531,"&gt;"&amp;G798)+1</f>
        <v/>
      </c>
      <c r="I798" s="9" t="inlineStr"/>
      <c r="J798" s="11">
        <f>IF(E798="Private",F798,"")</f>
        <v/>
      </c>
      <c r="K798" s="11">
        <f>IF(E798="Private",G798,"")</f>
        <v/>
      </c>
    </row>
    <row r="799">
      <c r="A799" s="9" t="n">
        <v>184773</v>
      </c>
      <c r="B799" s="9" t="inlineStr">
        <is>
          <t>Georgian Court University</t>
        </is>
      </c>
      <c r="C799" s="9" t="inlineStr">
        <is>
          <t>Lakewood</t>
        </is>
      </c>
      <c r="D799" s="9" t="inlineStr">
        <is>
          <t>NJ</t>
        </is>
      </c>
      <c r="E799" s="9" t="inlineStr">
        <is>
          <t>Private</t>
        </is>
      </c>
      <c r="F799" s="11" t="n">
        <v>19285</v>
      </c>
      <c r="G799" s="11" t="n">
        <v>53096</v>
      </c>
      <c r="H799" s="9">
        <f>COUNTIF($G$5:$G$1531,"&gt;"&amp;G799)+1</f>
        <v/>
      </c>
      <c r="I799" s="9" t="inlineStr"/>
      <c r="J799" s="11">
        <f>IF(E799="Private",F799,"")</f>
        <v/>
      </c>
      <c r="K799" s="11">
        <f>IF(E799="Private",G799,"")</f>
        <v/>
      </c>
    </row>
    <row r="800">
      <c r="A800" s="9" t="n">
        <v>228529</v>
      </c>
      <c r="B800" s="9" t="inlineStr">
        <is>
          <t>Tarleton State University</t>
        </is>
      </c>
      <c r="C800" s="9" t="inlineStr">
        <is>
          <t>Stephenville</t>
        </is>
      </c>
      <c r="D800" s="9" t="inlineStr">
        <is>
          <t>TX</t>
        </is>
      </c>
      <c r="E800" s="9" t="inlineStr">
        <is>
          <t>Public</t>
        </is>
      </c>
      <c r="F800" s="11" t="n">
        <v>20783</v>
      </c>
      <c r="G800" s="11" t="n">
        <v>53040</v>
      </c>
      <c r="H800" s="9">
        <f>COUNTIF($G$5:$G$1531,"&gt;"&amp;G800)+1</f>
        <v/>
      </c>
      <c r="I800" s="9" t="inlineStr"/>
      <c r="J800" s="11">
        <f>IF(E800="Private",F800,"")</f>
        <v/>
      </c>
      <c r="K800" s="11">
        <f>IF(E800="Private",G800,"")</f>
        <v/>
      </c>
    </row>
    <row r="801">
      <c r="A801" s="9" t="n">
        <v>186618</v>
      </c>
      <c r="B801" s="9" t="inlineStr">
        <is>
          <t>Saint Elizabeth University</t>
        </is>
      </c>
      <c r="C801" s="9" t="inlineStr">
        <is>
          <t>Morristown</t>
        </is>
      </c>
      <c r="D801" s="9" t="inlineStr">
        <is>
          <t>NJ</t>
        </is>
      </c>
      <c r="E801" s="9" t="inlineStr">
        <is>
          <t>Private</t>
        </is>
      </c>
      <c r="F801" s="11" t="n">
        <v>23125</v>
      </c>
      <c r="G801" s="11" t="n">
        <v>53038</v>
      </c>
      <c r="H801" s="9">
        <f>COUNTIF($G$5:$G$1531,"&gt;"&amp;G801)+1</f>
        <v/>
      </c>
      <c r="I801" s="9" t="inlineStr"/>
      <c r="J801" s="11">
        <f>IF(E801="Private",F801,"")</f>
        <v/>
      </c>
      <c r="K801" s="11">
        <f>IF(E801="Private",G801,"")</f>
        <v/>
      </c>
    </row>
    <row r="802">
      <c r="A802" s="9" t="n">
        <v>178420</v>
      </c>
      <c r="B802" s="9" t="inlineStr">
        <is>
          <t>University of Missouri-St Louis</t>
        </is>
      </c>
      <c r="C802" s="9" t="inlineStr">
        <is>
          <t>Saint Louis</t>
        </is>
      </c>
      <c r="D802" s="9" t="inlineStr">
        <is>
          <t>MO</t>
        </is>
      </c>
      <c r="E802" s="9" t="inlineStr">
        <is>
          <t>Public</t>
        </is>
      </c>
      <c r="F802" s="11" t="n">
        <v>15071</v>
      </c>
      <c r="G802" s="11" t="n">
        <v>53037</v>
      </c>
      <c r="H802" s="9">
        <f>COUNTIF($G$5:$G$1531,"&gt;"&amp;G802)+1</f>
        <v/>
      </c>
      <c r="I802" s="9" t="inlineStr"/>
      <c r="J802" s="11">
        <f>IF(E802="Private",F802,"")</f>
        <v/>
      </c>
      <c r="K802" s="11">
        <f>IF(E802="Private",G802,"")</f>
        <v/>
      </c>
    </row>
    <row r="803">
      <c r="A803" s="9" t="n">
        <v>216038</v>
      </c>
      <c r="B803" s="9" t="inlineStr">
        <is>
          <t>Slippery Rock University of Pennsylvania</t>
        </is>
      </c>
      <c r="C803" s="9" t="inlineStr">
        <is>
          <t>Slippery Rock</t>
        </is>
      </c>
      <c r="D803" s="9" t="inlineStr">
        <is>
          <t>PA</t>
        </is>
      </c>
      <c r="E803" s="9" t="inlineStr">
        <is>
          <t>Public</t>
        </is>
      </c>
      <c r="F803" s="11" t="n">
        <v>19608</v>
      </c>
      <c r="G803" s="11" t="n">
        <v>53032</v>
      </c>
      <c r="H803" s="9">
        <f>COUNTIF($G$5:$G$1531,"&gt;"&amp;G803)+1</f>
        <v/>
      </c>
      <c r="I803" s="9" t="inlineStr"/>
      <c r="J803" s="11">
        <f>IF(E803="Private",F803,"")</f>
        <v/>
      </c>
      <c r="K803" s="11">
        <f>IF(E803="Private",G803,"")</f>
        <v/>
      </c>
    </row>
    <row r="804">
      <c r="A804" s="9" t="n">
        <v>162654</v>
      </c>
      <c r="B804" s="9" t="inlineStr">
        <is>
          <t>Goucher College</t>
        </is>
      </c>
      <c r="C804" s="9" t="inlineStr">
        <is>
          <t>Baltimore</t>
        </is>
      </c>
      <c r="D804" s="9" t="inlineStr">
        <is>
          <t>MD</t>
        </is>
      </c>
      <c r="E804" s="9" t="inlineStr">
        <is>
          <t>Private</t>
        </is>
      </c>
      <c r="F804" s="11" t="n">
        <v>22470</v>
      </c>
      <c r="G804" s="11" t="n">
        <v>53023</v>
      </c>
      <c r="H804" s="9">
        <f>COUNTIF($G$5:$G$1531,"&gt;"&amp;G804)+1</f>
        <v/>
      </c>
      <c r="I804" s="9" t="inlineStr"/>
      <c r="J804" s="11">
        <f>IF(E804="Private",F804,"")</f>
        <v/>
      </c>
      <c r="K804" s="11">
        <f>IF(E804="Private",G804,"")</f>
        <v/>
      </c>
    </row>
    <row r="805">
      <c r="A805" s="9" t="n">
        <v>228468</v>
      </c>
      <c r="B805" s="9" t="inlineStr">
        <is>
          <t>Southwestern Adventist University</t>
        </is>
      </c>
      <c r="C805" s="9" t="inlineStr">
        <is>
          <t>Keene</t>
        </is>
      </c>
      <c r="D805" s="9" t="inlineStr">
        <is>
          <t>TX</t>
        </is>
      </c>
      <c r="E805" s="9" t="inlineStr">
        <is>
          <t>Private</t>
        </is>
      </c>
      <c r="F805" s="11" t="n">
        <v>22778</v>
      </c>
      <c r="G805" s="11" t="n">
        <v>52946</v>
      </c>
      <c r="H805" s="9">
        <f>COUNTIF($G$5:$G$1531,"&gt;"&amp;G805)+1</f>
        <v/>
      </c>
      <c r="I805" s="9" t="inlineStr"/>
      <c r="J805" s="11">
        <f>IF(E805="Private",F805,"")</f>
        <v/>
      </c>
      <c r="K805" s="11">
        <f>IF(E805="Private",G805,"")</f>
        <v/>
      </c>
    </row>
    <row r="806">
      <c r="A806" s="9" t="n">
        <v>201104</v>
      </c>
      <c r="B806" s="9" t="inlineStr">
        <is>
          <t>Ashland University</t>
        </is>
      </c>
      <c r="C806" s="9" t="inlineStr">
        <is>
          <t>Ashland</t>
        </is>
      </c>
      <c r="D806" s="9" t="inlineStr">
        <is>
          <t>OH</t>
        </is>
      </c>
      <c r="E806" s="9" t="inlineStr">
        <is>
          <t>Private</t>
        </is>
      </c>
      <c r="F806" s="11" t="n">
        <v>21988</v>
      </c>
      <c r="G806" s="11" t="n">
        <v>52928</v>
      </c>
      <c r="H806" s="9">
        <f>COUNTIF($G$5:$G$1531,"&gt;"&amp;G806)+1</f>
        <v/>
      </c>
      <c r="I806" s="9" t="inlineStr"/>
      <c r="J806" s="11">
        <f>IF(E806="Private",F806,"")</f>
        <v/>
      </c>
      <c r="K806" s="11">
        <f>IF(E806="Private",G806,"")</f>
        <v/>
      </c>
    </row>
    <row r="807">
      <c r="A807" s="9" t="n">
        <v>159656</v>
      </c>
      <c r="B807" s="9" t="inlineStr">
        <is>
          <t>Loyola University New Orleans</t>
        </is>
      </c>
      <c r="C807" s="9" t="inlineStr">
        <is>
          <t>New Orleans</t>
        </is>
      </c>
      <c r="D807" s="9" t="inlineStr">
        <is>
          <t>LA</t>
        </is>
      </c>
      <c r="E807" s="9" t="inlineStr">
        <is>
          <t>Private</t>
        </is>
      </c>
      <c r="F807" s="11" t="n">
        <v>23696</v>
      </c>
      <c r="G807" s="11" t="n">
        <v>52927</v>
      </c>
      <c r="H807" s="9">
        <f>COUNTIF($G$5:$G$1531,"&gt;"&amp;G807)+1</f>
        <v/>
      </c>
      <c r="I807" s="9" t="inlineStr"/>
      <c r="J807" s="11">
        <f>IF(E807="Private",F807,"")</f>
        <v/>
      </c>
      <c r="K807" s="11">
        <f>IF(E807="Private",G807,"")</f>
        <v/>
      </c>
    </row>
    <row r="808">
      <c r="A808" s="9" t="n">
        <v>193654</v>
      </c>
      <c r="B808" s="9" t="inlineStr">
        <is>
          <t>The New School</t>
        </is>
      </c>
      <c r="C808" s="9" t="inlineStr">
        <is>
          <t>New York</t>
        </is>
      </c>
      <c r="D808" s="9" t="inlineStr">
        <is>
          <t>NY</t>
        </is>
      </c>
      <c r="E808" s="9" t="inlineStr">
        <is>
          <t>Private</t>
        </is>
      </c>
      <c r="F808" s="11" t="n">
        <v>58741</v>
      </c>
      <c r="G808" s="11" t="n">
        <v>52901</v>
      </c>
      <c r="H808" s="9">
        <f>COUNTIF($G$5:$G$1531,"&gt;"&amp;G808)+1</f>
        <v/>
      </c>
      <c r="I808" s="9" t="inlineStr"/>
      <c r="J808" s="11">
        <f>IF(E808="Private",F808,"")</f>
        <v/>
      </c>
      <c r="K808" s="11">
        <f>IF(E808="Private",G808,"")</f>
        <v/>
      </c>
    </row>
    <row r="809">
      <c r="A809" s="9" t="n">
        <v>140553</v>
      </c>
      <c r="B809" s="9" t="inlineStr">
        <is>
          <t>Morehouse College</t>
        </is>
      </c>
      <c r="C809" s="9" t="inlineStr">
        <is>
          <t>Atlanta</t>
        </is>
      </c>
      <c r="D809" s="9" t="inlineStr">
        <is>
          <t>GA</t>
        </is>
      </c>
      <c r="E809" s="9" t="inlineStr">
        <is>
          <t>Private</t>
        </is>
      </c>
      <c r="F809" s="11" t="n">
        <v>39013</v>
      </c>
      <c r="G809" s="11" t="n">
        <v>52889</v>
      </c>
      <c r="H809" s="9">
        <f>COUNTIF($G$5:$G$1531,"&gt;"&amp;G809)+1</f>
        <v/>
      </c>
      <c r="I809" s="9" t="inlineStr"/>
      <c r="J809" s="11">
        <f>IF(E809="Private",F809,"")</f>
        <v/>
      </c>
      <c r="K809" s="11">
        <f>IF(E809="Private",G809,"")</f>
        <v/>
      </c>
    </row>
    <row r="810">
      <c r="A810" s="9" t="n">
        <v>107044</v>
      </c>
      <c r="B810" s="9" t="inlineStr">
        <is>
          <t>Harding University</t>
        </is>
      </c>
      <c r="C810" s="9" t="inlineStr">
        <is>
          <t>Searcy</t>
        </is>
      </c>
      <c r="D810" s="9" t="inlineStr">
        <is>
          <t>AR</t>
        </is>
      </c>
      <c r="E810" s="9" t="inlineStr">
        <is>
          <t>Private</t>
        </is>
      </c>
      <c r="F810" s="11" t="n">
        <v>22130</v>
      </c>
      <c r="G810" s="11" t="n">
        <v>52876</v>
      </c>
      <c r="H810" s="9">
        <f>COUNTIF($G$5:$G$1531,"&gt;"&amp;G810)+1</f>
        <v/>
      </c>
      <c r="I810" s="9" t="inlineStr"/>
      <c r="J810" s="11">
        <f>IF(E810="Private",F810,"")</f>
        <v/>
      </c>
      <c r="K810" s="11">
        <f>IF(E810="Private",G810,"")</f>
        <v/>
      </c>
    </row>
    <row r="811">
      <c r="A811" s="9" t="n">
        <v>167598</v>
      </c>
      <c r="B811" s="9" t="inlineStr">
        <is>
          <t>Regis College</t>
        </is>
      </c>
      <c r="C811" s="9" t="inlineStr">
        <is>
          <t>Weston</t>
        </is>
      </c>
      <c r="D811" s="9" t="inlineStr">
        <is>
          <t>MA</t>
        </is>
      </c>
      <c r="E811" s="9" t="inlineStr">
        <is>
          <t>Private</t>
        </is>
      </c>
      <c r="F811" s="11" t="n">
        <v>27477</v>
      </c>
      <c r="G811" s="11" t="n">
        <v>52873</v>
      </c>
      <c r="H811" s="9">
        <f>COUNTIF($G$5:$G$1531,"&gt;"&amp;G811)+1</f>
        <v/>
      </c>
      <c r="I811" s="9" t="inlineStr"/>
      <c r="J811" s="11">
        <f>IF(E811="Private",F811,"")</f>
        <v/>
      </c>
      <c r="K811" s="11">
        <f>IF(E811="Private",G811,"")</f>
        <v/>
      </c>
    </row>
    <row r="812">
      <c r="A812" s="9" t="n">
        <v>153375</v>
      </c>
      <c r="B812" s="9" t="inlineStr">
        <is>
          <t>Grand View University</t>
        </is>
      </c>
      <c r="C812" s="9" t="inlineStr">
        <is>
          <t>Des Moines</t>
        </is>
      </c>
      <c r="D812" s="9" t="inlineStr">
        <is>
          <t>IA</t>
        </is>
      </c>
      <c r="E812" s="9" t="inlineStr">
        <is>
          <t>Private</t>
        </is>
      </c>
      <c r="F812" s="11" t="n">
        <v>21774</v>
      </c>
      <c r="G812" s="11" t="n">
        <v>52824</v>
      </c>
      <c r="H812" s="9">
        <f>COUNTIF($G$5:$G$1531,"&gt;"&amp;G812)+1</f>
        <v/>
      </c>
      <c r="I812" s="9" t="inlineStr"/>
      <c r="J812" s="11">
        <f>IF(E812="Private",F812,"")</f>
        <v/>
      </c>
      <c r="K812" s="11">
        <f>IF(E812="Private",G812,"")</f>
        <v/>
      </c>
    </row>
    <row r="813">
      <c r="A813" s="9" t="n">
        <v>224527</v>
      </c>
      <c r="B813" s="9" t="inlineStr">
        <is>
          <t>East Texas Baptist University</t>
        </is>
      </c>
      <c r="C813" s="9" t="inlineStr">
        <is>
          <t>Marshall</t>
        </is>
      </c>
      <c r="D813" s="9" t="inlineStr">
        <is>
          <t>TX</t>
        </is>
      </c>
      <c r="E813" s="9" t="inlineStr">
        <is>
          <t>Private</t>
        </is>
      </c>
      <c r="F813" s="11" t="n">
        <v>23911</v>
      </c>
      <c r="G813" s="11" t="n">
        <v>52788</v>
      </c>
      <c r="H813" s="9">
        <f>COUNTIF($G$5:$G$1531,"&gt;"&amp;G813)+1</f>
        <v/>
      </c>
      <c r="I813" s="9" t="inlineStr"/>
      <c r="J813" s="11">
        <f>IF(E813="Private",F813,"")</f>
        <v/>
      </c>
      <c r="K813" s="11">
        <f>IF(E813="Private",G813,"")</f>
        <v/>
      </c>
    </row>
    <row r="814">
      <c r="A814" s="9" t="n">
        <v>176628</v>
      </c>
      <c r="B814" s="9" t="inlineStr">
        <is>
          <t>Avila University</t>
        </is>
      </c>
      <c r="C814" s="9" t="inlineStr">
        <is>
          <t>Kansas City</t>
        </is>
      </c>
      <c r="D814" s="9" t="inlineStr">
        <is>
          <t>MO</t>
        </is>
      </c>
      <c r="E814" s="9" t="inlineStr">
        <is>
          <t>Private</t>
        </is>
      </c>
      <c r="F814" s="11" t="n">
        <v>16053</v>
      </c>
      <c r="G814" s="11" t="n">
        <v>52773</v>
      </c>
      <c r="H814" s="9">
        <f>COUNTIF($G$5:$G$1531,"&gt;"&amp;G814)+1</f>
        <v/>
      </c>
      <c r="I814" s="9" t="inlineStr"/>
      <c r="J814" s="11">
        <f>IF(E814="Private",F814,"")</f>
        <v/>
      </c>
      <c r="K814" s="11">
        <f>IF(E814="Private",G814,"")</f>
        <v/>
      </c>
    </row>
    <row r="815">
      <c r="A815" s="9" t="n">
        <v>154493</v>
      </c>
      <c r="B815" s="9" t="inlineStr">
        <is>
          <t>Upper Iowa University</t>
        </is>
      </c>
      <c r="C815" s="9" t="inlineStr">
        <is>
          <t>Fayette</t>
        </is>
      </c>
      <c r="D815" s="9" t="inlineStr">
        <is>
          <t>IA</t>
        </is>
      </c>
      <c r="E815" s="9" t="inlineStr">
        <is>
          <t>Private</t>
        </is>
      </c>
      <c r="F815" s="11" t="n">
        <v>20942</v>
      </c>
      <c r="G815" s="11" t="n">
        <v>52766</v>
      </c>
      <c r="H815" s="9">
        <f>COUNTIF($G$5:$G$1531,"&gt;"&amp;G815)+1</f>
        <v/>
      </c>
      <c r="I815" s="9" t="inlineStr"/>
      <c r="J815" s="11">
        <f>IF(E815="Private",F815,"")</f>
        <v/>
      </c>
      <c r="K815" s="11">
        <f>IF(E815="Private",G815,"")</f>
        <v/>
      </c>
    </row>
    <row r="816">
      <c r="A816" s="9" t="n">
        <v>185129</v>
      </c>
      <c r="B816" s="9" t="inlineStr">
        <is>
          <t>New Jersey City University</t>
        </is>
      </c>
      <c r="C816" s="9" t="inlineStr">
        <is>
          <t>Jersey City</t>
        </is>
      </c>
      <c r="D816" s="9" t="inlineStr">
        <is>
          <t>NJ</t>
        </is>
      </c>
      <c r="E816" s="9" t="inlineStr">
        <is>
          <t>Public</t>
        </is>
      </c>
      <c r="F816" s="11" t="n">
        <v>16053</v>
      </c>
      <c r="G816" s="11" t="n">
        <v>52745</v>
      </c>
      <c r="H816" s="9">
        <f>COUNTIF($G$5:$G$1531,"&gt;"&amp;G816)+1</f>
        <v/>
      </c>
      <c r="I816" s="9" t="inlineStr"/>
      <c r="J816" s="11">
        <f>IF(E816="Private",F816,"")</f>
        <v/>
      </c>
      <c r="K816" s="11">
        <f>IF(E816="Private",G816,"")</f>
        <v/>
      </c>
    </row>
    <row r="817">
      <c r="A817" s="9" t="n">
        <v>200572</v>
      </c>
      <c r="B817" s="9" t="inlineStr">
        <is>
          <t>Valley City State University</t>
        </is>
      </c>
      <c r="C817" s="9" t="inlineStr">
        <is>
          <t>Valley City</t>
        </is>
      </c>
      <c r="D817" s="9" t="inlineStr">
        <is>
          <t>ND</t>
        </is>
      </c>
      <c r="E817" s="9" t="inlineStr">
        <is>
          <t>Public</t>
        </is>
      </c>
      <c r="F817" s="11" t="n">
        <v>11890</v>
      </c>
      <c r="G817" s="11" t="n">
        <v>52725</v>
      </c>
      <c r="H817" s="9">
        <f>COUNTIF($G$5:$G$1531,"&gt;"&amp;G817)+1</f>
        <v/>
      </c>
      <c r="I817" s="9" t="inlineStr"/>
      <c r="J817" s="11">
        <f>IF(E817="Private",F817,"")</f>
        <v/>
      </c>
      <c r="K817" s="11">
        <f>IF(E817="Private",G817,"")</f>
        <v/>
      </c>
    </row>
    <row r="818">
      <c r="A818" s="9" t="n">
        <v>199962</v>
      </c>
      <c r="B818" s="9" t="inlineStr">
        <is>
          <t>Wingate University</t>
        </is>
      </c>
      <c r="C818" s="9" t="inlineStr">
        <is>
          <t>Wingate</t>
        </is>
      </c>
      <c r="D818" s="9" t="inlineStr">
        <is>
          <t>NC</t>
        </is>
      </c>
      <c r="E818" s="9" t="inlineStr">
        <is>
          <t>Private</t>
        </is>
      </c>
      <c r="F818" s="11" t="n">
        <v>20748</v>
      </c>
      <c r="G818" s="11" t="n">
        <v>52649</v>
      </c>
      <c r="H818" s="9">
        <f>COUNTIF($G$5:$G$1531,"&gt;"&amp;G818)+1</f>
        <v/>
      </c>
      <c r="I818" s="9" t="inlineStr"/>
      <c r="J818" s="11">
        <f>IF(E818="Private",F818,"")</f>
        <v/>
      </c>
      <c r="K818" s="11">
        <f>IF(E818="Private",G818,"")</f>
        <v/>
      </c>
    </row>
    <row r="819">
      <c r="A819" s="9" t="n">
        <v>204857</v>
      </c>
      <c r="B819" s="9" t="inlineStr">
        <is>
          <t>Ohio University-Main Campus</t>
        </is>
      </c>
      <c r="C819" s="9" t="inlineStr">
        <is>
          <t>Athens</t>
        </is>
      </c>
      <c r="D819" s="9" t="inlineStr">
        <is>
          <t>OH</t>
        </is>
      </c>
      <c r="E819" s="9" t="inlineStr">
        <is>
          <t>Public</t>
        </is>
      </c>
      <c r="F819" s="11" t="n">
        <v>21637</v>
      </c>
      <c r="G819" s="11" t="n">
        <v>52581</v>
      </c>
      <c r="H819" s="9">
        <f>COUNTIF($G$5:$G$1531,"&gt;"&amp;G819)+1</f>
        <v/>
      </c>
      <c r="I819" s="9" t="inlineStr"/>
      <c r="J819" s="11">
        <f>IF(E819="Private",F819,"")</f>
        <v/>
      </c>
      <c r="K819" s="11">
        <f>IF(E819="Private",G819,"")</f>
        <v/>
      </c>
    </row>
    <row r="820">
      <c r="A820" s="9" t="n">
        <v>145691</v>
      </c>
      <c r="B820" s="9" t="inlineStr">
        <is>
          <t>Illinois College</t>
        </is>
      </c>
      <c r="C820" s="9" t="inlineStr">
        <is>
          <t>Jacksonville</t>
        </is>
      </c>
      <c r="D820" s="9" t="inlineStr">
        <is>
          <t>IL</t>
        </is>
      </c>
      <c r="E820" s="9" t="inlineStr">
        <is>
          <t>Private</t>
        </is>
      </c>
      <c r="F820" s="11" t="n">
        <v>18298</v>
      </c>
      <c r="G820" s="11" t="n">
        <v>52575</v>
      </c>
      <c r="H820" s="9">
        <f>COUNTIF($G$5:$G$1531,"&gt;"&amp;G820)+1</f>
        <v/>
      </c>
      <c r="I820" s="9" t="inlineStr"/>
      <c r="J820" s="11">
        <f>IF(E820="Private",F820,"")</f>
        <v/>
      </c>
      <c r="K820" s="11">
        <f>IF(E820="Private",G820,"")</f>
        <v/>
      </c>
    </row>
    <row r="821">
      <c r="A821" s="9" t="n">
        <v>366252</v>
      </c>
      <c r="B821" s="9" t="inlineStr">
        <is>
          <t>Pennsylvania College of Technology</t>
        </is>
      </c>
      <c r="C821" s="9" t="inlineStr">
        <is>
          <t>Williamsport</t>
        </is>
      </c>
      <c r="D821" s="9" t="inlineStr">
        <is>
          <t>PA</t>
        </is>
      </c>
      <c r="E821" s="9" t="inlineStr">
        <is>
          <t>Public</t>
        </is>
      </c>
      <c r="F821" s="11" t="n">
        <v>25110</v>
      </c>
      <c r="G821" s="11" t="n">
        <v>52567</v>
      </c>
      <c r="H821" s="9">
        <f>COUNTIF($G$5:$G$1531,"&gt;"&amp;G821)+1</f>
        <v/>
      </c>
      <c r="I821" s="9" t="inlineStr"/>
      <c r="J821" s="11">
        <f>IF(E821="Private",F821,"")</f>
        <v/>
      </c>
      <c r="K821" s="11">
        <f>IF(E821="Private",G821,"")</f>
        <v/>
      </c>
    </row>
    <row r="822">
      <c r="A822" s="9" t="n">
        <v>153250</v>
      </c>
      <c r="B822" s="9" t="inlineStr">
        <is>
          <t>Dordt University</t>
        </is>
      </c>
      <c r="C822" s="9" t="inlineStr">
        <is>
          <t>Sioux Center</t>
        </is>
      </c>
      <c r="D822" s="9" t="inlineStr">
        <is>
          <t>IA</t>
        </is>
      </c>
      <c r="E822" s="9" t="inlineStr">
        <is>
          <t>Private</t>
        </is>
      </c>
      <c r="F822" s="11" t="n">
        <v>25807</v>
      </c>
      <c r="G822" s="11" t="n">
        <v>52559</v>
      </c>
      <c r="H822" s="9">
        <f>COUNTIF($G$5:$G$1531,"&gt;"&amp;G822)+1</f>
        <v/>
      </c>
      <c r="I822" s="9" t="inlineStr"/>
      <c r="J822" s="11">
        <f>IF(E822="Private",F822,"")</f>
        <v/>
      </c>
      <c r="K822" s="11">
        <f>IF(E822="Private",G822,"")</f>
        <v/>
      </c>
    </row>
    <row r="823">
      <c r="A823" s="9" t="n">
        <v>240277</v>
      </c>
      <c r="B823" s="9" t="inlineStr">
        <is>
          <t>University of Wisconsin-Green Bay</t>
        </is>
      </c>
      <c r="C823" s="9" t="inlineStr">
        <is>
          <t>Green Bay</t>
        </is>
      </c>
      <c r="D823" s="9" t="inlineStr">
        <is>
          <t>WI</t>
        </is>
      </c>
      <c r="E823" s="9" t="inlineStr">
        <is>
          <t>Public</t>
        </is>
      </c>
      <c r="F823" s="11" t="n">
        <v>13369</v>
      </c>
      <c r="G823" s="11" t="n">
        <v>52528</v>
      </c>
      <c r="H823" s="9">
        <f>COUNTIF($G$5:$G$1531,"&gt;"&amp;G823)+1</f>
        <v/>
      </c>
      <c r="I823" s="9" t="inlineStr"/>
      <c r="J823" s="11">
        <f>IF(E823="Private",F823,"")</f>
        <v/>
      </c>
      <c r="K823" s="11">
        <f>IF(E823="Private",G823,"")</f>
        <v/>
      </c>
    </row>
    <row r="824">
      <c r="A824" s="9" t="n">
        <v>180984</v>
      </c>
      <c r="B824" s="9" t="inlineStr">
        <is>
          <t>Concordia University-Nebraska</t>
        </is>
      </c>
      <c r="C824" s="9" t="inlineStr">
        <is>
          <t>Seward</t>
        </is>
      </c>
      <c r="D824" s="9" t="inlineStr">
        <is>
          <t>NE</t>
        </is>
      </c>
      <c r="E824" s="9" t="inlineStr">
        <is>
          <t>Private</t>
        </is>
      </c>
      <c r="F824" s="11" t="n">
        <v>23965</v>
      </c>
      <c r="G824" s="11" t="n">
        <v>52415</v>
      </c>
      <c r="H824" s="9">
        <f>COUNTIF($G$5:$G$1531,"&gt;"&amp;G824)+1</f>
        <v/>
      </c>
      <c r="I824" s="9" t="inlineStr"/>
      <c r="J824" s="11">
        <f>IF(E824="Private",F824,"")</f>
        <v/>
      </c>
      <c r="K824" s="11">
        <f>IF(E824="Private",G824,"")</f>
        <v/>
      </c>
    </row>
    <row r="825">
      <c r="A825" s="9" t="n">
        <v>211556</v>
      </c>
      <c r="B825" s="9" t="inlineStr">
        <is>
          <t>Chatham University</t>
        </is>
      </c>
      <c r="C825" s="9" t="inlineStr">
        <is>
          <t>Pittsburgh</t>
        </is>
      </c>
      <c r="D825" s="9" t="inlineStr">
        <is>
          <t>PA</t>
        </is>
      </c>
      <c r="E825" s="9" t="inlineStr">
        <is>
          <t>Private</t>
        </is>
      </c>
      <c r="F825" s="11" t="n">
        <v>29954</v>
      </c>
      <c r="G825" s="11" t="n">
        <v>52410</v>
      </c>
      <c r="H825" s="9">
        <f>COUNTIF($G$5:$G$1531,"&gt;"&amp;G825)+1</f>
        <v/>
      </c>
      <c r="I825" s="9" t="inlineStr"/>
      <c r="J825" s="11">
        <f>IF(E825="Private",F825,"")</f>
        <v/>
      </c>
      <c r="K825" s="11">
        <f>IF(E825="Private",G825,"")</f>
        <v/>
      </c>
    </row>
    <row r="826">
      <c r="A826" s="9" t="n">
        <v>446640</v>
      </c>
      <c r="B826" s="9" t="inlineStr">
        <is>
          <t>Harrisburg University of Science and Technology</t>
        </is>
      </c>
      <c r="C826" s="9" t="inlineStr">
        <is>
          <t>Harrisburg</t>
        </is>
      </c>
      <c r="D826" s="9" t="inlineStr">
        <is>
          <t>PA</t>
        </is>
      </c>
      <c r="E826" s="9" t="inlineStr">
        <is>
          <t>Private</t>
        </is>
      </c>
      <c r="F826" s="11" t="n">
        <v>15376</v>
      </c>
      <c r="G826" s="11" t="n">
        <v>52374</v>
      </c>
      <c r="H826" s="9">
        <f>COUNTIF($G$5:$G$1531,"&gt;"&amp;G826)+1</f>
        <v/>
      </c>
      <c r="I826" s="9" t="inlineStr"/>
      <c r="J826" s="11">
        <f>IF(E826="Private",F826,"")</f>
        <v/>
      </c>
      <c r="K826" s="11">
        <f>IF(E826="Private",G826,"")</f>
        <v/>
      </c>
    </row>
    <row r="827">
      <c r="A827" s="9" t="n">
        <v>165866</v>
      </c>
      <c r="B827" s="9" t="inlineStr">
        <is>
          <t>Framingham State University</t>
        </is>
      </c>
      <c r="C827" s="9" t="inlineStr">
        <is>
          <t>Framingham</t>
        </is>
      </c>
      <c r="D827" s="9" t="inlineStr">
        <is>
          <t>MA</t>
        </is>
      </c>
      <c r="E827" s="9" t="inlineStr">
        <is>
          <t>Public</t>
        </is>
      </c>
      <c r="F827" s="11" t="n">
        <v>16114</v>
      </c>
      <c r="G827" s="11" t="n">
        <v>52349</v>
      </c>
      <c r="H827" s="9">
        <f>COUNTIF($G$5:$G$1531,"&gt;"&amp;G827)+1</f>
        <v/>
      </c>
      <c r="I827" s="9" t="inlineStr"/>
      <c r="J827" s="11">
        <f>IF(E827="Private",F827,"")</f>
        <v/>
      </c>
      <c r="K827" s="11">
        <f>IF(E827="Private",G827,"")</f>
        <v/>
      </c>
    </row>
    <row r="828">
      <c r="A828" s="9" t="n">
        <v>232566</v>
      </c>
      <c r="B828" s="9" t="inlineStr">
        <is>
          <t>Longwood University</t>
        </is>
      </c>
      <c r="C828" s="9" t="inlineStr">
        <is>
          <t>Farmville</t>
        </is>
      </c>
      <c r="D828" s="9" t="inlineStr">
        <is>
          <t>VA</t>
        </is>
      </c>
      <c r="E828" s="9" t="inlineStr">
        <is>
          <t>Public</t>
        </is>
      </c>
      <c r="F828" s="11" t="n">
        <v>19066</v>
      </c>
      <c r="G828" s="11" t="n">
        <v>52347</v>
      </c>
      <c r="H828" s="9">
        <f>COUNTIF($G$5:$G$1531,"&gt;"&amp;G828)+1</f>
        <v/>
      </c>
      <c r="I828" s="9" t="inlineStr"/>
      <c r="J828" s="11">
        <f>IF(E828="Private",F828,"")</f>
        <v/>
      </c>
      <c r="K828" s="11">
        <f>IF(E828="Private",G828,"")</f>
        <v/>
      </c>
    </row>
    <row r="829">
      <c r="A829" s="9" t="n">
        <v>141486</v>
      </c>
      <c r="B829" s="9" t="inlineStr">
        <is>
          <t>Chaminade University of Honolulu</t>
        </is>
      </c>
      <c r="C829" s="9" t="inlineStr">
        <is>
          <t>Honolulu</t>
        </is>
      </c>
      <c r="D829" s="9" t="inlineStr">
        <is>
          <t>HI</t>
        </is>
      </c>
      <c r="E829" s="9" t="inlineStr">
        <is>
          <t>Private</t>
        </is>
      </c>
      <c r="F829" s="11" t="n">
        <v>28856</v>
      </c>
      <c r="G829" s="11" t="n">
        <v>52343</v>
      </c>
      <c r="H829" s="9">
        <f>COUNTIF($G$5:$G$1531,"&gt;"&amp;G829)+1</f>
        <v/>
      </c>
      <c r="I829" s="9" t="inlineStr"/>
      <c r="J829" s="11">
        <f>IF(E829="Private",F829,"")</f>
        <v/>
      </c>
      <c r="K829" s="11">
        <f>IF(E829="Private",G829,"")</f>
        <v/>
      </c>
    </row>
    <row r="830">
      <c r="A830" s="9" t="n">
        <v>213358</v>
      </c>
      <c r="B830" s="9" t="inlineStr">
        <is>
          <t>La Roche University</t>
        </is>
      </c>
      <c r="C830" s="9" t="inlineStr">
        <is>
          <t>Pittsburgh</t>
        </is>
      </c>
      <c r="D830" s="9" t="inlineStr">
        <is>
          <t>PA</t>
        </is>
      </c>
      <c r="E830" s="9" t="inlineStr">
        <is>
          <t>Private</t>
        </is>
      </c>
      <c r="F830" s="11" t="n">
        <v>20794</v>
      </c>
      <c r="G830" s="11" t="n">
        <v>52341</v>
      </c>
      <c r="H830" s="9">
        <f>COUNTIF($G$5:$G$1531,"&gt;"&amp;G830)+1</f>
        <v/>
      </c>
      <c r="I830" s="9" t="inlineStr"/>
      <c r="J830" s="11">
        <f>IF(E830="Private",F830,"")</f>
        <v/>
      </c>
      <c r="K830" s="11">
        <f>IF(E830="Private",G830,"")</f>
        <v/>
      </c>
    </row>
    <row r="831">
      <c r="A831" s="9" t="n">
        <v>196130</v>
      </c>
      <c r="B831" s="9" t="inlineStr">
        <is>
          <t>SUNY Buffalo State University</t>
        </is>
      </c>
      <c r="C831" s="9" t="inlineStr">
        <is>
          <t>Buffalo</t>
        </is>
      </c>
      <c r="D831" s="9" t="inlineStr">
        <is>
          <t>NY</t>
        </is>
      </c>
      <c r="E831" s="9" t="inlineStr">
        <is>
          <t>Public</t>
        </is>
      </c>
      <c r="F831" s="11" t="n">
        <v>11346</v>
      </c>
      <c r="G831" s="11" t="n">
        <v>52334</v>
      </c>
      <c r="H831" s="9">
        <f>COUNTIF($G$5:$G$1531,"&gt;"&amp;G831)+1</f>
        <v/>
      </c>
      <c r="I831" s="9" t="inlineStr"/>
      <c r="J831" s="11">
        <f>IF(E831="Private",F831,"")</f>
        <v/>
      </c>
      <c r="K831" s="11">
        <f>IF(E831="Private",G831,"")</f>
        <v/>
      </c>
    </row>
    <row r="832">
      <c r="A832" s="9" t="n">
        <v>159647</v>
      </c>
      <c r="B832" s="9" t="inlineStr">
        <is>
          <t>Louisiana Tech University</t>
        </is>
      </c>
      <c r="C832" s="9" t="inlineStr">
        <is>
          <t>Ruston</t>
        </is>
      </c>
      <c r="D832" s="9" t="inlineStr">
        <is>
          <t>LA</t>
        </is>
      </c>
      <c r="E832" s="9" t="inlineStr">
        <is>
          <t>Public</t>
        </is>
      </c>
      <c r="F832" s="11" t="n">
        <v>11864</v>
      </c>
      <c r="G832" s="11" t="n">
        <v>52279</v>
      </c>
      <c r="H832" s="9">
        <f>COUNTIF($G$5:$G$1531,"&gt;"&amp;G832)+1</f>
        <v/>
      </c>
      <c r="I832" s="9" t="inlineStr"/>
      <c r="J832" s="11">
        <f>IF(E832="Private",F832,"")</f>
        <v/>
      </c>
      <c r="K832" s="11">
        <f>IF(E832="Private",G832,"")</f>
        <v/>
      </c>
    </row>
    <row r="833">
      <c r="A833" s="9" t="n">
        <v>183211</v>
      </c>
      <c r="B833" s="9" t="inlineStr">
        <is>
          <t>Rivier University</t>
        </is>
      </c>
      <c r="C833" s="9" t="inlineStr">
        <is>
          <t>Nashua</t>
        </is>
      </c>
      <c r="D833" s="9" t="inlineStr">
        <is>
          <t>NH</t>
        </is>
      </c>
      <c r="E833" s="9" t="inlineStr">
        <is>
          <t>Private</t>
        </is>
      </c>
      <c r="F833" s="11" t="n">
        <v>28082</v>
      </c>
      <c r="G833" s="11" t="n">
        <v>52248</v>
      </c>
      <c r="H833" s="9">
        <f>COUNTIF($G$5:$G$1531,"&gt;"&amp;G833)+1</f>
        <v/>
      </c>
      <c r="I833" s="9" t="inlineStr"/>
      <c r="J833" s="11">
        <f>IF(E833="Private",F833,"")</f>
        <v/>
      </c>
      <c r="K833" s="11">
        <f>IF(E833="Private",G833,"")</f>
        <v/>
      </c>
    </row>
    <row r="834">
      <c r="A834" s="9" t="n">
        <v>147776</v>
      </c>
      <c r="B834" s="9" t="inlineStr">
        <is>
          <t>Northeastern Illinois University</t>
        </is>
      </c>
      <c r="C834" s="9" t="inlineStr">
        <is>
          <t>Chicago</t>
        </is>
      </c>
      <c r="D834" s="9" t="inlineStr">
        <is>
          <t>IL</t>
        </is>
      </c>
      <c r="E834" s="9" t="inlineStr">
        <is>
          <t>Public</t>
        </is>
      </c>
      <c r="F834" s="11" t="n">
        <v>14109</v>
      </c>
      <c r="G834" s="11" t="n">
        <v>52234</v>
      </c>
      <c r="H834" s="9">
        <f>COUNTIF($G$5:$G$1531,"&gt;"&amp;G834)+1</f>
        <v/>
      </c>
      <c r="I834" s="9" t="inlineStr"/>
      <c r="J834" s="11">
        <f>IF(E834="Private",F834,"")</f>
        <v/>
      </c>
      <c r="K834" s="11">
        <f>IF(E834="Private",G834,"")</f>
        <v/>
      </c>
    </row>
    <row r="835">
      <c r="A835" s="9" t="n">
        <v>127741</v>
      </c>
      <c r="B835" s="9" t="inlineStr">
        <is>
          <t>University of Northern Colorado</t>
        </is>
      </c>
      <c r="C835" s="9" t="inlineStr">
        <is>
          <t>Greeley</t>
        </is>
      </c>
      <c r="D835" s="9" t="inlineStr">
        <is>
          <t>CO</t>
        </is>
      </c>
      <c r="E835" s="9" t="inlineStr">
        <is>
          <t>Public</t>
        </is>
      </c>
      <c r="F835" s="11" t="n">
        <v>17760</v>
      </c>
      <c r="G835" s="11" t="n">
        <v>52231</v>
      </c>
      <c r="H835" s="9">
        <f>COUNTIF($G$5:$G$1531,"&gt;"&amp;G835)+1</f>
        <v/>
      </c>
      <c r="I835" s="9" t="inlineStr"/>
      <c r="J835" s="11">
        <f>IF(E835="Private",F835,"")</f>
        <v/>
      </c>
      <c r="K835" s="11">
        <f>IF(E835="Private",G835,"")</f>
        <v/>
      </c>
    </row>
    <row r="836">
      <c r="A836" s="9" t="n">
        <v>228042</v>
      </c>
      <c r="B836" s="9" t="inlineStr">
        <is>
          <t>Schreiner University</t>
        </is>
      </c>
      <c r="C836" s="9" t="inlineStr">
        <is>
          <t>Kerrville</t>
        </is>
      </c>
      <c r="D836" s="9" t="inlineStr">
        <is>
          <t>TX</t>
        </is>
      </c>
      <c r="E836" s="9" t="inlineStr">
        <is>
          <t>Private</t>
        </is>
      </c>
      <c r="F836" s="11" t="n">
        <v>21507</v>
      </c>
      <c r="G836" s="11" t="n">
        <v>52228</v>
      </c>
      <c r="H836" s="9">
        <f>COUNTIF($G$5:$G$1531,"&gt;"&amp;G836)+1</f>
        <v/>
      </c>
      <c r="I836" s="9" t="inlineStr"/>
      <c r="J836" s="11">
        <f>IF(E836="Private",F836,"")</f>
        <v/>
      </c>
      <c r="K836" s="11">
        <f>IF(E836="Private",G836,"")</f>
        <v/>
      </c>
    </row>
    <row r="837">
      <c r="A837" s="9" t="n">
        <v>179946</v>
      </c>
      <c r="B837" s="9" t="inlineStr">
        <is>
          <t>Westminster College (Fulton, MO)</t>
        </is>
      </c>
      <c r="C837" s="9" t="inlineStr">
        <is>
          <t>Fulton</t>
        </is>
      </c>
      <c r="D837" s="9" t="inlineStr">
        <is>
          <t>MO</t>
        </is>
      </c>
      <c r="E837" s="9" t="inlineStr">
        <is>
          <t>Private</t>
        </is>
      </c>
      <c r="F837" s="11" t="n">
        <v>24314</v>
      </c>
      <c r="G837" s="11" t="n">
        <v>52199</v>
      </c>
      <c r="H837" s="9">
        <f>COUNTIF($G$5:$G$1531,"&gt;"&amp;G837)+1</f>
        <v/>
      </c>
      <c r="I837" s="9" t="inlineStr"/>
      <c r="J837" s="11">
        <f>IF(E837="Private",F837,"")</f>
        <v/>
      </c>
      <c r="K837" s="11">
        <f>IF(E837="Private",G837,"")</f>
        <v/>
      </c>
    </row>
    <row r="838">
      <c r="A838" s="9" t="n">
        <v>152530</v>
      </c>
      <c r="B838" s="9" t="inlineStr">
        <is>
          <t>Taylor University</t>
        </is>
      </c>
      <c r="C838" s="9" t="inlineStr">
        <is>
          <t>Upland</t>
        </is>
      </c>
      <c r="D838" s="9" t="inlineStr">
        <is>
          <t>IN</t>
        </is>
      </c>
      <c r="E838" s="9" t="inlineStr">
        <is>
          <t>Private</t>
        </is>
      </c>
      <c r="F838" s="11" t="n">
        <v>24865</v>
      </c>
      <c r="G838" s="11" t="n">
        <v>52198</v>
      </c>
      <c r="H838" s="9">
        <f>COUNTIF($G$5:$G$1531,"&gt;"&amp;G838)+1</f>
        <v/>
      </c>
      <c r="I838" s="9" t="inlineStr"/>
      <c r="J838" s="11">
        <f>IF(E838="Private",F838,"")</f>
        <v/>
      </c>
      <c r="K838" s="11">
        <f>IF(E838="Private",G838,"")</f>
        <v/>
      </c>
    </row>
    <row r="839">
      <c r="A839" s="9" t="n">
        <v>160904</v>
      </c>
      <c r="B839" s="9" t="inlineStr">
        <is>
          <t>Xavier University of Louisiana</t>
        </is>
      </c>
      <c r="C839" s="9" t="inlineStr">
        <is>
          <t>New Orleans</t>
        </is>
      </c>
      <c r="D839" s="9" t="inlineStr">
        <is>
          <t>LA</t>
        </is>
      </c>
      <c r="E839" s="9" t="inlineStr">
        <is>
          <t>Private</t>
        </is>
      </c>
      <c r="F839" s="11" t="n">
        <v>17127</v>
      </c>
      <c r="G839" s="11" t="n">
        <v>52184</v>
      </c>
      <c r="H839" s="9">
        <f>COUNTIF($G$5:$G$1531,"&gt;"&amp;G839)+1</f>
        <v/>
      </c>
      <c r="I839" s="9" t="inlineStr"/>
      <c r="J839" s="11">
        <f>IF(E839="Private",F839,"")</f>
        <v/>
      </c>
      <c r="K839" s="11">
        <f>IF(E839="Private",G839,"")</f>
        <v/>
      </c>
    </row>
    <row r="840">
      <c r="A840" s="9" t="n">
        <v>181330</v>
      </c>
      <c r="B840" s="9" t="inlineStr">
        <is>
          <t>Midland University</t>
        </is>
      </c>
      <c r="C840" s="9" t="inlineStr">
        <is>
          <t>Fremont</t>
        </is>
      </c>
      <c r="D840" s="9" t="inlineStr">
        <is>
          <t>NE</t>
        </is>
      </c>
      <c r="E840" s="9" t="inlineStr">
        <is>
          <t>Private</t>
        </is>
      </c>
      <c r="F840" s="11" t="n">
        <v>26267</v>
      </c>
      <c r="G840" s="11" t="n">
        <v>52163</v>
      </c>
      <c r="H840" s="9">
        <f>COUNTIF($G$5:$G$1531,"&gt;"&amp;G840)+1</f>
        <v/>
      </c>
      <c r="I840" s="9" t="inlineStr"/>
      <c r="J840" s="11">
        <f>IF(E840="Private",F840,"")</f>
        <v/>
      </c>
      <c r="K840" s="11">
        <f>IF(E840="Private",G840,"")</f>
        <v/>
      </c>
    </row>
    <row r="841">
      <c r="A841" s="9" t="n">
        <v>202134</v>
      </c>
      <c r="B841" s="9" t="inlineStr">
        <is>
          <t>Cleveland State University</t>
        </is>
      </c>
      <c r="C841" s="9" t="inlineStr">
        <is>
          <t>Cleveland</t>
        </is>
      </c>
      <c r="D841" s="9" t="inlineStr">
        <is>
          <t>OH</t>
        </is>
      </c>
      <c r="E841" s="9" t="inlineStr">
        <is>
          <t>Public</t>
        </is>
      </c>
      <c r="F841" s="11" t="n">
        <v>14764</v>
      </c>
      <c r="G841" s="11" t="n">
        <v>52131</v>
      </c>
      <c r="H841" s="9">
        <f>COUNTIF($G$5:$G$1531,"&gt;"&amp;G841)+1</f>
        <v/>
      </c>
      <c r="I841" s="9" t="inlineStr"/>
      <c r="J841" s="11">
        <f>IF(E841="Private",F841,"")</f>
        <v/>
      </c>
      <c r="K841" s="11">
        <f>IF(E841="Private",G841,"")</f>
        <v/>
      </c>
    </row>
    <row r="842">
      <c r="A842" s="9" t="n">
        <v>165936</v>
      </c>
      <c r="B842" s="9" t="inlineStr">
        <is>
          <t>Gordon College</t>
        </is>
      </c>
      <c r="C842" s="9" t="inlineStr">
        <is>
          <t>Wenham</t>
        </is>
      </c>
      <c r="D842" s="9" t="inlineStr">
        <is>
          <t>MA</t>
        </is>
      </c>
      <c r="E842" s="9" t="inlineStr">
        <is>
          <t>Private</t>
        </is>
      </c>
      <c r="F842" s="11" t="n">
        <v>24883</v>
      </c>
      <c r="G842" s="11" t="n">
        <v>52119</v>
      </c>
      <c r="H842" s="9">
        <f>COUNTIF($G$5:$G$1531,"&gt;"&amp;G842)+1</f>
        <v/>
      </c>
      <c r="I842" s="9" t="inlineStr"/>
      <c r="J842" s="11">
        <f>IF(E842="Private",F842,"")</f>
        <v/>
      </c>
      <c r="K842" s="11">
        <f>IF(E842="Private",G842,"")</f>
        <v/>
      </c>
    </row>
    <row r="843">
      <c r="A843" s="9" t="n">
        <v>155089</v>
      </c>
      <c r="B843" s="9" t="inlineStr">
        <is>
          <t>Friends University</t>
        </is>
      </c>
      <c r="C843" s="9" t="inlineStr">
        <is>
          <t>Wichita</t>
        </is>
      </c>
      <c r="D843" s="9" t="inlineStr">
        <is>
          <t>KS</t>
        </is>
      </c>
      <c r="E843" s="9" t="inlineStr">
        <is>
          <t>Private</t>
        </is>
      </c>
      <c r="F843" s="11" t="n">
        <v>27715</v>
      </c>
      <c r="G843" s="11" t="n">
        <v>52113</v>
      </c>
      <c r="H843" s="9">
        <f>COUNTIF($G$5:$G$1531,"&gt;"&amp;G843)+1</f>
        <v/>
      </c>
      <c r="I843" s="9" t="inlineStr"/>
      <c r="J843" s="11">
        <f>IF(E843="Private",F843,"")</f>
        <v/>
      </c>
      <c r="K843" s="11">
        <f>IF(E843="Private",G843,"")</f>
        <v/>
      </c>
    </row>
    <row r="844">
      <c r="A844" s="9" t="n">
        <v>127565</v>
      </c>
      <c r="B844" s="9" t="inlineStr">
        <is>
          <t>Metropolitan State University of Denver</t>
        </is>
      </c>
      <c r="C844" s="9" t="inlineStr">
        <is>
          <t>Denver</t>
        </is>
      </c>
      <c r="D844" s="9" t="inlineStr">
        <is>
          <t>CO</t>
        </is>
      </c>
      <c r="E844" s="9" t="inlineStr">
        <is>
          <t>Public</t>
        </is>
      </c>
      <c r="F844" s="11" t="n">
        <v>15327</v>
      </c>
      <c r="G844" s="11" t="n">
        <v>52093</v>
      </c>
      <c r="H844" s="9">
        <f>COUNTIF($G$5:$G$1531,"&gt;"&amp;G844)+1</f>
        <v/>
      </c>
      <c r="I844" s="9" t="inlineStr"/>
      <c r="J844" s="11">
        <f>IF(E844="Private",F844,"")</f>
        <v/>
      </c>
      <c r="K844" s="11">
        <f>IF(E844="Private",G844,"")</f>
        <v/>
      </c>
    </row>
    <row r="845">
      <c r="A845" s="9" t="n">
        <v>155511</v>
      </c>
      <c r="B845" s="9" t="inlineStr">
        <is>
          <t>McPherson College</t>
        </is>
      </c>
      <c r="C845" s="9" t="inlineStr">
        <is>
          <t>McPherson</t>
        </is>
      </c>
      <c r="D845" s="9" t="inlineStr">
        <is>
          <t>KS</t>
        </is>
      </c>
      <c r="E845" s="9" t="inlineStr">
        <is>
          <t>Private</t>
        </is>
      </c>
      <c r="F845" s="11" t="n">
        <v>26441</v>
      </c>
      <c r="G845" s="11" t="n">
        <v>52084</v>
      </c>
      <c r="H845" s="9">
        <f>COUNTIF($G$5:$G$1531,"&gt;"&amp;G845)+1</f>
        <v/>
      </c>
      <c r="I845" s="9" t="inlineStr"/>
      <c r="J845" s="11">
        <f>IF(E845="Private",F845,"")</f>
        <v/>
      </c>
      <c r="K845" s="11">
        <f>IF(E845="Private",G845,"")</f>
        <v/>
      </c>
    </row>
    <row r="846">
      <c r="A846" s="9" t="n">
        <v>141981</v>
      </c>
      <c r="B846" s="9" t="inlineStr">
        <is>
          <t>University of Hawaii-West Oahu</t>
        </is>
      </c>
      <c r="C846" s="9" t="inlineStr">
        <is>
          <t>Kapolei</t>
        </is>
      </c>
      <c r="D846" s="9" t="inlineStr">
        <is>
          <t>HI</t>
        </is>
      </c>
      <c r="E846" s="9" t="inlineStr">
        <is>
          <t>Public</t>
        </is>
      </c>
      <c r="F846" s="11" t="n">
        <v>10327</v>
      </c>
      <c r="G846" s="11" t="n">
        <v>52075</v>
      </c>
      <c r="H846" s="9">
        <f>COUNTIF($G$5:$G$1531,"&gt;"&amp;G846)+1</f>
        <v/>
      </c>
      <c r="I846" s="9" t="inlineStr"/>
      <c r="J846" s="11">
        <f>IF(E846="Private",F846,"")</f>
        <v/>
      </c>
      <c r="K846" s="11">
        <f>IF(E846="Private",G846,"")</f>
        <v/>
      </c>
    </row>
    <row r="847">
      <c r="A847" s="9" t="n">
        <v>156745</v>
      </c>
      <c r="B847" s="9" t="inlineStr">
        <is>
          <t>Georgetown College</t>
        </is>
      </c>
      <c r="C847" s="9" t="inlineStr">
        <is>
          <t>Georgetown</t>
        </is>
      </c>
      <c r="D847" s="9" t="inlineStr">
        <is>
          <t>KY</t>
        </is>
      </c>
      <c r="E847" s="9" t="inlineStr">
        <is>
          <t>Private</t>
        </is>
      </c>
      <c r="F847" s="11" t="n">
        <v>14095</v>
      </c>
      <c r="G847" s="11" t="n">
        <v>52074</v>
      </c>
      <c r="H847" s="9">
        <f>COUNTIF($G$5:$G$1531,"&gt;"&amp;G847)+1</f>
        <v/>
      </c>
      <c r="I847" s="9" t="inlineStr"/>
      <c r="J847" s="11">
        <f>IF(E847="Private",F847,"")</f>
        <v/>
      </c>
      <c r="K847" s="11">
        <f>IF(E847="Private",G847,"")</f>
        <v/>
      </c>
    </row>
    <row r="848">
      <c r="A848" s="9" t="n">
        <v>230047</v>
      </c>
      <c r="B848" s="9" t="inlineStr">
        <is>
          <t>Brigham Young University-Hawaii</t>
        </is>
      </c>
      <c r="C848" s="9" t="inlineStr">
        <is>
          <t>Laie</t>
        </is>
      </c>
      <c r="D848" s="9" t="inlineStr">
        <is>
          <t>HI</t>
        </is>
      </c>
      <c r="E848" s="9" t="inlineStr">
        <is>
          <t>Private</t>
        </is>
      </c>
      <c r="F848" s="11" t="n">
        <v>16774</v>
      </c>
      <c r="G848" s="11" t="n">
        <v>52064</v>
      </c>
      <c r="H848" s="9">
        <f>COUNTIF($G$5:$G$1531,"&gt;"&amp;G848)+1</f>
        <v/>
      </c>
      <c r="I848" s="9" t="inlineStr"/>
      <c r="J848" s="11">
        <f>IF(E848="Private",F848,"")</f>
        <v/>
      </c>
      <c r="K848" s="11">
        <f>IF(E848="Private",G848,"")</f>
        <v/>
      </c>
    </row>
    <row r="849">
      <c r="A849" s="9" t="n">
        <v>193016</v>
      </c>
      <c r="B849" s="9" t="inlineStr">
        <is>
          <t>Mercy University</t>
        </is>
      </c>
      <c r="C849" s="9" t="inlineStr">
        <is>
          <t>Dobbs Ferry</t>
        </is>
      </c>
      <c r="D849" s="9" t="inlineStr">
        <is>
          <t>NY</t>
        </is>
      </c>
      <c r="E849" s="9" t="inlineStr">
        <is>
          <t>Private</t>
        </is>
      </c>
      <c r="F849" s="11" t="n">
        <v>14072</v>
      </c>
      <c r="G849" s="11" t="n">
        <v>52055</v>
      </c>
      <c r="H849" s="9">
        <f>COUNTIF($G$5:$G$1531,"&gt;"&amp;G849)+1</f>
        <v/>
      </c>
      <c r="I849" s="9" t="inlineStr"/>
      <c r="J849" s="11">
        <f>IF(E849="Private",F849,"")</f>
        <v/>
      </c>
      <c r="K849" s="11">
        <f>IF(E849="Private",G849,"")</f>
        <v/>
      </c>
    </row>
    <row r="850">
      <c r="A850" s="9" t="n">
        <v>240480</v>
      </c>
      <c r="B850" s="9" t="inlineStr">
        <is>
          <t>University of Wisconsin-Stevens Point</t>
        </is>
      </c>
      <c r="C850" s="9" t="inlineStr">
        <is>
          <t>Stevens Point</t>
        </is>
      </c>
      <c r="D850" s="9" t="inlineStr">
        <is>
          <t>WI</t>
        </is>
      </c>
      <c r="E850" s="9" t="inlineStr">
        <is>
          <t>Public</t>
        </is>
      </c>
      <c r="F850" s="11" t="n">
        <v>14559</v>
      </c>
      <c r="G850" s="11" t="n">
        <v>52021</v>
      </c>
      <c r="H850" s="9">
        <f>COUNTIF($G$5:$G$1531,"&gt;"&amp;G850)+1</f>
        <v/>
      </c>
      <c r="I850" s="9" t="inlineStr"/>
      <c r="J850" s="11">
        <f>IF(E850="Private",F850,"")</f>
        <v/>
      </c>
      <c r="K850" s="11">
        <f>IF(E850="Private",G850,"")</f>
        <v/>
      </c>
    </row>
    <row r="851">
      <c r="A851" s="9" t="n">
        <v>211583</v>
      </c>
      <c r="B851" s="9" t="inlineStr">
        <is>
          <t>Chestnut Hill College</t>
        </is>
      </c>
      <c r="C851" s="9" t="inlineStr">
        <is>
          <t>Philadelphia</t>
        </is>
      </c>
      <c r="D851" s="9" t="inlineStr">
        <is>
          <t>PA</t>
        </is>
      </c>
      <c r="E851" s="9" t="inlineStr">
        <is>
          <t>Private</t>
        </is>
      </c>
      <c r="F851" s="11" t="n">
        <v>27970</v>
      </c>
      <c r="G851" s="11" t="n">
        <v>52015</v>
      </c>
      <c r="H851" s="9">
        <f>COUNTIF($G$5:$G$1531,"&gt;"&amp;G851)+1</f>
        <v/>
      </c>
      <c r="I851" s="9" t="inlineStr"/>
      <c r="J851" s="11">
        <f>IF(E851="Private",F851,"")</f>
        <v/>
      </c>
      <c r="K851" s="11">
        <f>IF(E851="Private",G851,"")</f>
        <v/>
      </c>
    </row>
    <row r="852">
      <c r="A852" s="9" t="n">
        <v>144892</v>
      </c>
      <c r="B852" s="9" t="inlineStr">
        <is>
          <t>Eastern Illinois University</t>
        </is>
      </c>
      <c r="C852" s="9" t="inlineStr">
        <is>
          <t>Charleston</t>
        </is>
      </c>
      <c r="D852" s="9" t="inlineStr">
        <is>
          <t>IL</t>
        </is>
      </c>
      <c r="E852" s="9" t="inlineStr">
        <is>
          <t>Public</t>
        </is>
      </c>
      <c r="F852" s="11" t="n">
        <v>12786</v>
      </c>
      <c r="G852" s="11" t="n">
        <v>51989</v>
      </c>
      <c r="H852" s="9">
        <f>COUNTIF($G$5:$G$1531,"&gt;"&amp;G852)+1</f>
        <v/>
      </c>
      <c r="I852" s="9" t="inlineStr"/>
      <c r="J852" s="11">
        <f>IF(E852="Private",F852,"")</f>
        <v/>
      </c>
      <c r="K852" s="11">
        <f>IF(E852="Private",G852,"")</f>
        <v/>
      </c>
    </row>
    <row r="853">
      <c r="A853" s="9" t="n">
        <v>172051</v>
      </c>
      <c r="B853" s="9" t="inlineStr">
        <is>
          <t>Saginaw Valley State University</t>
        </is>
      </c>
      <c r="C853" s="9" t="inlineStr">
        <is>
          <t>University Center</t>
        </is>
      </c>
      <c r="D853" s="9" t="inlineStr">
        <is>
          <t>MI</t>
        </is>
      </c>
      <c r="E853" s="9" t="inlineStr">
        <is>
          <t>Public</t>
        </is>
      </c>
      <c r="F853" s="11" t="n">
        <v>10775</v>
      </c>
      <c r="G853" s="11" t="n">
        <v>51955</v>
      </c>
      <c r="H853" s="9">
        <f>COUNTIF($G$5:$G$1531,"&gt;"&amp;G853)+1</f>
        <v/>
      </c>
      <c r="I853" s="9" t="inlineStr"/>
      <c r="J853" s="11">
        <f>IF(E853="Private",F853,"")</f>
        <v/>
      </c>
      <c r="K853" s="11">
        <f>IF(E853="Private",G853,"")</f>
        <v/>
      </c>
    </row>
    <row r="854">
      <c r="A854" s="9" t="n">
        <v>233718</v>
      </c>
      <c r="B854" s="9" t="inlineStr">
        <is>
          <t>Sweet Briar College</t>
        </is>
      </c>
      <c r="C854" s="9" t="inlineStr">
        <is>
          <t>Sweet Briar</t>
        </is>
      </c>
      <c r="D854" s="9" t="inlineStr">
        <is>
          <t>VA</t>
        </is>
      </c>
      <c r="E854" s="9" t="inlineStr">
        <is>
          <t>Private</t>
        </is>
      </c>
      <c r="F854" s="11" t="n">
        <v>17758</v>
      </c>
      <c r="G854" s="11" t="n">
        <v>51943</v>
      </c>
      <c r="H854" s="9">
        <f>COUNTIF($G$5:$G$1531,"&gt;"&amp;G854)+1</f>
        <v/>
      </c>
      <c r="I854" s="9" t="inlineStr"/>
      <c r="J854" s="11">
        <f>IF(E854="Private",F854,"")</f>
        <v/>
      </c>
      <c r="K854" s="11">
        <f>IF(E854="Private",G854,"")</f>
        <v/>
      </c>
    </row>
    <row r="855">
      <c r="A855" s="9" t="n">
        <v>150668</v>
      </c>
      <c r="B855" s="9" t="inlineStr">
        <is>
          <t>Goshen College</t>
        </is>
      </c>
      <c r="C855" s="9" t="inlineStr">
        <is>
          <t>Goshen</t>
        </is>
      </c>
      <c r="D855" s="9" t="inlineStr">
        <is>
          <t>IN</t>
        </is>
      </c>
      <c r="E855" s="9" t="inlineStr">
        <is>
          <t>Private</t>
        </is>
      </c>
      <c r="F855" s="11" t="n">
        <v>14493</v>
      </c>
      <c r="G855" s="11" t="n">
        <v>51943</v>
      </c>
      <c r="H855" s="9">
        <f>COUNTIF($G$5:$G$1531,"&gt;"&amp;G855)+1</f>
        <v/>
      </c>
      <c r="I855" s="9" t="inlineStr"/>
      <c r="J855" s="11">
        <f>IF(E855="Private",F855,"")</f>
        <v/>
      </c>
      <c r="K855" s="11">
        <f>IF(E855="Private",G855,"")</f>
        <v/>
      </c>
    </row>
    <row r="856">
      <c r="A856" s="9" t="n">
        <v>219471</v>
      </c>
      <c r="B856" s="9" t="inlineStr">
        <is>
          <t>University of South Dakota</t>
        </is>
      </c>
      <c r="C856" s="9" t="inlineStr">
        <is>
          <t>Vermillion</t>
        </is>
      </c>
      <c r="D856" s="9" t="inlineStr">
        <is>
          <t>SD</t>
        </is>
      </c>
      <c r="E856" s="9" t="inlineStr">
        <is>
          <t>Public</t>
        </is>
      </c>
      <c r="F856" s="11" t="n">
        <v>19858</v>
      </c>
      <c r="G856" s="11" t="n">
        <v>51926</v>
      </c>
      <c r="H856" s="9">
        <f>COUNTIF($G$5:$G$1531,"&gt;"&amp;G856)+1</f>
        <v/>
      </c>
      <c r="I856" s="9" t="inlineStr"/>
      <c r="J856" s="11">
        <f>IF(E856="Private",F856,"")</f>
        <v/>
      </c>
      <c r="K856" s="11">
        <f>IF(E856="Private",G856,"")</f>
        <v/>
      </c>
    </row>
    <row r="857">
      <c r="A857" s="9" t="n">
        <v>202806</v>
      </c>
      <c r="B857" s="9" t="inlineStr">
        <is>
          <t>Franklin University</t>
        </is>
      </c>
      <c r="C857" s="9" t="inlineStr">
        <is>
          <t>Columbus</t>
        </is>
      </c>
      <c r="D857" s="9" t="inlineStr">
        <is>
          <t>OH</t>
        </is>
      </c>
      <c r="E857" s="9" t="inlineStr">
        <is>
          <t>Private</t>
        </is>
      </c>
      <c r="F857" s="11" t="n">
        <v>25243</v>
      </c>
      <c r="G857" s="11" t="n">
        <v>51892</v>
      </c>
      <c r="H857" s="9">
        <f>COUNTIF($G$5:$G$1531,"&gt;"&amp;G857)+1</f>
        <v/>
      </c>
      <c r="I857" s="9" t="inlineStr"/>
      <c r="J857" s="11">
        <f>IF(E857="Private",F857,"")</f>
        <v/>
      </c>
      <c r="K857" s="11">
        <f>IF(E857="Private",G857,"")</f>
        <v/>
      </c>
    </row>
    <row r="858">
      <c r="A858" s="9" t="n">
        <v>102553</v>
      </c>
      <c r="B858" s="9" t="inlineStr">
        <is>
          <t>University of Alaska Anchorage</t>
        </is>
      </c>
      <c r="C858" s="9" t="inlineStr">
        <is>
          <t>Anchorage</t>
        </is>
      </c>
      <c r="D858" s="9" t="inlineStr">
        <is>
          <t>AK</t>
        </is>
      </c>
      <c r="E858" s="9" t="inlineStr">
        <is>
          <t>Public</t>
        </is>
      </c>
      <c r="F858" s="11" t="n">
        <v>15301</v>
      </c>
      <c r="G858" s="11" t="n">
        <v>51871</v>
      </c>
      <c r="H858" s="9">
        <f>COUNTIF($G$5:$G$1531,"&gt;"&amp;G858)+1</f>
        <v/>
      </c>
      <c r="I858" s="9" t="inlineStr"/>
      <c r="J858" s="11">
        <f>IF(E858="Private",F858,"")</f>
        <v/>
      </c>
      <c r="K858" s="11">
        <f>IF(E858="Private",G858,"")</f>
        <v/>
      </c>
    </row>
    <row r="859">
      <c r="A859" s="9" t="n">
        <v>224147</v>
      </c>
      <c r="B859" s="9" t="inlineStr">
        <is>
          <t>Texas A &amp; M University-Corpus Christi</t>
        </is>
      </c>
      <c r="C859" s="9" t="inlineStr">
        <is>
          <t>Corpus Christi</t>
        </is>
      </c>
      <c r="D859" s="9" t="inlineStr">
        <is>
          <t>TX</t>
        </is>
      </c>
      <c r="E859" s="9" t="inlineStr">
        <is>
          <t>Public</t>
        </is>
      </c>
      <c r="F859" s="11" t="n">
        <v>15225</v>
      </c>
      <c r="G859" s="11" t="n">
        <v>51865</v>
      </c>
      <c r="H859" s="9">
        <f>COUNTIF($G$5:$G$1531,"&gt;"&amp;G859)+1</f>
        <v/>
      </c>
      <c r="I859" s="9" t="inlineStr"/>
      <c r="J859" s="11">
        <f>IF(E859="Private",F859,"")</f>
        <v/>
      </c>
      <c r="K859" s="11">
        <f>IF(E859="Private",G859,"")</f>
        <v/>
      </c>
    </row>
    <row r="860">
      <c r="A860" s="9" t="n">
        <v>229780</v>
      </c>
      <c r="B860" s="9" t="inlineStr">
        <is>
          <t>Wayland Baptist University</t>
        </is>
      </c>
      <c r="C860" s="9" t="inlineStr">
        <is>
          <t>Plainview</t>
        </is>
      </c>
      <c r="D860" s="9" t="inlineStr">
        <is>
          <t>TX</t>
        </is>
      </c>
      <c r="E860" s="9" t="inlineStr">
        <is>
          <t>Private</t>
        </is>
      </c>
      <c r="F860" s="11" t="n">
        <v>20590</v>
      </c>
      <c r="G860" s="11" t="n">
        <v>51838</v>
      </c>
      <c r="H860" s="9">
        <f>COUNTIF($G$5:$G$1531,"&gt;"&amp;G860)+1</f>
        <v/>
      </c>
      <c r="I860" s="9" t="inlineStr"/>
      <c r="J860" s="11">
        <f>IF(E860="Private",F860,"")</f>
        <v/>
      </c>
      <c r="K860" s="11">
        <f>IF(E860="Private",G860,"")</f>
        <v/>
      </c>
    </row>
    <row r="861">
      <c r="A861" s="9" t="n">
        <v>197869</v>
      </c>
      <c r="B861" s="9" t="inlineStr">
        <is>
          <t>Appalachian State University</t>
        </is>
      </c>
      <c r="C861" s="9" t="inlineStr">
        <is>
          <t>Boone</t>
        </is>
      </c>
      <c r="D861" s="9" t="inlineStr">
        <is>
          <t>NC</t>
        </is>
      </c>
      <c r="E861" s="9" t="inlineStr">
        <is>
          <t>Public</t>
        </is>
      </c>
      <c r="F861" s="11" t="n">
        <v>16836</v>
      </c>
      <c r="G861" s="11" t="n">
        <v>51836</v>
      </c>
      <c r="H861" s="9">
        <f>COUNTIF($G$5:$G$1531,"&gt;"&amp;G861)+1</f>
        <v/>
      </c>
      <c r="I861" s="9" t="inlineStr"/>
      <c r="J861" s="11">
        <f>IF(E861="Private",F861,"")</f>
        <v/>
      </c>
      <c r="K861" s="11">
        <f>IF(E861="Private",G861,"")</f>
        <v/>
      </c>
    </row>
    <row r="862">
      <c r="A862" s="9" t="n">
        <v>150136</v>
      </c>
      <c r="B862" s="9" t="inlineStr">
        <is>
          <t>Ball State University</t>
        </is>
      </c>
      <c r="C862" s="9" t="inlineStr">
        <is>
          <t>Muncie</t>
        </is>
      </c>
      <c r="D862" s="9" t="inlineStr">
        <is>
          <t>IN</t>
        </is>
      </c>
      <c r="E862" s="9" t="inlineStr">
        <is>
          <t>Public</t>
        </is>
      </c>
      <c r="F862" s="11" t="n">
        <v>14940</v>
      </c>
      <c r="G862" s="11" t="n">
        <v>51833</v>
      </c>
      <c r="H862" s="9">
        <f>COUNTIF($G$5:$G$1531,"&gt;"&amp;G862)+1</f>
        <v/>
      </c>
      <c r="I862" s="9" t="inlineStr"/>
      <c r="J862" s="11">
        <f>IF(E862="Private",F862,"")</f>
        <v/>
      </c>
      <c r="K862" s="11">
        <f>IF(E862="Private",G862,"")</f>
        <v/>
      </c>
    </row>
    <row r="863">
      <c r="A863" s="9" t="n">
        <v>133492</v>
      </c>
      <c r="B863" s="9" t="inlineStr">
        <is>
          <t>Eckerd College</t>
        </is>
      </c>
      <c r="C863" s="9" t="inlineStr">
        <is>
          <t>Saint Petersburg</t>
        </is>
      </c>
      <c r="D863" s="9" t="inlineStr">
        <is>
          <t>FL</t>
        </is>
      </c>
      <c r="E863" s="9" t="inlineStr">
        <is>
          <t>Private</t>
        </is>
      </c>
      <c r="F863" s="11" t="n">
        <v>38071</v>
      </c>
      <c r="G863" s="11" t="n">
        <v>51819</v>
      </c>
      <c r="H863" s="9">
        <f>COUNTIF($G$5:$G$1531,"&gt;"&amp;G863)+1</f>
        <v/>
      </c>
      <c r="I863" s="9" t="inlineStr"/>
      <c r="J863" s="11">
        <f>IF(E863="Private",F863,"")</f>
        <v/>
      </c>
      <c r="K863" s="11">
        <f>IF(E863="Private",G863,"")</f>
        <v/>
      </c>
    </row>
    <row r="864">
      <c r="A864" s="9" t="n">
        <v>210429</v>
      </c>
      <c r="B864" s="9" t="inlineStr">
        <is>
          <t>Western Oregon University</t>
        </is>
      </c>
      <c r="C864" s="9" t="inlineStr">
        <is>
          <t>Monmouth</t>
        </is>
      </c>
      <c r="D864" s="9" t="inlineStr">
        <is>
          <t>OR</t>
        </is>
      </c>
      <c r="E864" s="9" t="inlineStr">
        <is>
          <t>Public</t>
        </is>
      </c>
      <c r="F864" s="11" t="n">
        <v>17237</v>
      </c>
      <c r="G864" s="11" t="n">
        <v>51815</v>
      </c>
      <c r="H864" s="9">
        <f>COUNTIF($G$5:$G$1531,"&gt;"&amp;G864)+1</f>
        <v/>
      </c>
      <c r="I864" s="9" t="inlineStr"/>
      <c r="J864" s="11">
        <f>IF(E864="Private",F864,"")</f>
        <v/>
      </c>
      <c r="K864" s="11">
        <f>IF(E864="Private",G864,"")</f>
        <v/>
      </c>
    </row>
    <row r="865">
      <c r="A865" s="9" t="n">
        <v>169798</v>
      </c>
      <c r="B865" s="9" t="inlineStr">
        <is>
          <t>Eastern Michigan University</t>
        </is>
      </c>
      <c r="C865" s="9" t="inlineStr">
        <is>
          <t>Ypsilanti</t>
        </is>
      </c>
      <c r="D865" s="9" t="inlineStr">
        <is>
          <t>MI</t>
        </is>
      </c>
      <c r="E865" s="9" t="inlineStr">
        <is>
          <t>Public</t>
        </is>
      </c>
      <c r="F865" s="11" t="n">
        <v>15407</v>
      </c>
      <c r="G865" s="11" t="n">
        <v>51793</v>
      </c>
      <c r="H865" s="9">
        <f>COUNTIF($G$5:$G$1531,"&gt;"&amp;G865)+1</f>
        <v/>
      </c>
      <c r="I865" s="9" t="inlineStr"/>
      <c r="J865" s="11">
        <f>IF(E865="Private",F865,"")</f>
        <v/>
      </c>
      <c r="K865" s="11">
        <f>IF(E865="Private",G865,"")</f>
        <v/>
      </c>
    </row>
    <row r="866">
      <c r="A866" s="9" t="n">
        <v>200253</v>
      </c>
      <c r="B866" s="9" t="inlineStr">
        <is>
          <t>Minot State University</t>
        </is>
      </c>
      <c r="C866" s="9" t="inlineStr">
        <is>
          <t>Minot</t>
        </is>
      </c>
      <c r="D866" s="9" t="inlineStr">
        <is>
          <t>ND</t>
        </is>
      </c>
      <c r="E866" s="9" t="inlineStr">
        <is>
          <t>Public</t>
        </is>
      </c>
      <c r="F866" s="11" t="n">
        <v>12703</v>
      </c>
      <c r="G866" s="11" t="n">
        <v>51759</v>
      </c>
      <c r="H866" s="9">
        <f>COUNTIF($G$5:$G$1531,"&gt;"&amp;G866)+1</f>
        <v/>
      </c>
      <c r="I866" s="9" t="inlineStr"/>
      <c r="J866" s="11">
        <f>IF(E866="Private",F866,"")</f>
        <v/>
      </c>
      <c r="K866" s="11">
        <f>IF(E866="Private",G866,"")</f>
        <v/>
      </c>
    </row>
    <row r="867">
      <c r="A867" s="9" t="n">
        <v>215947</v>
      </c>
      <c r="B867" s="9" t="inlineStr">
        <is>
          <t>Seton Hill University</t>
        </is>
      </c>
      <c r="C867" s="9" t="inlineStr">
        <is>
          <t>Greensburg</t>
        </is>
      </c>
      <c r="D867" s="9" t="inlineStr">
        <is>
          <t>PA</t>
        </is>
      </c>
      <c r="E867" s="9" t="inlineStr">
        <is>
          <t>Private</t>
        </is>
      </c>
      <c r="F867" s="11" t="n">
        <v>22204</v>
      </c>
      <c r="G867" s="11" t="n">
        <v>51748</v>
      </c>
      <c r="H867" s="9">
        <f>COUNTIF($G$5:$G$1531,"&gt;"&amp;G867)+1</f>
        <v/>
      </c>
      <c r="I867" s="9" t="inlineStr"/>
      <c r="J867" s="11">
        <f>IF(E867="Private",F867,"")</f>
        <v/>
      </c>
      <c r="K867" s="11">
        <f>IF(E867="Private",G867,"")</f>
        <v/>
      </c>
    </row>
    <row r="868">
      <c r="A868" s="9" t="n">
        <v>204617</v>
      </c>
      <c r="B868" s="9" t="inlineStr">
        <is>
          <t>Ohio Dominican University</t>
        </is>
      </c>
      <c r="C868" s="9" t="inlineStr">
        <is>
          <t>Columbus</t>
        </is>
      </c>
      <c r="D868" s="9" t="inlineStr">
        <is>
          <t>OH</t>
        </is>
      </c>
      <c r="E868" s="9" t="inlineStr">
        <is>
          <t>Private</t>
        </is>
      </c>
      <c r="F868" s="11" t="n">
        <v>20079</v>
      </c>
      <c r="G868" s="11" t="n">
        <v>51748</v>
      </c>
      <c r="H868" s="9">
        <f>COUNTIF($G$5:$G$1531,"&gt;"&amp;G868)+1</f>
        <v/>
      </c>
      <c r="I868" s="9" t="inlineStr"/>
      <c r="J868" s="11">
        <f>IF(E868="Private",F868,"")</f>
        <v/>
      </c>
      <c r="K868" s="11">
        <f>IF(E868="Private",G868,"")</f>
        <v/>
      </c>
    </row>
    <row r="869">
      <c r="A869" s="9" t="n">
        <v>140234</v>
      </c>
      <c r="B869" s="9" t="inlineStr">
        <is>
          <t>LaGrange College</t>
        </is>
      </c>
      <c r="C869" s="9" t="inlineStr">
        <is>
          <t>Lagrange</t>
        </is>
      </c>
      <c r="D869" s="9" t="inlineStr">
        <is>
          <t>GA</t>
        </is>
      </c>
      <c r="E869" s="9" t="inlineStr">
        <is>
          <t>Private</t>
        </is>
      </c>
      <c r="F869" s="11" t="n">
        <v>20875</v>
      </c>
      <c r="G869" s="11" t="n">
        <v>51745</v>
      </c>
      <c r="H869" s="9">
        <f>COUNTIF($G$5:$G$1531,"&gt;"&amp;G869)+1</f>
        <v/>
      </c>
      <c r="I869" s="9" t="inlineStr"/>
      <c r="J869" s="11">
        <f>IF(E869="Private",F869,"")</f>
        <v/>
      </c>
      <c r="K869" s="11">
        <f>IF(E869="Private",G869,"")</f>
        <v/>
      </c>
    </row>
    <row r="870">
      <c r="A870" s="9" t="n">
        <v>172334</v>
      </c>
      <c r="B870" s="9" t="inlineStr">
        <is>
          <t>Spring Arbor University</t>
        </is>
      </c>
      <c r="C870" s="9" t="inlineStr">
        <is>
          <t>Spring Arbor</t>
        </is>
      </c>
      <c r="D870" s="9" t="inlineStr">
        <is>
          <t>MI</t>
        </is>
      </c>
      <c r="E870" s="9" t="inlineStr">
        <is>
          <t>Private</t>
        </is>
      </c>
      <c r="F870" s="11" t="n">
        <v>19353</v>
      </c>
      <c r="G870" s="11" t="n">
        <v>51732</v>
      </c>
      <c r="H870" s="9">
        <f>COUNTIF($G$5:$G$1531,"&gt;"&amp;G870)+1</f>
        <v/>
      </c>
      <c r="I870" s="9" t="inlineStr"/>
      <c r="J870" s="11">
        <f>IF(E870="Private",F870,"")</f>
        <v/>
      </c>
      <c r="K870" s="11">
        <f>IF(E870="Private",G870,"")</f>
        <v/>
      </c>
    </row>
    <row r="871">
      <c r="A871" s="9" t="n">
        <v>166054</v>
      </c>
      <c r="B871" s="9" t="inlineStr">
        <is>
          <t>Hellenic College-Holy Cross Greek Orthodox School of Theology</t>
        </is>
      </c>
      <c r="C871" s="9" t="inlineStr">
        <is>
          <t>Brookline</t>
        </is>
      </c>
      <c r="D871" s="9" t="inlineStr">
        <is>
          <t>MA</t>
        </is>
      </c>
      <c r="E871" s="9" t="inlineStr">
        <is>
          <t>Private</t>
        </is>
      </c>
      <c r="F871" s="11" t="n">
        <v>25203</v>
      </c>
      <c r="G871" s="11" t="n">
        <v>51724</v>
      </c>
      <c r="H871" s="9">
        <f>COUNTIF($G$5:$G$1531,"&gt;"&amp;G871)+1</f>
        <v/>
      </c>
      <c r="I871" s="9" t="inlineStr"/>
      <c r="J871" s="11">
        <f>IF(E871="Private",F871,"")</f>
        <v/>
      </c>
      <c r="K871" s="11">
        <f>IF(E871="Private",G871,"")</f>
        <v/>
      </c>
    </row>
    <row r="872">
      <c r="A872" s="9" t="n">
        <v>142461</v>
      </c>
      <c r="B872" s="9" t="inlineStr">
        <is>
          <t>Northwest Nazarene University</t>
        </is>
      </c>
      <c r="C872" s="9" t="inlineStr">
        <is>
          <t>Nampa</t>
        </is>
      </c>
      <c r="D872" s="9" t="inlineStr">
        <is>
          <t>ID</t>
        </is>
      </c>
      <c r="E872" s="9" t="inlineStr">
        <is>
          <t>Private</t>
        </is>
      </c>
      <c r="F872" s="11" t="n">
        <v>29580</v>
      </c>
      <c r="G872" s="11" t="n">
        <v>51719</v>
      </c>
      <c r="H872" s="9">
        <f>COUNTIF($G$5:$G$1531,"&gt;"&amp;G872)+1</f>
        <v/>
      </c>
      <c r="I872" s="9" t="inlineStr"/>
      <c r="J872" s="11">
        <f>IF(E872="Private",F872,"")</f>
        <v/>
      </c>
      <c r="K872" s="11">
        <f>IF(E872="Private",G872,"")</f>
        <v/>
      </c>
    </row>
    <row r="873">
      <c r="A873" s="9" t="n">
        <v>159568</v>
      </c>
      <c r="B873" s="9" t="inlineStr">
        <is>
          <t>Louisiana Christian University</t>
        </is>
      </c>
      <c r="C873" s="9" t="inlineStr">
        <is>
          <t>Pineville</t>
        </is>
      </c>
      <c r="D873" s="9" t="inlineStr">
        <is>
          <t>LA</t>
        </is>
      </c>
      <c r="E873" s="9" t="inlineStr">
        <is>
          <t>Private</t>
        </is>
      </c>
      <c r="F873" s="11" t="n">
        <v>13113</v>
      </c>
      <c r="G873" s="11" t="n">
        <v>51700</v>
      </c>
      <c r="H873" s="9">
        <f>COUNTIF($G$5:$G$1531,"&gt;"&amp;G873)+1</f>
        <v/>
      </c>
      <c r="I873" s="9" t="inlineStr"/>
      <c r="J873" s="11">
        <f>IF(E873="Private",F873,"")</f>
        <v/>
      </c>
      <c r="K873" s="11">
        <f>IF(E873="Private",G873,"")</f>
        <v/>
      </c>
    </row>
    <row r="874">
      <c r="A874" s="9" t="n">
        <v>107512</v>
      </c>
      <c r="B874" s="9" t="inlineStr">
        <is>
          <t>Ouachita Baptist University</t>
        </is>
      </c>
      <c r="C874" s="9" t="inlineStr">
        <is>
          <t>Arkadelphia</t>
        </is>
      </c>
      <c r="D874" s="9" t="inlineStr">
        <is>
          <t>AR</t>
        </is>
      </c>
      <c r="E874" s="9" t="inlineStr">
        <is>
          <t>Private</t>
        </is>
      </c>
      <c r="F874" s="11" t="n">
        <v>22409</v>
      </c>
      <c r="G874" s="11" t="n">
        <v>51673</v>
      </c>
      <c r="H874" s="9">
        <f>COUNTIF($G$5:$G$1531,"&gt;"&amp;G874)+1</f>
        <v/>
      </c>
      <c r="I874" s="9" t="inlineStr"/>
      <c r="J874" s="11">
        <f>IF(E874="Private",F874,"")</f>
        <v/>
      </c>
      <c r="K874" s="11">
        <f>IF(E874="Private",G874,"")</f>
        <v/>
      </c>
    </row>
    <row r="875">
      <c r="A875" s="9" t="n">
        <v>142115</v>
      </c>
      <c r="B875" s="9" t="inlineStr">
        <is>
          <t>Boise State University</t>
        </is>
      </c>
      <c r="C875" s="9" t="inlineStr">
        <is>
          <t>Boise</t>
        </is>
      </c>
      <c r="D875" s="9" t="inlineStr">
        <is>
          <t>ID</t>
        </is>
      </c>
      <c r="E875" s="9" t="inlineStr">
        <is>
          <t>Public</t>
        </is>
      </c>
      <c r="F875" s="11" t="n">
        <v>21610</v>
      </c>
      <c r="G875" s="11" t="n">
        <v>51658</v>
      </c>
      <c r="H875" s="9">
        <f>COUNTIF($G$5:$G$1531,"&gt;"&amp;G875)+1</f>
        <v/>
      </c>
      <c r="I875" s="9" t="inlineStr"/>
      <c r="J875" s="11">
        <f>IF(E875="Private",F875,"")</f>
        <v/>
      </c>
      <c r="K875" s="11">
        <f>IF(E875="Private",G875,"")</f>
        <v/>
      </c>
    </row>
    <row r="876">
      <c r="A876" s="9" t="n">
        <v>212133</v>
      </c>
      <c r="B876" s="9" t="inlineStr">
        <is>
          <t>Eastern University</t>
        </is>
      </c>
      <c r="C876" s="9" t="inlineStr">
        <is>
          <t>Saint Davids</t>
        </is>
      </c>
      <c r="D876" s="9" t="inlineStr">
        <is>
          <t>PA</t>
        </is>
      </c>
      <c r="E876" s="9" t="inlineStr">
        <is>
          <t>Private</t>
        </is>
      </c>
      <c r="F876" s="11" t="n">
        <v>26662</v>
      </c>
      <c r="G876" s="11" t="n">
        <v>51655</v>
      </c>
      <c r="H876" s="9">
        <f>COUNTIF($G$5:$G$1531,"&gt;"&amp;G876)+1</f>
        <v/>
      </c>
      <c r="I876" s="9" t="inlineStr"/>
      <c r="J876" s="11">
        <f>IF(E876="Private",F876,"")</f>
        <v/>
      </c>
      <c r="K876" s="11">
        <f>IF(E876="Private",G876,"")</f>
        <v/>
      </c>
    </row>
    <row r="877">
      <c r="A877" s="9" t="n">
        <v>137546</v>
      </c>
      <c r="B877" s="9" t="inlineStr">
        <is>
          <t>Stetson University</t>
        </is>
      </c>
      <c r="C877" s="9" t="inlineStr">
        <is>
          <t>DeLand</t>
        </is>
      </c>
      <c r="D877" s="9" t="inlineStr">
        <is>
          <t>FL</t>
        </is>
      </c>
      <c r="E877" s="9" t="inlineStr">
        <is>
          <t>Private</t>
        </is>
      </c>
      <c r="F877" s="11" t="n">
        <v>19372</v>
      </c>
      <c r="G877" s="11" t="n">
        <v>51642</v>
      </c>
      <c r="H877" s="9">
        <f>COUNTIF($G$5:$G$1531,"&gt;"&amp;G877)+1</f>
        <v/>
      </c>
      <c r="I877" s="9" t="inlineStr"/>
      <c r="J877" s="11">
        <f>IF(E877="Private",F877,"")</f>
        <v/>
      </c>
      <c r="K877" s="11">
        <f>IF(E877="Private",G877,"")</f>
        <v/>
      </c>
    </row>
    <row r="878">
      <c r="A878" s="9" t="n">
        <v>144971</v>
      </c>
      <c r="B878" s="9" t="inlineStr">
        <is>
          <t>Eureka College</t>
        </is>
      </c>
      <c r="C878" s="9" t="inlineStr">
        <is>
          <t>Eureka</t>
        </is>
      </c>
      <c r="D878" s="9" t="inlineStr">
        <is>
          <t>IL</t>
        </is>
      </c>
      <c r="E878" s="9" t="inlineStr">
        <is>
          <t>Private</t>
        </is>
      </c>
      <c r="F878" s="11" t="n">
        <v>17349</v>
      </c>
      <c r="G878" s="11" t="n">
        <v>51641</v>
      </c>
      <c r="H878" s="9">
        <f>COUNTIF($G$5:$G$1531,"&gt;"&amp;G878)+1</f>
        <v/>
      </c>
      <c r="I878" s="9" t="inlineStr"/>
      <c r="J878" s="11">
        <f>IF(E878="Private",F878,"")</f>
        <v/>
      </c>
      <c r="K878" s="11">
        <f>IF(E878="Private",G878,"")</f>
        <v/>
      </c>
    </row>
    <row r="879">
      <c r="A879" s="9" t="n">
        <v>196024</v>
      </c>
      <c r="B879" s="9" t="inlineStr">
        <is>
          <t>SUNY College of Technology at Delhi</t>
        </is>
      </c>
      <c r="C879" s="9" t="inlineStr">
        <is>
          <t>Delhi</t>
        </is>
      </c>
      <c r="D879" s="9" t="inlineStr">
        <is>
          <t>NY</t>
        </is>
      </c>
      <c r="E879" s="9" t="inlineStr">
        <is>
          <t>Public</t>
        </is>
      </c>
      <c r="F879" s="11" t="n">
        <v>17225</v>
      </c>
      <c r="G879" s="11" t="n">
        <v>51629</v>
      </c>
      <c r="H879" s="9">
        <f>COUNTIF($G$5:$G$1531,"&gt;"&amp;G879)+1</f>
        <v/>
      </c>
      <c r="I879" s="9" t="inlineStr"/>
      <c r="J879" s="11">
        <f>IF(E879="Private",F879,"")</f>
        <v/>
      </c>
      <c r="K879" s="11">
        <f>IF(E879="Private",G879,"")</f>
        <v/>
      </c>
    </row>
    <row r="880">
      <c r="A880" s="9" t="n">
        <v>105899</v>
      </c>
      <c r="B880" s="9" t="inlineStr">
        <is>
          <t>Arizona Christian University</t>
        </is>
      </c>
      <c r="C880" s="9" t="inlineStr">
        <is>
          <t>Glendale</t>
        </is>
      </c>
      <c r="D880" s="9" t="inlineStr">
        <is>
          <t>AZ</t>
        </is>
      </c>
      <c r="E880" s="9" t="inlineStr">
        <is>
          <t>Private</t>
        </is>
      </c>
      <c r="F880" s="11" t="n">
        <v>32839</v>
      </c>
      <c r="G880" s="11" t="n">
        <v>51612</v>
      </c>
      <c r="H880" s="9">
        <f>COUNTIF($G$5:$G$1531,"&gt;"&amp;G880)+1</f>
        <v/>
      </c>
      <c r="I880" s="9" t="inlineStr"/>
      <c r="J880" s="11">
        <f>IF(E880="Private",F880,"")</f>
        <v/>
      </c>
      <c r="K880" s="11">
        <f>IF(E880="Private",G880,"")</f>
        <v/>
      </c>
    </row>
    <row r="881">
      <c r="A881" s="9" t="n">
        <v>237969</v>
      </c>
      <c r="B881" s="9" t="inlineStr">
        <is>
          <t>West Virginia Wesleyan College</t>
        </is>
      </c>
      <c r="C881" s="9" t="inlineStr">
        <is>
          <t>Buckhannon</t>
        </is>
      </c>
      <c r="D881" s="9" t="inlineStr">
        <is>
          <t>WV</t>
        </is>
      </c>
      <c r="E881" s="9" t="inlineStr">
        <is>
          <t>Private</t>
        </is>
      </c>
      <c r="F881" s="11" t="n">
        <v>18083</v>
      </c>
      <c r="G881" s="11" t="n">
        <v>51593</v>
      </c>
      <c r="H881" s="9">
        <f>COUNTIF($G$5:$G$1531,"&gt;"&amp;G881)+1</f>
        <v/>
      </c>
      <c r="I881" s="9" t="inlineStr"/>
      <c r="J881" s="11">
        <f>IF(E881="Private",F881,"")</f>
        <v/>
      </c>
      <c r="K881" s="11">
        <f>IF(E881="Private",G881,"")</f>
        <v/>
      </c>
    </row>
    <row r="882">
      <c r="A882" s="9" t="n">
        <v>163976</v>
      </c>
      <c r="B882" s="9" t="inlineStr">
        <is>
          <t>St. John's College (Annapolis, MD)</t>
        </is>
      </c>
      <c r="C882" s="9" t="inlineStr">
        <is>
          <t>Annapolis</t>
        </is>
      </c>
      <c r="D882" s="9" t="inlineStr">
        <is>
          <t>MD</t>
        </is>
      </c>
      <c r="E882" s="9" t="inlineStr">
        <is>
          <t>Private</t>
        </is>
      </c>
      <c r="F882" s="11" t="n">
        <v>45597</v>
      </c>
      <c r="G882" s="11" t="n">
        <v>51584</v>
      </c>
      <c r="H882" s="9">
        <f>COUNTIF($G$5:$G$1531,"&gt;"&amp;G882)+1</f>
        <v/>
      </c>
      <c r="I882" s="9" t="inlineStr"/>
      <c r="J882" s="11">
        <f>IF(E882="Private",F882,"")</f>
        <v/>
      </c>
      <c r="K882" s="11">
        <f>IF(E882="Private",G882,"")</f>
        <v/>
      </c>
    </row>
    <row r="883">
      <c r="A883" s="9" t="n">
        <v>199306</v>
      </c>
      <c r="B883" s="9" t="inlineStr">
        <is>
          <t>Pfeiffer University</t>
        </is>
      </c>
      <c r="C883" s="9" t="inlineStr">
        <is>
          <t>Misenheimer</t>
        </is>
      </c>
      <c r="D883" s="9" t="inlineStr">
        <is>
          <t>NC</t>
        </is>
      </c>
      <c r="E883" s="9" t="inlineStr">
        <is>
          <t>Private</t>
        </is>
      </c>
      <c r="F883" s="11" t="n">
        <v>19076</v>
      </c>
      <c r="G883" s="11" t="n">
        <v>51562</v>
      </c>
      <c r="H883" s="9">
        <f>COUNTIF($G$5:$G$1531,"&gt;"&amp;G883)+1</f>
        <v/>
      </c>
      <c r="I883" s="9" t="inlineStr"/>
      <c r="J883" s="11">
        <f>IF(E883="Private",F883,"")</f>
        <v/>
      </c>
      <c r="K883" s="11">
        <f>IF(E883="Private",G883,"")</f>
        <v/>
      </c>
    </row>
    <row r="884">
      <c r="A884" s="9" t="n">
        <v>167394</v>
      </c>
      <c r="B884" s="9" t="inlineStr">
        <is>
          <t>College of Our Lady of the Elms</t>
        </is>
      </c>
      <c r="C884" s="9" t="inlineStr">
        <is>
          <t>Chicopee</t>
        </is>
      </c>
      <c r="D884" s="9" t="inlineStr">
        <is>
          <t>MA</t>
        </is>
      </c>
      <c r="E884" s="9" t="inlineStr">
        <is>
          <t>Private</t>
        </is>
      </c>
      <c r="F884" s="11" t="n">
        <v>17545</v>
      </c>
      <c r="G884" s="11" t="n">
        <v>51540</v>
      </c>
      <c r="H884" s="9">
        <f>COUNTIF($G$5:$G$1531,"&gt;"&amp;G884)+1</f>
        <v/>
      </c>
      <c r="I884" s="9" t="inlineStr"/>
      <c r="J884" s="11">
        <f>IF(E884="Private",F884,"")</f>
        <v/>
      </c>
      <c r="K884" s="11">
        <f>IF(E884="Private",G884,"")</f>
        <v/>
      </c>
    </row>
    <row r="885">
      <c r="A885" s="9" t="n">
        <v>198950</v>
      </c>
      <c r="B885" s="9" t="inlineStr">
        <is>
          <t>Meredith College</t>
        </is>
      </c>
      <c r="C885" s="9" t="inlineStr">
        <is>
          <t>Raleigh</t>
        </is>
      </c>
      <c r="D885" s="9" t="inlineStr">
        <is>
          <t>NC</t>
        </is>
      </c>
      <c r="E885" s="9" t="inlineStr">
        <is>
          <t>Private</t>
        </is>
      </c>
      <c r="F885" s="11" t="n">
        <v>22488</v>
      </c>
      <c r="G885" s="11" t="n">
        <v>51539</v>
      </c>
      <c r="H885" s="9">
        <f>COUNTIF($G$5:$G$1531,"&gt;"&amp;G885)+1</f>
        <v/>
      </c>
      <c r="I885" s="9" t="inlineStr"/>
      <c r="J885" s="11">
        <f>IF(E885="Private",F885,"")</f>
        <v/>
      </c>
      <c r="K885" s="11">
        <f>IF(E885="Private",G885,"")</f>
        <v/>
      </c>
    </row>
    <row r="886">
      <c r="A886" s="9" t="n">
        <v>156125</v>
      </c>
      <c r="B886" s="9" t="inlineStr">
        <is>
          <t>Wichita State University</t>
        </is>
      </c>
      <c r="C886" s="9" t="inlineStr">
        <is>
          <t>Wichita</t>
        </is>
      </c>
      <c r="D886" s="9" t="inlineStr">
        <is>
          <t>KS</t>
        </is>
      </c>
      <c r="E886" s="9" t="inlineStr">
        <is>
          <t>Public</t>
        </is>
      </c>
      <c r="F886" s="11" t="n">
        <v>13194</v>
      </c>
      <c r="G886" s="11" t="n">
        <v>51532</v>
      </c>
      <c r="H886" s="9">
        <f>COUNTIF($G$5:$G$1531,"&gt;"&amp;G886)+1</f>
        <v/>
      </c>
      <c r="I886" s="9" t="inlineStr"/>
      <c r="J886" s="11">
        <f>IF(E886="Private",F886,"")</f>
        <v/>
      </c>
      <c r="K886" s="11">
        <f>IF(E886="Private",G886,"")</f>
        <v/>
      </c>
    </row>
    <row r="887">
      <c r="A887" s="9" t="n">
        <v>231420</v>
      </c>
      <c r="B887" s="9" t="inlineStr">
        <is>
          <t>Averett University</t>
        </is>
      </c>
      <c r="C887" s="9" t="inlineStr">
        <is>
          <t>Danville</t>
        </is>
      </c>
      <c r="D887" s="9" t="inlineStr">
        <is>
          <t>VA</t>
        </is>
      </c>
      <c r="E887" s="9" t="inlineStr">
        <is>
          <t>Private</t>
        </is>
      </c>
      <c r="F887" s="11" t="n">
        <v>22925</v>
      </c>
      <c r="G887" s="11" t="n">
        <v>51516</v>
      </c>
      <c r="H887" s="9">
        <f>COUNTIF($G$5:$G$1531,"&gt;"&amp;G887)+1</f>
        <v/>
      </c>
      <c r="I887" s="9" t="inlineStr"/>
      <c r="J887" s="11">
        <f>IF(E887="Private",F887,"")</f>
        <v/>
      </c>
      <c r="K887" s="11">
        <f>IF(E887="Private",G887,"")</f>
        <v/>
      </c>
    </row>
    <row r="888">
      <c r="A888" s="9" t="n">
        <v>176080</v>
      </c>
      <c r="B888" s="9" t="inlineStr">
        <is>
          <t>Mississippi State University</t>
        </is>
      </c>
      <c r="C888" s="9" t="inlineStr">
        <is>
          <t>Mississippi State</t>
        </is>
      </c>
      <c r="D888" s="9" t="inlineStr">
        <is>
          <t>MS</t>
        </is>
      </c>
      <c r="E888" s="9" t="inlineStr">
        <is>
          <t>Public</t>
        </is>
      </c>
      <c r="F888" s="11" t="n">
        <v>17595</v>
      </c>
      <c r="G888" s="11" t="n">
        <v>51513</v>
      </c>
      <c r="H888" s="9">
        <f>COUNTIF($G$5:$G$1531,"&gt;"&amp;G888)+1</f>
        <v/>
      </c>
      <c r="I888" s="9" t="inlineStr"/>
      <c r="J888" s="11">
        <f>IF(E888="Private",F888,"")</f>
        <v/>
      </c>
      <c r="K888" s="11">
        <f>IF(E888="Private",G888,"")</f>
        <v/>
      </c>
    </row>
    <row r="889">
      <c r="A889" s="9" t="n">
        <v>204200</v>
      </c>
      <c r="B889" s="9" t="inlineStr">
        <is>
          <t>Mount St. Joseph University</t>
        </is>
      </c>
      <c r="C889" s="9" t="inlineStr">
        <is>
          <t>Cincinnati</t>
        </is>
      </c>
      <c r="D889" s="9" t="inlineStr">
        <is>
          <t>OH</t>
        </is>
      </c>
      <c r="E889" s="9" t="inlineStr">
        <is>
          <t>Private</t>
        </is>
      </c>
      <c r="F889" s="11" t="n">
        <v>16530</v>
      </c>
      <c r="G889" s="11" t="n">
        <v>51509</v>
      </c>
      <c r="H889" s="9">
        <f>COUNTIF($G$5:$G$1531,"&gt;"&amp;G889)+1</f>
        <v/>
      </c>
      <c r="I889" s="9" t="inlineStr"/>
      <c r="J889" s="11">
        <f>IF(E889="Private",F889,"")</f>
        <v/>
      </c>
      <c r="K889" s="11">
        <f>IF(E889="Private",G889,"")</f>
        <v/>
      </c>
    </row>
    <row r="890">
      <c r="A890" s="9" t="n">
        <v>151777</v>
      </c>
      <c r="B890" s="9" t="inlineStr">
        <is>
          <t>Manchester University</t>
        </is>
      </c>
      <c r="C890" s="9" t="inlineStr">
        <is>
          <t>North Manchester</t>
        </is>
      </c>
      <c r="D890" s="9" t="inlineStr">
        <is>
          <t>IN</t>
        </is>
      </c>
      <c r="E890" s="9" t="inlineStr">
        <is>
          <t>Private</t>
        </is>
      </c>
      <c r="F890" s="11" t="n">
        <v>18805</v>
      </c>
      <c r="G890" s="11" t="n">
        <v>51504</v>
      </c>
      <c r="H890" s="9">
        <f>COUNTIF($G$5:$G$1531,"&gt;"&amp;G890)+1</f>
        <v/>
      </c>
      <c r="I890" s="9" t="inlineStr"/>
      <c r="J890" s="11">
        <f>IF(E890="Private",F890,"")</f>
        <v/>
      </c>
      <c r="K890" s="11">
        <f>IF(E890="Private",G890,"")</f>
        <v/>
      </c>
    </row>
    <row r="891">
      <c r="A891" s="9" t="n">
        <v>102234</v>
      </c>
      <c r="B891" s="9" t="inlineStr">
        <is>
          <t>Spring Hill College</t>
        </is>
      </c>
      <c r="C891" s="9" t="inlineStr">
        <is>
          <t>Mobile</t>
        </is>
      </c>
      <c r="D891" s="9" t="inlineStr">
        <is>
          <t>AL</t>
        </is>
      </c>
      <c r="E891" s="9" t="inlineStr">
        <is>
          <t>Private</t>
        </is>
      </c>
      <c r="F891" s="11" t="n">
        <v>20449</v>
      </c>
      <c r="G891" s="11" t="n">
        <v>51500</v>
      </c>
      <c r="H891" s="9">
        <f>COUNTIF($G$5:$G$1531,"&gt;"&amp;G891)+1</f>
        <v/>
      </c>
      <c r="I891" s="9" t="inlineStr"/>
      <c r="J891" s="11">
        <f>IF(E891="Private",F891,"")</f>
        <v/>
      </c>
      <c r="K891" s="11">
        <f>IF(E891="Private",G891,"")</f>
        <v/>
      </c>
    </row>
    <row r="892">
      <c r="A892" s="9" t="n">
        <v>228705</v>
      </c>
      <c r="B892" s="9" t="inlineStr">
        <is>
          <t>Texas A&amp;M University-Kingsville</t>
        </is>
      </c>
      <c r="C892" s="9" t="inlineStr">
        <is>
          <t>Kingsville</t>
        </is>
      </c>
      <c r="D892" s="9" t="inlineStr">
        <is>
          <t>TX</t>
        </is>
      </c>
      <c r="E892" s="9" t="inlineStr">
        <is>
          <t>Public</t>
        </is>
      </c>
      <c r="F892" s="11" t="n">
        <v>12090</v>
      </c>
      <c r="G892" s="11" t="n">
        <v>51450</v>
      </c>
      <c r="H892" s="9">
        <f>COUNTIF($G$5:$G$1531,"&gt;"&amp;G892)+1</f>
        <v/>
      </c>
      <c r="I892" s="9" t="inlineStr"/>
      <c r="J892" s="11">
        <f>IF(E892="Private",F892,"")</f>
        <v/>
      </c>
      <c r="K892" s="11">
        <f>IF(E892="Private",G892,"")</f>
        <v/>
      </c>
    </row>
    <row r="893">
      <c r="A893" s="9" t="n">
        <v>175078</v>
      </c>
      <c r="B893" s="9" t="inlineStr">
        <is>
          <t>Southwest Minnesota State University</t>
        </is>
      </c>
      <c r="C893" s="9" t="inlineStr">
        <is>
          <t>Marshall</t>
        </is>
      </c>
      <c r="D893" s="9" t="inlineStr">
        <is>
          <t>MN</t>
        </is>
      </c>
      <c r="E893" s="9" t="inlineStr">
        <is>
          <t>Public</t>
        </is>
      </c>
      <c r="F893" s="11" t="n">
        <v>15291</v>
      </c>
      <c r="G893" s="11" t="n">
        <v>51342</v>
      </c>
      <c r="H893" s="9">
        <f>COUNTIF($G$5:$G$1531,"&gt;"&amp;G893)+1</f>
        <v/>
      </c>
      <c r="I893" s="9" t="inlineStr"/>
      <c r="J893" s="11">
        <f>IF(E893="Private",F893,"")</f>
        <v/>
      </c>
      <c r="K893" s="11">
        <f>IF(E893="Private",G893,"")</f>
        <v/>
      </c>
    </row>
    <row r="894">
      <c r="A894" s="9" t="n">
        <v>181127</v>
      </c>
      <c r="B894" s="9" t="inlineStr">
        <is>
          <t>Hastings College</t>
        </is>
      </c>
      <c r="C894" s="9" t="inlineStr">
        <is>
          <t>Hastings</t>
        </is>
      </c>
      <c r="D894" s="9" t="inlineStr">
        <is>
          <t>NE</t>
        </is>
      </c>
      <c r="E894" s="9" t="inlineStr">
        <is>
          <t>Private</t>
        </is>
      </c>
      <c r="F894" s="11" t="n">
        <v>24452</v>
      </c>
      <c r="G894" s="11" t="n">
        <v>51303</v>
      </c>
      <c r="H894" s="9">
        <f>COUNTIF($G$5:$G$1531,"&gt;"&amp;G894)+1</f>
        <v/>
      </c>
      <c r="I894" s="9" t="inlineStr"/>
      <c r="J894" s="11">
        <f>IF(E894="Private",F894,"")</f>
        <v/>
      </c>
      <c r="K894" s="11">
        <f>IF(E894="Private",G894,"")</f>
        <v/>
      </c>
    </row>
    <row r="895">
      <c r="A895" s="9" t="n">
        <v>147244</v>
      </c>
      <c r="B895" s="9" t="inlineStr">
        <is>
          <t>Millikin University</t>
        </is>
      </c>
      <c r="C895" s="9" t="inlineStr">
        <is>
          <t>Decatur</t>
        </is>
      </c>
      <c r="D895" s="9" t="inlineStr">
        <is>
          <t>IL</t>
        </is>
      </c>
      <c r="E895" s="9" t="inlineStr">
        <is>
          <t>Private</t>
        </is>
      </c>
      <c r="F895" s="11" t="n">
        <v>21989</v>
      </c>
      <c r="G895" s="11" t="n">
        <v>51262</v>
      </c>
      <c r="H895" s="9">
        <f>COUNTIF($G$5:$G$1531,"&gt;"&amp;G895)+1</f>
        <v/>
      </c>
      <c r="I895" s="9" t="inlineStr"/>
      <c r="J895" s="11">
        <f>IF(E895="Private",F895,"")</f>
        <v/>
      </c>
      <c r="K895" s="11">
        <f>IF(E895="Private",G895,"")</f>
        <v/>
      </c>
    </row>
    <row r="896">
      <c r="A896" s="9" t="n">
        <v>153278</v>
      </c>
      <c r="B896" s="9" t="inlineStr">
        <is>
          <t>University of Dubuque</t>
        </is>
      </c>
      <c r="C896" s="9" t="inlineStr">
        <is>
          <t>Dubuque</t>
        </is>
      </c>
      <c r="D896" s="9" t="inlineStr">
        <is>
          <t>IA</t>
        </is>
      </c>
      <c r="E896" s="9" t="inlineStr">
        <is>
          <t>Private</t>
        </is>
      </c>
      <c r="F896" s="11" t="n">
        <v>23386</v>
      </c>
      <c r="G896" s="11" t="n">
        <v>51190</v>
      </c>
      <c r="H896" s="9">
        <f>COUNTIF($G$5:$G$1531,"&gt;"&amp;G896)+1</f>
        <v/>
      </c>
      <c r="I896" s="9" t="inlineStr"/>
      <c r="J896" s="11">
        <f>IF(E896="Private",F896,"")</f>
        <v/>
      </c>
      <c r="K896" s="11">
        <f>IF(E896="Private",G896,"")</f>
        <v/>
      </c>
    </row>
    <row r="897">
      <c r="A897" s="9" t="n">
        <v>166452</v>
      </c>
      <c r="B897" s="9" t="inlineStr">
        <is>
          <t>Lesley University</t>
        </is>
      </c>
      <c r="C897" s="9" t="inlineStr">
        <is>
          <t>Cambridge</t>
        </is>
      </c>
      <c r="D897" s="9" t="inlineStr">
        <is>
          <t>MA</t>
        </is>
      </c>
      <c r="E897" s="9" t="inlineStr">
        <is>
          <t>Private</t>
        </is>
      </c>
      <c r="F897" s="11" t="n">
        <v>31152</v>
      </c>
      <c r="G897" s="11" t="n">
        <v>51173</v>
      </c>
      <c r="H897" s="9">
        <f>COUNTIF($G$5:$G$1531,"&gt;"&amp;G897)+1</f>
        <v/>
      </c>
      <c r="I897" s="9" t="inlineStr"/>
      <c r="J897" s="11">
        <f>IF(E897="Private",F897,"")</f>
        <v/>
      </c>
      <c r="K897" s="11">
        <f>IF(E897="Private",G897,"")</f>
        <v/>
      </c>
    </row>
    <row r="898">
      <c r="A898" s="9" t="n">
        <v>154518</v>
      </c>
      <c r="B898" s="9" t="inlineStr">
        <is>
          <t>Waldorf University</t>
        </is>
      </c>
      <c r="C898" s="9" t="inlineStr">
        <is>
          <t>Forest City</t>
        </is>
      </c>
      <c r="D898" s="9" t="inlineStr">
        <is>
          <t>IA</t>
        </is>
      </c>
      <c r="E898" s="9" t="inlineStr">
        <is>
          <t>Private</t>
        </is>
      </c>
      <c r="F898" s="11" t="n">
        <v>19693</v>
      </c>
      <c r="G898" s="11" t="n">
        <v>51165</v>
      </c>
      <c r="H898" s="9">
        <f>COUNTIF($G$5:$G$1531,"&gt;"&amp;G898)+1</f>
        <v/>
      </c>
      <c r="I898" s="9" t="inlineStr"/>
      <c r="J898" s="11">
        <f>IF(E898="Private",F898,"")</f>
        <v/>
      </c>
      <c r="K898" s="11">
        <f>IF(E898="Private",G898,"")</f>
        <v/>
      </c>
    </row>
    <row r="899">
      <c r="A899" s="9" t="n">
        <v>155414</v>
      </c>
      <c r="B899" s="9" t="inlineStr">
        <is>
          <t>Kansas Wesleyan University</t>
        </is>
      </c>
      <c r="C899" s="9" t="inlineStr">
        <is>
          <t>Salina</t>
        </is>
      </c>
      <c r="D899" s="9" t="inlineStr">
        <is>
          <t>KS</t>
        </is>
      </c>
      <c r="E899" s="9" t="inlineStr">
        <is>
          <t>Private</t>
        </is>
      </c>
      <c r="F899" s="11" t="n">
        <v>22671</v>
      </c>
      <c r="G899" s="11" t="n">
        <v>51152</v>
      </c>
      <c r="H899" s="9">
        <f>COUNTIF($G$5:$G$1531,"&gt;"&amp;G899)+1</f>
        <v/>
      </c>
      <c r="I899" s="9" t="inlineStr"/>
      <c r="J899" s="11">
        <f>IF(E899="Private",F899,"")</f>
        <v/>
      </c>
      <c r="K899" s="11">
        <f>IF(E899="Private",G899,"")</f>
        <v/>
      </c>
    </row>
    <row r="900">
      <c r="A900" s="9" t="n">
        <v>221740</v>
      </c>
      <c r="B900" s="9" t="inlineStr">
        <is>
          <t>The University of Tennessee-Chattanooga</t>
        </is>
      </c>
      <c r="C900" s="9" t="inlineStr">
        <is>
          <t>Chattanooga</t>
        </is>
      </c>
      <c r="D900" s="9" t="inlineStr">
        <is>
          <t>TN</t>
        </is>
      </c>
      <c r="E900" s="9" t="inlineStr">
        <is>
          <t>Public</t>
        </is>
      </c>
      <c r="F900" s="11" t="n">
        <v>14265</v>
      </c>
      <c r="G900" s="11" t="n">
        <v>51151</v>
      </c>
      <c r="H900" s="9">
        <f>COUNTIF($G$5:$G$1531,"&gt;"&amp;G900)+1</f>
        <v/>
      </c>
      <c r="I900" s="9" t="inlineStr"/>
      <c r="J900" s="11">
        <f>IF(E900="Private",F900,"")</f>
        <v/>
      </c>
      <c r="K900" s="11">
        <f>IF(E900="Private",G900,"")</f>
        <v/>
      </c>
    </row>
    <row r="901">
      <c r="A901" s="9" t="n">
        <v>240374</v>
      </c>
      <c r="B901" s="9" t="inlineStr">
        <is>
          <t>University of Wisconsin-Parkside</t>
        </is>
      </c>
      <c r="C901" s="9" t="inlineStr">
        <is>
          <t>Kenosha</t>
        </is>
      </c>
      <c r="D901" s="9" t="inlineStr">
        <is>
          <t>WI</t>
        </is>
      </c>
      <c r="E901" s="9" t="inlineStr">
        <is>
          <t>Public</t>
        </is>
      </c>
      <c r="F901" s="11" t="n">
        <v>11772</v>
      </c>
      <c r="G901" s="11" t="n">
        <v>51129</v>
      </c>
      <c r="H901" s="9">
        <f>COUNTIF($G$5:$G$1531,"&gt;"&amp;G901)+1</f>
        <v/>
      </c>
      <c r="I901" s="9" t="inlineStr"/>
      <c r="J901" s="11">
        <f>IF(E901="Private",F901,"")</f>
        <v/>
      </c>
      <c r="K901" s="11">
        <f>IF(E901="Private",G901,"")</f>
        <v/>
      </c>
    </row>
    <row r="902">
      <c r="A902" s="9" t="n">
        <v>147341</v>
      </c>
      <c r="B902" s="9" t="inlineStr">
        <is>
          <t>Monmouth College</t>
        </is>
      </c>
      <c r="C902" s="9" t="inlineStr">
        <is>
          <t>Monmouth</t>
        </is>
      </c>
      <c r="D902" s="9" t="inlineStr">
        <is>
          <t>IL</t>
        </is>
      </c>
      <c r="E902" s="9" t="inlineStr">
        <is>
          <t>Private</t>
        </is>
      </c>
      <c r="F902" s="11" t="n">
        <v>17133</v>
      </c>
      <c r="G902" s="11" t="n">
        <v>51110</v>
      </c>
      <c r="H902" s="9">
        <f>COUNTIF($G$5:$G$1531,"&gt;"&amp;G902)+1</f>
        <v/>
      </c>
      <c r="I902" s="9" t="inlineStr"/>
      <c r="J902" s="11">
        <f>IF(E902="Private",F902,"")</f>
        <v/>
      </c>
      <c r="K902" s="11">
        <f>IF(E902="Private",G902,"")</f>
        <v/>
      </c>
    </row>
    <row r="903">
      <c r="A903" s="9" t="n">
        <v>161235</v>
      </c>
      <c r="B903" s="9" t="inlineStr">
        <is>
          <t>University of Maine at Fort Kent</t>
        </is>
      </c>
      <c r="C903" s="9" t="inlineStr">
        <is>
          <t>Fort Kent</t>
        </is>
      </c>
      <c r="D903" s="9" t="inlineStr">
        <is>
          <t>ME</t>
        </is>
      </c>
      <c r="E903" s="9" t="inlineStr">
        <is>
          <t>Public</t>
        </is>
      </c>
      <c r="F903" s="11" t="n">
        <v>7482</v>
      </c>
      <c r="G903" s="11" t="n">
        <v>51077</v>
      </c>
      <c r="H903" s="9">
        <f>COUNTIF($G$5:$G$1531,"&gt;"&amp;G903)+1</f>
        <v/>
      </c>
      <c r="I903" s="9" t="inlineStr"/>
      <c r="J903" s="11">
        <f>IF(E903="Private",F903,"")</f>
        <v/>
      </c>
      <c r="K903" s="11">
        <f>IF(E903="Private",G903,"")</f>
        <v/>
      </c>
    </row>
    <row r="904">
      <c r="A904" s="9" t="n">
        <v>211431</v>
      </c>
      <c r="B904" s="9" t="inlineStr">
        <is>
          <t>Carlow University</t>
        </is>
      </c>
      <c r="C904" s="9" t="inlineStr">
        <is>
          <t>Pittsburgh</t>
        </is>
      </c>
      <c r="D904" s="9" t="inlineStr">
        <is>
          <t>PA</t>
        </is>
      </c>
      <c r="E904" s="9" t="inlineStr">
        <is>
          <t>Private</t>
        </is>
      </c>
      <c r="F904" s="11" t="n">
        <v>20786</v>
      </c>
      <c r="G904" s="11" t="n">
        <v>51051</v>
      </c>
      <c r="H904" s="9">
        <f>COUNTIF($G$5:$G$1531,"&gt;"&amp;G904)+1</f>
        <v/>
      </c>
      <c r="I904" s="9" t="inlineStr"/>
      <c r="J904" s="11">
        <f>IF(E904="Private",F904,"")</f>
        <v/>
      </c>
      <c r="K904" s="11">
        <f>IF(E904="Private",G904,"")</f>
        <v/>
      </c>
    </row>
    <row r="905">
      <c r="A905" s="9" t="n">
        <v>213020</v>
      </c>
      <c r="B905" s="9" t="inlineStr">
        <is>
          <t>Indiana University of Pennsylvania</t>
        </is>
      </c>
      <c r="C905" s="9" t="inlineStr">
        <is>
          <t>Indiana</t>
        </is>
      </c>
      <c r="D905" s="9" t="inlineStr">
        <is>
          <t>PA</t>
        </is>
      </c>
      <c r="E905" s="9" t="inlineStr">
        <is>
          <t>Public</t>
        </is>
      </c>
      <c r="F905" s="11" t="n">
        <v>16804</v>
      </c>
      <c r="G905" s="11" t="n">
        <v>51019</v>
      </c>
      <c r="H905" s="9">
        <f>COUNTIF($G$5:$G$1531,"&gt;"&amp;G905)+1</f>
        <v/>
      </c>
      <c r="I905" s="9" t="inlineStr"/>
      <c r="J905" s="11">
        <f>IF(E905="Private",F905,"")</f>
        <v/>
      </c>
      <c r="K905" s="11">
        <f>IF(E905="Private",G905,"")</f>
        <v/>
      </c>
    </row>
    <row r="906">
      <c r="A906" s="9" t="n">
        <v>443049</v>
      </c>
      <c r="B906" s="9" t="inlineStr">
        <is>
          <t>Faith International University</t>
        </is>
      </c>
      <c r="C906" s="9" t="inlineStr">
        <is>
          <t>Tacoma</t>
        </is>
      </c>
      <c r="D906" s="9" t="inlineStr">
        <is>
          <t>WA</t>
        </is>
      </c>
      <c r="E906" s="9" t="inlineStr">
        <is>
          <t>Private</t>
        </is>
      </c>
      <c r="F906" s="11" t="n">
        <v>22662</v>
      </c>
      <c r="G906" s="11" t="n">
        <v>51006</v>
      </c>
      <c r="H906" s="9">
        <f>COUNTIF($G$5:$G$1531,"&gt;"&amp;G906)+1</f>
        <v/>
      </c>
      <c r="I906" s="9" t="inlineStr"/>
      <c r="J906" s="11">
        <f>IF(E906="Private",F906,"")</f>
        <v/>
      </c>
      <c r="K906" s="11">
        <f>IF(E906="Private",G906,"")</f>
        <v/>
      </c>
    </row>
    <row r="907">
      <c r="A907" s="9" t="n">
        <v>176017</v>
      </c>
      <c r="B907" s="9" t="inlineStr">
        <is>
          <t>University of Mississippi</t>
        </is>
      </c>
      <c r="C907" s="9" t="inlineStr">
        <is>
          <t>University</t>
        </is>
      </c>
      <c r="D907" s="9" t="inlineStr">
        <is>
          <t>MS</t>
        </is>
      </c>
      <c r="E907" s="9" t="inlineStr">
        <is>
          <t>Public</t>
        </is>
      </c>
      <c r="F907" s="11" t="n">
        <v>13314</v>
      </c>
      <c r="G907" s="11" t="n">
        <v>50994</v>
      </c>
      <c r="H907" s="9">
        <f>COUNTIF($G$5:$G$1531,"&gt;"&amp;G907)+1</f>
        <v/>
      </c>
      <c r="I907" s="9" t="inlineStr"/>
      <c r="J907" s="11">
        <f>IF(E907="Private",F907,"")</f>
        <v/>
      </c>
      <c r="K907" s="11">
        <f>IF(E907="Private",G907,"")</f>
        <v/>
      </c>
    </row>
    <row r="908">
      <c r="A908" s="9" t="n">
        <v>219082</v>
      </c>
      <c r="B908" s="9" t="inlineStr">
        <is>
          <t>Dakota State University</t>
        </is>
      </c>
      <c r="C908" s="9" t="inlineStr">
        <is>
          <t>Madison</t>
        </is>
      </c>
      <c r="D908" s="9" t="inlineStr">
        <is>
          <t>SD</t>
        </is>
      </c>
      <c r="E908" s="9" t="inlineStr">
        <is>
          <t>Public</t>
        </is>
      </c>
      <c r="F908" s="11" t="n">
        <v>21057</v>
      </c>
      <c r="G908" s="11" t="n">
        <v>50970</v>
      </c>
      <c r="H908" s="9">
        <f>COUNTIF($G$5:$G$1531,"&gt;"&amp;G908)+1</f>
        <v/>
      </c>
      <c r="I908" s="9" t="inlineStr"/>
      <c r="J908" s="11">
        <f>IF(E908="Private",F908,"")</f>
        <v/>
      </c>
      <c r="K908" s="11">
        <f>IF(E908="Private",G908,"")</f>
        <v/>
      </c>
    </row>
    <row r="909">
      <c r="A909" s="9" t="n">
        <v>204486</v>
      </c>
      <c r="B909" s="9" t="inlineStr">
        <is>
          <t>University of Northwestern Ohio</t>
        </is>
      </c>
      <c r="C909" s="9" t="inlineStr">
        <is>
          <t>Lima</t>
        </is>
      </c>
      <c r="D909" s="9" t="inlineStr">
        <is>
          <t>OH</t>
        </is>
      </c>
      <c r="E909" s="9" t="inlineStr">
        <is>
          <t>Private</t>
        </is>
      </c>
      <c r="F909" s="11" t="n">
        <v>21807</v>
      </c>
      <c r="G909" s="11" t="n">
        <v>50968</v>
      </c>
      <c r="H909" s="9">
        <f>COUNTIF($G$5:$G$1531,"&gt;"&amp;G909)+1</f>
        <v/>
      </c>
      <c r="I909" s="9" t="inlineStr"/>
      <c r="J909" s="11">
        <f>IF(E909="Private",F909,"")</f>
        <v/>
      </c>
      <c r="K909" s="11">
        <f>IF(E909="Private",G909,"")</f>
        <v/>
      </c>
    </row>
    <row r="910">
      <c r="A910" s="9" t="n">
        <v>228796</v>
      </c>
      <c r="B910" s="9" t="inlineStr">
        <is>
          <t>The University of Texas at El Paso</t>
        </is>
      </c>
      <c r="C910" s="9" t="inlineStr">
        <is>
          <t>El Paso</t>
        </is>
      </c>
      <c r="D910" s="9" t="inlineStr">
        <is>
          <t>TX</t>
        </is>
      </c>
      <c r="E910" s="9" t="inlineStr">
        <is>
          <t>Public</t>
        </is>
      </c>
      <c r="F910" s="11" t="n">
        <v>9403</v>
      </c>
      <c r="G910" s="11" t="n">
        <v>50923</v>
      </c>
      <c r="H910" s="9">
        <f>COUNTIF($G$5:$G$1531,"&gt;"&amp;G910)+1</f>
        <v/>
      </c>
      <c r="I910" s="9" t="inlineStr"/>
      <c r="J910" s="11">
        <f>IF(E910="Private",F910,"")</f>
        <v/>
      </c>
      <c r="K910" s="11">
        <f>IF(E910="Private",G910,"")</f>
        <v/>
      </c>
    </row>
    <row r="911">
      <c r="A911" s="9" t="n">
        <v>174251</v>
      </c>
      <c r="B911" s="9" t="inlineStr">
        <is>
          <t>University of Minnesota-Morris</t>
        </is>
      </c>
      <c r="C911" s="9" t="inlineStr">
        <is>
          <t>Morris</t>
        </is>
      </c>
      <c r="D911" s="9" t="inlineStr">
        <is>
          <t>MN</t>
        </is>
      </c>
      <c r="E911" s="9" t="inlineStr">
        <is>
          <t>Public</t>
        </is>
      </c>
      <c r="F911" s="11" t="n">
        <v>8837</v>
      </c>
      <c r="G911" s="11" t="n">
        <v>50919</v>
      </c>
      <c r="H911" s="9">
        <f>COUNTIF($G$5:$G$1531,"&gt;"&amp;G911)+1</f>
        <v/>
      </c>
      <c r="I911" s="9" t="inlineStr"/>
      <c r="J911" s="11">
        <f>IF(E911="Private",F911,"")</f>
        <v/>
      </c>
      <c r="K911" s="11">
        <f>IF(E911="Private",G911,"")</f>
        <v/>
      </c>
    </row>
    <row r="912">
      <c r="A912" s="9" t="n">
        <v>179894</v>
      </c>
      <c r="B912" s="9" t="inlineStr">
        <is>
          <t>Webster University</t>
        </is>
      </c>
      <c r="C912" s="9" t="inlineStr">
        <is>
          <t>Saint Louis</t>
        </is>
      </c>
      <c r="D912" s="9" t="inlineStr">
        <is>
          <t>MO</t>
        </is>
      </c>
      <c r="E912" s="9" t="inlineStr">
        <is>
          <t>Private</t>
        </is>
      </c>
      <c r="F912" s="11" t="n">
        <v>27047</v>
      </c>
      <c r="G912" s="11" t="n">
        <v>50876</v>
      </c>
      <c r="H912" s="9">
        <f>COUNTIF($G$5:$G$1531,"&gt;"&amp;G912)+1</f>
        <v/>
      </c>
      <c r="I912" s="9" t="inlineStr"/>
      <c r="J912" s="11">
        <f>IF(E912="Private",F912,"")</f>
        <v/>
      </c>
      <c r="K912" s="11">
        <f>IF(E912="Private",G912,"")</f>
        <v/>
      </c>
    </row>
    <row r="913">
      <c r="A913" s="9" t="n">
        <v>150455</v>
      </c>
      <c r="B913" s="9" t="inlineStr">
        <is>
          <t>Earlham College</t>
        </is>
      </c>
      <c r="C913" s="9" t="inlineStr">
        <is>
          <t>Richmond</t>
        </is>
      </c>
      <c r="D913" s="9" t="inlineStr">
        <is>
          <t>IN</t>
        </is>
      </c>
      <c r="E913" s="9" t="inlineStr">
        <is>
          <t>Private</t>
        </is>
      </c>
      <c r="F913" s="11" t="n">
        <v>24714</v>
      </c>
      <c r="G913" s="11" t="n">
        <v>50797</v>
      </c>
      <c r="H913" s="9">
        <f>COUNTIF($G$5:$G$1531,"&gt;"&amp;G913)+1</f>
        <v/>
      </c>
      <c r="I913" s="9" t="inlineStr"/>
      <c r="J913" s="11">
        <f>IF(E913="Private",F913,"")</f>
        <v/>
      </c>
      <c r="K913" s="11">
        <f>IF(E913="Private",G913,"")</f>
        <v/>
      </c>
    </row>
    <row r="914">
      <c r="A914" s="9" t="n">
        <v>174491</v>
      </c>
      <c r="B914" s="9" t="inlineStr">
        <is>
          <t>University of Northwestern-St Paul</t>
        </is>
      </c>
      <c r="C914" s="9" t="inlineStr">
        <is>
          <t>Saint Paul</t>
        </is>
      </c>
      <c r="D914" s="9" t="inlineStr">
        <is>
          <t>MN</t>
        </is>
      </c>
      <c r="E914" s="9" t="inlineStr">
        <is>
          <t>Private</t>
        </is>
      </c>
      <c r="F914" s="11" t="n">
        <v>27705</v>
      </c>
      <c r="G914" s="11" t="n">
        <v>50755</v>
      </c>
      <c r="H914" s="9">
        <f>COUNTIF($G$5:$G$1531,"&gt;"&amp;G914)+1</f>
        <v/>
      </c>
      <c r="I914" s="9" t="inlineStr"/>
      <c r="J914" s="11">
        <f>IF(E914="Private",F914,"")</f>
        <v/>
      </c>
      <c r="K914" s="11">
        <f>IF(E914="Private",G914,"")</f>
        <v/>
      </c>
    </row>
    <row r="915">
      <c r="A915" s="9" t="n">
        <v>229814</v>
      </c>
      <c r="B915" s="9" t="inlineStr">
        <is>
          <t>West Texas A &amp; M University</t>
        </is>
      </c>
      <c r="C915" s="9" t="inlineStr">
        <is>
          <t>Canyon</t>
        </is>
      </c>
      <c r="D915" s="9" t="inlineStr">
        <is>
          <t>TX</t>
        </is>
      </c>
      <c r="E915" s="9" t="inlineStr">
        <is>
          <t>Public</t>
        </is>
      </c>
      <c r="F915" s="11" t="n">
        <v>19487</v>
      </c>
      <c r="G915" s="11" t="n">
        <v>50741</v>
      </c>
      <c r="H915" s="9">
        <f>COUNTIF($G$5:$G$1531,"&gt;"&amp;G915)+1</f>
        <v/>
      </c>
      <c r="I915" s="9" t="inlineStr"/>
      <c r="J915" s="11">
        <f>IF(E915="Private",F915,"")</f>
        <v/>
      </c>
      <c r="K915" s="11">
        <f>IF(E915="Private",G915,"")</f>
        <v/>
      </c>
    </row>
    <row r="916">
      <c r="A916" s="9" t="n">
        <v>200059</v>
      </c>
      <c r="B916" s="9" t="inlineStr">
        <is>
          <t>Dickinson State University</t>
        </is>
      </c>
      <c r="C916" s="9" t="inlineStr">
        <is>
          <t>Dickinson</t>
        </is>
      </c>
      <c r="D916" s="9" t="inlineStr">
        <is>
          <t>ND</t>
        </is>
      </c>
      <c r="E916" s="9" t="inlineStr">
        <is>
          <t>Public</t>
        </is>
      </c>
      <c r="F916" s="11" t="n">
        <v>14092</v>
      </c>
      <c r="G916" s="11" t="n">
        <v>50720</v>
      </c>
      <c r="H916" s="9">
        <f>COUNTIF($G$5:$G$1531,"&gt;"&amp;G916)+1</f>
        <v/>
      </c>
      <c r="I916" s="9" t="inlineStr"/>
      <c r="J916" s="11">
        <f>IF(E916="Private",F916,"")</f>
        <v/>
      </c>
      <c r="K916" s="11">
        <f>IF(E916="Private",G916,"")</f>
        <v/>
      </c>
    </row>
    <row r="917">
      <c r="A917" s="9" t="n">
        <v>235343</v>
      </c>
      <c r="B917" s="9" t="inlineStr">
        <is>
          <t>Green River College</t>
        </is>
      </c>
      <c r="C917" s="9" t="inlineStr">
        <is>
          <t>Auburn</t>
        </is>
      </c>
      <c r="D917" s="9" t="inlineStr">
        <is>
          <t>WA</t>
        </is>
      </c>
      <c r="E917" s="9" t="inlineStr">
        <is>
          <t>Public</t>
        </is>
      </c>
      <c r="F917" s="11" t="n">
        <v>13803</v>
      </c>
      <c r="G917" s="11" t="n">
        <v>50712</v>
      </c>
      <c r="H917" s="9">
        <f>COUNTIF($G$5:$G$1531,"&gt;"&amp;G917)+1</f>
        <v/>
      </c>
      <c r="I917" s="9" t="inlineStr"/>
      <c r="J917" s="11">
        <f>IF(E917="Private",F917,"")</f>
        <v/>
      </c>
      <c r="K917" s="11">
        <f>IF(E917="Private",G917,"")</f>
        <v/>
      </c>
    </row>
    <row r="918">
      <c r="A918" s="9" t="n">
        <v>163453</v>
      </c>
      <c r="B918" s="9" t="inlineStr">
        <is>
          <t>Morgan State University</t>
        </is>
      </c>
      <c r="C918" s="9" t="inlineStr">
        <is>
          <t>Baltimore</t>
        </is>
      </c>
      <c r="D918" s="9" t="inlineStr">
        <is>
          <t>MD</t>
        </is>
      </c>
      <c r="E918" s="9" t="inlineStr">
        <is>
          <t>Public</t>
        </is>
      </c>
      <c r="F918" s="11" t="n">
        <v>14985</v>
      </c>
      <c r="G918" s="11" t="n">
        <v>50698</v>
      </c>
      <c r="H918" s="9">
        <f>COUNTIF($G$5:$G$1531,"&gt;"&amp;G918)+1</f>
        <v/>
      </c>
      <c r="I918" s="9" t="inlineStr"/>
      <c r="J918" s="11">
        <f>IF(E918="Private",F918,"")</f>
        <v/>
      </c>
      <c r="K918" s="11">
        <f>IF(E918="Private",G918,"")</f>
        <v/>
      </c>
    </row>
    <row r="919">
      <c r="A919" s="9" t="n">
        <v>235699</v>
      </c>
      <c r="B919" s="9" t="inlineStr">
        <is>
          <t>Lake Washington Institute of Technology</t>
        </is>
      </c>
      <c r="C919" s="9" t="inlineStr">
        <is>
          <t>Kirkland</t>
        </is>
      </c>
      <c r="D919" s="9" t="inlineStr">
        <is>
          <t>WA</t>
        </is>
      </c>
      <c r="E919" s="9" t="inlineStr">
        <is>
          <t>Public</t>
        </is>
      </c>
      <c r="F919" s="11" t="n">
        <v>6817</v>
      </c>
      <c r="G919" s="11" t="n">
        <v>50669</v>
      </c>
      <c r="H919" s="9">
        <f>COUNTIF($G$5:$G$1531,"&gt;"&amp;G919)+1</f>
        <v/>
      </c>
      <c r="I919" s="9" t="inlineStr"/>
      <c r="J919" s="11">
        <f>IF(E919="Private",F919,"")</f>
        <v/>
      </c>
      <c r="K919" s="11">
        <f>IF(E919="Private",G919,"")</f>
        <v/>
      </c>
    </row>
    <row r="920">
      <c r="A920" s="9" t="n">
        <v>214883</v>
      </c>
      <c r="B920" s="9" t="inlineStr">
        <is>
          <t>Peirce College</t>
        </is>
      </c>
      <c r="C920" s="9" t="inlineStr">
        <is>
          <t>Philadelphia</t>
        </is>
      </c>
      <c r="D920" s="9" t="inlineStr">
        <is>
          <t>PA</t>
        </is>
      </c>
      <c r="E920" s="9" t="inlineStr">
        <is>
          <t>Private</t>
        </is>
      </c>
      <c r="F920" s="11" t="n">
        <v>12148</v>
      </c>
      <c r="G920" s="11" t="n">
        <v>50660</v>
      </c>
      <c r="H920" s="9">
        <f>COUNTIF($G$5:$G$1531,"&gt;"&amp;G920)+1</f>
        <v/>
      </c>
      <c r="I920" s="9" t="inlineStr"/>
      <c r="J920" s="11">
        <f>IF(E920="Private",F920,"")</f>
        <v/>
      </c>
      <c r="K920" s="11">
        <f>IF(E920="Private",G920,"")</f>
        <v/>
      </c>
    </row>
    <row r="921">
      <c r="A921" s="9" t="n">
        <v>206084</v>
      </c>
      <c r="B921" s="9" t="inlineStr">
        <is>
          <t>University of Toledo</t>
        </is>
      </c>
      <c r="C921" s="9" t="inlineStr">
        <is>
          <t>Toledo</t>
        </is>
      </c>
      <c r="D921" s="9" t="inlineStr">
        <is>
          <t>OH</t>
        </is>
      </c>
      <c r="E921" s="9" t="inlineStr">
        <is>
          <t>Public</t>
        </is>
      </c>
      <c r="F921" s="11" t="n">
        <v>17249</v>
      </c>
      <c r="G921" s="11" t="n">
        <v>50632</v>
      </c>
      <c r="H921" s="9">
        <f>COUNTIF($G$5:$G$1531,"&gt;"&amp;G921)+1</f>
        <v/>
      </c>
      <c r="I921" s="9" t="inlineStr"/>
      <c r="J921" s="11">
        <f>IF(E921="Private",F921,"")</f>
        <v/>
      </c>
      <c r="K921" s="11">
        <f>IF(E921="Private",G921,"")</f>
        <v/>
      </c>
    </row>
    <row r="922">
      <c r="A922" s="9" t="n">
        <v>155681</v>
      </c>
      <c r="B922" s="9" t="inlineStr">
        <is>
          <t>Pittsburg State University</t>
        </is>
      </c>
      <c r="C922" s="9" t="inlineStr">
        <is>
          <t>Pittsburg</t>
        </is>
      </c>
      <c r="D922" s="9" t="inlineStr">
        <is>
          <t>KS</t>
        </is>
      </c>
      <c r="E922" s="9" t="inlineStr">
        <is>
          <t>Public</t>
        </is>
      </c>
      <c r="F922" s="11" t="n">
        <v>15784</v>
      </c>
      <c r="G922" s="11" t="n">
        <v>50579</v>
      </c>
      <c r="H922" s="9">
        <f>COUNTIF($G$5:$G$1531,"&gt;"&amp;G922)+1</f>
        <v/>
      </c>
      <c r="I922" s="9" t="inlineStr"/>
      <c r="J922" s="11">
        <f>IF(E922="Private",F922,"")</f>
        <v/>
      </c>
      <c r="K922" s="11">
        <f>IF(E922="Private",G922,"")</f>
        <v/>
      </c>
    </row>
    <row r="923">
      <c r="A923" s="9" t="n">
        <v>174358</v>
      </c>
      <c r="B923" s="9" t="inlineStr">
        <is>
          <t>Minnesota State University Moorhead</t>
        </is>
      </c>
      <c r="C923" s="9" t="inlineStr">
        <is>
          <t>Moorhead</t>
        </is>
      </c>
      <c r="D923" s="9" t="inlineStr">
        <is>
          <t>MN</t>
        </is>
      </c>
      <c r="E923" s="9" t="inlineStr">
        <is>
          <t>Public</t>
        </is>
      </c>
      <c r="F923" s="11" t="n">
        <v>17997</v>
      </c>
      <c r="G923" s="11" t="n">
        <v>50527</v>
      </c>
      <c r="H923" s="9">
        <f>COUNTIF($G$5:$G$1531,"&gt;"&amp;G923)+1</f>
        <v/>
      </c>
      <c r="I923" s="9" t="inlineStr"/>
      <c r="J923" s="11">
        <f>IF(E923="Private",F923,"")</f>
        <v/>
      </c>
      <c r="K923" s="11">
        <f>IF(E923="Private",G923,"")</f>
        <v/>
      </c>
    </row>
    <row r="924">
      <c r="A924" s="9" t="n">
        <v>196006</v>
      </c>
      <c r="B924" s="9" t="inlineStr">
        <is>
          <t>SUNY College of Technology at Alfred</t>
        </is>
      </c>
      <c r="C924" s="9" t="inlineStr">
        <is>
          <t>Alfred</t>
        </is>
      </c>
      <c r="D924" s="9" t="inlineStr">
        <is>
          <t>NY</t>
        </is>
      </c>
      <c r="E924" s="9" t="inlineStr">
        <is>
          <t>Public</t>
        </is>
      </c>
      <c r="F924" s="11" t="n">
        <v>15016</v>
      </c>
      <c r="G924" s="11" t="n">
        <v>50445</v>
      </c>
      <c r="H924" s="9">
        <f>COUNTIF($G$5:$G$1531,"&gt;"&amp;G924)+1</f>
        <v/>
      </c>
      <c r="I924" s="9" t="inlineStr"/>
      <c r="J924" s="11">
        <f>IF(E924="Private",F924,"")</f>
        <v/>
      </c>
      <c r="K924" s="11">
        <f>IF(E924="Private",G924,"")</f>
        <v/>
      </c>
    </row>
    <row r="925">
      <c r="A925" s="9" t="n">
        <v>203580</v>
      </c>
      <c r="B925" s="9" t="inlineStr">
        <is>
          <t>Lake Erie College</t>
        </is>
      </c>
      <c r="C925" s="9" t="inlineStr">
        <is>
          <t>Painesville</t>
        </is>
      </c>
      <c r="D925" s="9" t="inlineStr">
        <is>
          <t>OH</t>
        </is>
      </c>
      <c r="E925" s="9" t="inlineStr">
        <is>
          <t>Private</t>
        </is>
      </c>
      <c r="F925" s="11" t="n">
        <v>20961</v>
      </c>
      <c r="G925" s="11" t="n">
        <v>50417</v>
      </c>
      <c r="H925" s="9">
        <f>COUNTIF($G$5:$G$1531,"&gt;"&amp;G925)+1</f>
        <v/>
      </c>
      <c r="I925" s="9" t="inlineStr"/>
      <c r="J925" s="11">
        <f>IF(E925="Private",F925,"")</f>
        <v/>
      </c>
      <c r="K925" s="11">
        <f>IF(E925="Private",G925,"")</f>
        <v/>
      </c>
    </row>
    <row r="926">
      <c r="A926" s="9" t="n">
        <v>150774</v>
      </c>
      <c r="B926" s="9" t="inlineStr">
        <is>
          <t>Holy Cross College</t>
        </is>
      </c>
      <c r="C926" s="9" t="inlineStr">
        <is>
          <t>Notre Dame</t>
        </is>
      </c>
      <c r="D926" s="9" t="inlineStr">
        <is>
          <t>IN</t>
        </is>
      </c>
      <c r="E926" s="9" t="inlineStr">
        <is>
          <t>Private</t>
        </is>
      </c>
      <c r="F926" s="11" t="n">
        <v>26728</v>
      </c>
      <c r="G926" s="11" t="n">
        <v>50416</v>
      </c>
      <c r="H926" s="9">
        <f>COUNTIF($G$5:$G$1531,"&gt;"&amp;G926)+1</f>
        <v/>
      </c>
      <c r="I926" s="9" t="inlineStr"/>
      <c r="J926" s="11">
        <f>IF(E926="Private",F926,"")</f>
        <v/>
      </c>
      <c r="K926" s="11">
        <f>IF(E926="Private",G926,"")</f>
        <v/>
      </c>
    </row>
    <row r="927">
      <c r="A927" s="9" t="n">
        <v>126669</v>
      </c>
      <c r="B927" s="9" t="inlineStr">
        <is>
          <t>Colorado Christian University</t>
        </is>
      </c>
      <c r="C927" s="9" t="inlineStr">
        <is>
          <t>Lakewood</t>
        </is>
      </c>
      <c r="D927" s="9" t="inlineStr">
        <is>
          <t>CO</t>
        </is>
      </c>
      <c r="E927" s="9" t="inlineStr">
        <is>
          <t>Private</t>
        </is>
      </c>
      <c r="F927" s="11" t="n">
        <v>29500</v>
      </c>
      <c r="G927" s="11" t="n">
        <v>50416</v>
      </c>
      <c r="H927" s="9">
        <f>COUNTIF($G$5:$G$1531,"&gt;"&amp;G927)+1</f>
        <v/>
      </c>
      <c r="I927" s="9" t="inlineStr"/>
      <c r="J927" s="11">
        <f>IF(E927="Private",F927,"")</f>
        <v/>
      </c>
      <c r="K927" s="11">
        <f>IF(E927="Private",G927,"")</f>
        <v/>
      </c>
    </row>
    <row r="928">
      <c r="A928" s="9" t="n">
        <v>139393</v>
      </c>
      <c r="B928" s="9" t="inlineStr">
        <is>
          <t>Covenant College</t>
        </is>
      </c>
      <c r="C928" s="9" t="inlineStr">
        <is>
          <t>Lookout Mountain</t>
        </is>
      </c>
      <c r="D928" s="9" t="inlineStr">
        <is>
          <t>GA</t>
        </is>
      </c>
      <c r="E928" s="9" t="inlineStr">
        <is>
          <t>Private</t>
        </is>
      </c>
      <c r="F928" s="11" t="n">
        <v>26265</v>
      </c>
      <c r="G928" s="11" t="n">
        <v>50412</v>
      </c>
      <c r="H928" s="9">
        <f>COUNTIF($G$5:$G$1531,"&gt;"&amp;G928)+1</f>
        <v/>
      </c>
      <c r="I928" s="9" t="inlineStr"/>
      <c r="J928" s="11">
        <f>IF(E928="Private",F928,"")</f>
        <v/>
      </c>
      <c r="K928" s="11">
        <f>IF(E928="Private",G928,"")</f>
        <v/>
      </c>
    </row>
    <row r="929">
      <c r="A929" s="9" t="n">
        <v>148131</v>
      </c>
      <c r="B929" s="9" t="inlineStr">
        <is>
          <t>Quincy University</t>
        </is>
      </c>
      <c r="C929" s="9" t="inlineStr">
        <is>
          <t>Quincy</t>
        </is>
      </c>
      <c r="D929" s="9" t="inlineStr">
        <is>
          <t>IL</t>
        </is>
      </c>
      <c r="E929" s="9" t="inlineStr">
        <is>
          <t>Private</t>
        </is>
      </c>
      <c r="F929" s="11" t="n">
        <v>20359</v>
      </c>
      <c r="G929" s="11" t="n">
        <v>50369</v>
      </c>
      <c r="H929" s="9">
        <f>COUNTIF($G$5:$G$1531,"&gt;"&amp;G929)+1</f>
        <v/>
      </c>
      <c r="I929" s="9" t="inlineStr"/>
      <c r="J929" s="11">
        <f>IF(E929="Private",F929,"")</f>
        <v/>
      </c>
      <c r="K929" s="11">
        <f>IF(E929="Private",G929,"")</f>
        <v/>
      </c>
    </row>
    <row r="930">
      <c r="A930" s="9" t="n">
        <v>231165</v>
      </c>
      <c r="B930" s="9" t="inlineStr">
        <is>
          <t>Vermont State University</t>
        </is>
      </c>
      <c r="C930" s="9" t="inlineStr">
        <is>
          <t>Randolph</t>
        </is>
      </c>
      <c r="D930" s="9" t="inlineStr">
        <is>
          <t>VT</t>
        </is>
      </c>
      <c r="E930" s="9" t="inlineStr">
        <is>
          <t>Public</t>
        </is>
      </c>
      <c r="F930" s="11" t="n">
        <v>18212</v>
      </c>
      <c r="G930" s="11" t="n">
        <v>50331</v>
      </c>
      <c r="H930" s="9">
        <f>COUNTIF($G$5:$G$1531,"&gt;"&amp;G930)+1</f>
        <v/>
      </c>
      <c r="I930" s="9" t="inlineStr"/>
      <c r="J930" s="11">
        <f>IF(E930="Private",F930,"")</f>
        <v/>
      </c>
      <c r="K930" s="11">
        <f>IF(E930="Private",G930,"")</f>
        <v/>
      </c>
    </row>
    <row r="931">
      <c r="A931" s="9" t="n">
        <v>158477</v>
      </c>
      <c r="B931" s="9" t="inlineStr">
        <is>
          <t>Centenary College of Louisiana</t>
        </is>
      </c>
      <c r="C931" s="9" t="inlineStr">
        <is>
          <t>Shreveport</t>
        </is>
      </c>
      <c r="D931" s="9" t="inlineStr">
        <is>
          <t>LA</t>
        </is>
      </c>
      <c r="E931" s="9" t="inlineStr">
        <is>
          <t>Private</t>
        </is>
      </c>
      <c r="F931" s="11" t="n">
        <v>23624</v>
      </c>
      <c r="G931" s="11" t="n">
        <v>50330</v>
      </c>
      <c r="H931" s="9">
        <f>COUNTIF($G$5:$G$1531,"&gt;"&amp;G931)+1</f>
        <v/>
      </c>
      <c r="I931" s="9" t="inlineStr"/>
      <c r="J931" s="11">
        <f>IF(E931="Private",F931,"")</f>
        <v/>
      </c>
      <c r="K931" s="11">
        <f>IF(E931="Private",G931,"")</f>
        <v/>
      </c>
    </row>
    <row r="932">
      <c r="A932" s="9" t="n">
        <v>128744</v>
      </c>
      <c r="B932" s="9" t="inlineStr">
        <is>
          <t>University of Bridgeport</t>
        </is>
      </c>
      <c r="C932" s="9" t="inlineStr">
        <is>
          <t>Bridgeport</t>
        </is>
      </c>
      <c r="D932" s="9" t="inlineStr">
        <is>
          <t>CT</t>
        </is>
      </c>
      <c r="E932" s="9" t="inlineStr">
        <is>
          <t>Private</t>
        </is>
      </c>
      <c r="F932" s="11" t="n">
        <v>27807</v>
      </c>
      <c r="G932" s="11" t="n">
        <v>50323</v>
      </c>
      <c r="H932" s="9">
        <f>COUNTIF($G$5:$G$1531,"&gt;"&amp;G932)+1</f>
        <v/>
      </c>
      <c r="I932" s="9" t="inlineStr"/>
      <c r="J932" s="11">
        <f>IF(E932="Private",F932,"")</f>
        <v/>
      </c>
      <c r="K932" s="11">
        <f>IF(E932="Private",G932,"")</f>
        <v/>
      </c>
    </row>
    <row r="933">
      <c r="A933" s="9" t="n">
        <v>183026</v>
      </c>
      <c r="B933" s="9" t="inlineStr">
        <is>
          <t>Southern New Hampshire University</t>
        </is>
      </c>
      <c r="C933" s="9" t="inlineStr">
        <is>
          <t>Manchester</t>
        </is>
      </c>
      <c r="D933" s="9" t="inlineStr">
        <is>
          <t>NH</t>
        </is>
      </c>
      <c r="E933" s="9" t="inlineStr">
        <is>
          <t>Private</t>
        </is>
      </c>
      <c r="F933" s="11" t="n">
        <v>36708</v>
      </c>
      <c r="G933" s="11" t="n">
        <v>50318</v>
      </c>
      <c r="H933" s="9">
        <f>COUNTIF($G$5:$G$1531,"&gt;"&amp;G933)+1</f>
        <v/>
      </c>
      <c r="I933" s="9" t="inlineStr"/>
      <c r="J933" s="11">
        <f>IF(E933="Private",F933,"")</f>
        <v/>
      </c>
      <c r="K933" s="11">
        <f>IF(E933="Private",G933,"")</f>
        <v/>
      </c>
    </row>
    <row r="934">
      <c r="A934" s="9" t="n">
        <v>230603</v>
      </c>
      <c r="B934" s="9" t="inlineStr">
        <is>
          <t>Southern Utah University</t>
        </is>
      </c>
      <c r="C934" s="9" t="inlineStr">
        <is>
          <t>Cedar City</t>
        </is>
      </c>
      <c r="D934" s="9" t="inlineStr">
        <is>
          <t>UT</t>
        </is>
      </c>
      <c r="E934" s="9" t="inlineStr">
        <is>
          <t>Public</t>
        </is>
      </c>
      <c r="F934" s="11" t="n">
        <v>10462</v>
      </c>
      <c r="G934" s="11" t="n">
        <v>50296</v>
      </c>
      <c r="H934" s="9">
        <f>COUNTIF($G$5:$G$1531,"&gt;"&amp;G934)+1</f>
        <v/>
      </c>
      <c r="I934" s="9" t="inlineStr"/>
      <c r="J934" s="11">
        <f>IF(E934="Private",F934,"")</f>
        <v/>
      </c>
      <c r="K934" s="11">
        <f>IF(E934="Private",G934,"")</f>
        <v/>
      </c>
    </row>
    <row r="935">
      <c r="A935" s="9" t="n">
        <v>224554</v>
      </c>
      <c r="B935" s="9" t="inlineStr">
        <is>
          <t>East Texas A&amp;M University</t>
        </is>
      </c>
      <c r="C935" s="9" t="inlineStr">
        <is>
          <t>Commerce</t>
        </is>
      </c>
      <c r="D935" s="9" t="inlineStr">
        <is>
          <t>TX</t>
        </is>
      </c>
      <c r="E935" s="9" t="inlineStr">
        <is>
          <t>Public</t>
        </is>
      </c>
      <c r="F935" s="11" t="n">
        <v>11841</v>
      </c>
      <c r="G935" s="11" t="n">
        <v>50296</v>
      </c>
      <c r="H935" s="9">
        <f>COUNTIF($G$5:$G$1531,"&gt;"&amp;G935)+1</f>
        <v/>
      </c>
      <c r="I935" s="9" t="inlineStr"/>
      <c r="J935" s="11">
        <f>IF(E935="Private",F935,"")</f>
        <v/>
      </c>
      <c r="K935" s="11">
        <f>IF(E935="Private",G935,"")</f>
        <v/>
      </c>
    </row>
    <row r="936">
      <c r="A936" s="9" t="n">
        <v>157447</v>
      </c>
      <c r="B936" s="9" t="inlineStr">
        <is>
          <t>Northern Kentucky University</t>
        </is>
      </c>
      <c r="C936" s="9" t="inlineStr">
        <is>
          <t>Highland Heights</t>
        </is>
      </c>
      <c r="D936" s="9" t="inlineStr">
        <is>
          <t>KY</t>
        </is>
      </c>
      <c r="E936" s="9" t="inlineStr">
        <is>
          <t>Public</t>
        </is>
      </c>
      <c r="F936" s="11" t="n">
        <v>8191</v>
      </c>
      <c r="G936" s="11" t="n">
        <v>50220</v>
      </c>
      <c r="H936" s="9">
        <f>COUNTIF($G$5:$G$1531,"&gt;"&amp;G936)+1</f>
        <v/>
      </c>
      <c r="I936" s="9" t="inlineStr"/>
      <c r="J936" s="11">
        <f>IF(E936="Private",F936,"")</f>
        <v/>
      </c>
      <c r="K936" s="11">
        <f>IF(E936="Private",G936,"")</f>
        <v/>
      </c>
    </row>
    <row r="937">
      <c r="A937" s="9" t="n">
        <v>482680</v>
      </c>
      <c r="B937" s="9" t="inlineStr">
        <is>
          <t>University of North Georgia</t>
        </is>
      </c>
      <c r="C937" s="9" t="inlineStr">
        <is>
          <t>Dahlonega</t>
        </is>
      </c>
      <c r="D937" s="9" t="inlineStr">
        <is>
          <t>GA</t>
        </is>
      </c>
      <c r="E937" s="9" t="inlineStr">
        <is>
          <t>Public</t>
        </is>
      </c>
      <c r="F937" s="11" t="n">
        <v>9823</v>
      </c>
      <c r="G937" s="11" t="n">
        <v>50135</v>
      </c>
      <c r="H937" s="9">
        <f>COUNTIF($G$5:$G$1531,"&gt;"&amp;G937)+1</f>
        <v/>
      </c>
      <c r="I937" s="9" t="inlineStr"/>
      <c r="J937" s="11">
        <f>IF(E937="Private",F937,"")</f>
        <v/>
      </c>
      <c r="K937" s="11">
        <f>IF(E937="Private",G937,"")</f>
        <v/>
      </c>
    </row>
    <row r="938">
      <c r="A938" s="9" t="n">
        <v>222831</v>
      </c>
      <c r="B938" s="9" t="inlineStr">
        <is>
          <t>Angelo State University</t>
        </is>
      </c>
      <c r="C938" s="9" t="inlineStr">
        <is>
          <t>San Angelo</t>
        </is>
      </c>
      <c r="D938" s="9" t="inlineStr">
        <is>
          <t>TX</t>
        </is>
      </c>
      <c r="E938" s="9" t="inlineStr">
        <is>
          <t>Public</t>
        </is>
      </c>
      <c r="F938" s="11" t="n">
        <v>15091</v>
      </c>
      <c r="G938" s="11" t="n">
        <v>50116</v>
      </c>
      <c r="H938" s="9">
        <f>COUNTIF($G$5:$G$1531,"&gt;"&amp;G938)+1</f>
        <v/>
      </c>
      <c r="I938" s="9" t="inlineStr"/>
      <c r="J938" s="11">
        <f>IF(E938="Private",F938,"")</f>
        <v/>
      </c>
      <c r="K938" s="11">
        <f>IF(E938="Private",G938,"")</f>
        <v/>
      </c>
    </row>
    <row r="939">
      <c r="A939" s="9" t="n">
        <v>208646</v>
      </c>
      <c r="B939" s="9" t="inlineStr">
        <is>
          <t>Eastern Oregon University</t>
        </is>
      </c>
      <c r="C939" s="9" t="inlineStr">
        <is>
          <t>La Grande</t>
        </is>
      </c>
      <c r="D939" s="9" t="inlineStr">
        <is>
          <t>OR</t>
        </is>
      </c>
      <c r="E939" s="9" t="inlineStr">
        <is>
          <t>Public</t>
        </is>
      </c>
      <c r="F939" s="11" t="n">
        <v>17148</v>
      </c>
      <c r="G939" s="11" t="n">
        <v>50112</v>
      </c>
      <c r="H939" s="9">
        <f>COUNTIF($G$5:$G$1531,"&gt;"&amp;G939)+1</f>
        <v/>
      </c>
      <c r="I939" s="9" t="inlineStr"/>
      <c r="J939" s="11">
        <f>IF(E939="Private",F939,"")</f>
        <v/>
      </c>
      <c r="K939" s="11">
        <f>IF(E939="Private",G939,"")</f>
        <v/>
      </c>
    </row>
    <row r="940">
      <c r="A940" s="9" t="n">
        <v>181215</v>
      </c>
      <c r="B940" s="9" t="inlineStr">
        <is>
          <t>University of Nebraska at Kearney</t>
        </is>
      </c>
      <c r="C940" s="9" t="inlineStr">
        <is>
          <t>Kearney</t>
        </is>
      </c>
      <c r="D940" s="9" t="inlineStr">
        <is>
          <t>NE</t>
        </is>
      </c>
      <c r="E940" s="9" t="inlineStr">
        <is>
          <t>Public</t>
        </is>
      </c>
      <c r="F940" s="11" t="n">
        <v>16242</v>
      </c>
      <c r="G940" s="11" t="n">
        <v>50105</v>
      </c>
      <c r="H940" s="9">
        <f>COUNTIF($G$5:$G$1531,"&gt;"&amp;G940)+1</f>
        <v/>
      </c>
      <c r="I940" s="9" t="inlineStr"/>
      <c r="J940" s="11">
        <f>IF(E940="Private",F940,"")</f>
        <v/>
      </c>
      <c r="K940" s="11">
        <f>IF(E940="Private",G940,"")</f>
        <v/>
      </c>
    </row>
    <row r="941">
      <c r="A941" s="9" t="n">
        <v>234173</v>
      </c>
      <c r="B941" s="9" t="inlineStr">
        <is>
          <t>Virginia Wesleyan University</t>
        </is>
      </c>
      <c r="C941" s="9" t="inlineStr">
        <is>
          <t>Virginia Beach</t>
        </is>
      </c>
      <c r="D941" s="9" t="inlineStr">
        <is>
          <t>VA</t>
        </is>
      </c>
      <c r="E941" s="9" t="inlineStr">
        <is>
          <t>Private</t>
        </is>
      </c>
      <c r="F941" s="11" t="n">
        <v>19676</v>
      </c>
      <c r="G941" s="11" t="n">
        <v>50074</v>
      </c>
      <c r="H941" s="9">
        <f>COUNTIF($G$5:$G$1531,"&gt;"&amp;G941)+1</f>
        <v/>
      </c>
      <c r="I941" s="9" t="inlineStr"/>
      <c r="J941" s="11">
        <f>IF(E941="Private",F941,"")</f>
        <v/>
      </c>
      <c r="K941" s="11">
        <f>IF(E941="Private",G941,"")</f>
        <v/>
      </c>
    </row>
    <row r="942">
      <c r="A942" s="9" t="n">
        <v>205957</v>
      </c>
      <c r="B942" s="9" t="inlineStr">
        <is>
          <t>Franciscan University of Steubenville</t>
        </is>
      </c>
      <c r="C942" s="9" t="inlineStr">
        <is>
          <t>Steubenville</t>
        </is>
      </c>
      <c r="D942" s="9" t="inlineStr">
        <is>
          <t>OH</t>
        </is>
      </c>
      <c r="E942" s="9" t="inlineStr">
        <is>
          <t>Private</t>
        </is>
      </c>
      <c r="F942" s="11" t="n">
        <v>23589</v>
      </c>
      <c r="G942" s="11" t="n">
        <v>50030</v>
      </c>
      <c r="H942" s="9">
        <f>COUNTIF($G$5:$G$1531,"&gt;"&amp;G942)+1</f>
        <v/>
      </c>
      <c r="I942" s="9" t="inlineStr"/>
      <c r="J942" s="11">
        <f>IF(E942="Private",F942,"")</f>
        <v/>
      </c>
      <c r="K942" s="11">
        <f>IF(E942="Private",G942,"")</f>
        <v/>
      </c>
    </row>
    <row r="943">
      <c r="A943" s="9" t="n">
        <v>212656</v>
      </c>
      <c r="B943" s="9" t="inlineStr">
        <is>
          <t>Geneva College</t>
        </is>
      </c>
      <c r="C943" s="9" t="inlineStr">
        <is>
          <t>Beaver Falls</t>
        </is>
      </c>
      <c r="D943" s="9" t="inlineStr">
        <is>
          <t>PA</t>
        </is>
      </c>
      <c r="E943" s="9" t="inlineStr">
        <is>
          <t>Private</t>
        </is>
      </c>
      <c r="F943" s="11" t="n">
        <v>25890</v>
      </c>
      <c r="G943" s="11" t="n">
        <v>50004</v>
      </c>
      <c r="H943" s="9">
        <f>COUNTIF($G$5:$G$1531,"&gt;"&amp;G943)+1</f>
        <v/>
      </c>
      <c r="I943" s="9" t="inlineStr"/>
      <c r="J943" s="11">
        <f>IF(E943="Private",F943,"")</f>
        <v/>
      </c>
      <c r="K943" s="11">
        <f>IF(E943="Private",G943,"")</f>
        <v/>
      </c>
    </row>
    <row r="944">
      <c r="A944" s="9" t="n">
        <v>233611</v>
      </c>
      <c r="B944" s="9" t="inlineStr">
        <is>
          <t>Southern Virginia University</t>
        </is>
      </c>
      <c r="C944" s="9" t="inlineStr">
        <is>
          <t>Buena Vista</t>
        </is>
      </c>
      <c r="D944" s="9" t="inlineStr">
        <is>
          <t>VA</t>
        </is>
      </c>
      <c r="E944" s="9" t="inlineStr">
        <is>
          <t>Private</t>
        </is>
      </c>
      <c r="F944" s="11" t="n">
        <v>22213</v>
      </c>
      <c r="G944" s="11" t="n">
        <v>50002</v>
      </c>
      <c r="H944" s="9">
        <f>COUNTIF($G$5:$G$1531,"&gt;"&amp;G944)+1</f>
        <v/>
      </c>
      <c r="I944" s="9" t="inlineStr"/>
      <c r="J944" s="11">
        <f>IF(E944="Private",F944,"")</f>
        <v/>
      </c>
      <c r="K944" s="11">
        <f>IF(E944="Private",G944,"")</f>
        <v/>
      </c>
    </row>
    <row r="945">
      <c r="A945" s="9" t="n">
        <v>161554</v>
      </c>
      <c r="B945" s="9" t="inlineStr">
        <is>
          <t>University of Southern Maine</t>
        </is>
      </c>
      <c r="C945" s="9" t="inlineStr">
        <is>
          <t>Portland</t>
        </is>
      </c>
      <c r="D945" s="9" t="inlineStr">
        <is>
          <t>ME</t>
        </is>
      </c>
      <c r="E945" s="9" t="inlineStr">
        <is>
          <t>Public</t>
        </is>
      </c>
      <c r="F945" s="11" t="n">
        <v>13596</v>
      </c>
      <c r="G945" s="11" t="n">
        <v>49958</v>
      </c>
      <c r="H945" s="9">
        <f>COUNTIF($G$5:$G$1531,"&gt;"&amp;G945)+1</f>
        <v/>
      </c>
      <c r="I945" s="9" t="inlineStr"/>
      <c r="J945" s="11">
        <f>IF(E945="Private",F945,"")</f>
        <v/>
      </c>
      <c r="K945" s="11">
        <f>IF(E945="Private",G945,"")</f>
        <v/>
      </c>
    </row>
    <row r="946">
      <c r="A946" s="9" t="n">
        <v>220631</v>
      </c>
      <c r="B946" s="9" t="inlineStr">
        <is>
          <t>Lincoln Memorial University</t>
        </is>
      </c>
      <c r="C946" s="9" t="inlineStr">
        <is>
          <t>Harrogate</t>
        </is>
      </c>
      <c r="D946" s="9" t="inlineStr">
        <is>
          <t>TN</t>
        </is>
      </c>
      <c r="E946" s="9" t="inlineStr">
        <is>
          <t>Private</t>
        </is>
      </c>
      <c r="F946" s="11" t="n">
        <v>20406</v>
      </c>
      <c r="G946" s="11" t="n">
        <v>49956</v>
      </c>
      <c r="H946" s="9">
        <f>COUNTIF($G$5:$G$1531,"&gt;"&amp;G946)+1</f>
        <v/>
      </c>
      <c r="I946" s="9" t="inlineStr"/>
      <c r="J946" s="11">
        <f>IF(E946="Private",F946,"")</f>
        <v/>
      </c>
      <c r="K946" s="11">
        <f>IF(E946="Private",G946,"")</f>
        <v/>
      </c>
    </row>
    <row r="947">
      <c r="A947" s="9" t="n">
        <v>151333</v>
      </c>
      <c r="B947" s="9" t="inlineStr">
        <is>
          <t>Indiana University-Kokomo</t>
        </is>
      </c>
      <c r="C947" s="9" t="inlineStr">
        <is>
          <t>Kokomo</t>
        </is>
      </c>
      <c r="D947" s="9" t="inlineStr">
        <is>
          <t>IN</t>
        </is>
      </c>
      <c r="E947" s="9" t="inlineStr">
        <is>
          <t>Public</t>
        </is>
      </c>
      <c r="F947" s="11" t="n">
        <v>3968</v>
      </c>
      <c r="G947" s="11" t="n">
        <v>49917</v>
      </c>
      <c r="H947" s="9">
        <f>COUNTIF($G$5:$G$1531,"&gt;"&amp;G947)+1</f>
        <v/>
      </c>
      <c r="I947" s="9" t="inlineStr"/>
      <c r="J947" s="11">
        <f>IF(E947="Private",F947,"")</f>
        <v/>
      </c>
      <c r="K947" s="11">
        <f>IF(E947="Private",G947,"")</f>
        <v/>
      </c>
    </row>
    <row r="948">
      <c r="A948" s="9" t="n">
        <v>154749</v>
      </c>
      <c r="B948" s="9" t="inlineStr">
        <is>
          <t>Bethel College-North Newton</t>
        </is>
      </c>
      <c r="C948" s="9" t="inlineStr">
        <is>
          <t>North Newton</t>
        </is>
      </c>
      <c r="D948" s="9" t="inlineStr">
        <is>
          <t>KS</t>
        </is>
      </c>
      <c r="E948" s="9" t="inlineStr">
        <is>
          <t>Private</t>
        </is>
      </c>
      <c r="F948" s="11" t="n">
        <v>32917</v>
      </c>
      <c r="G948" s="11" t="n">
        <v>49898</v>
      </c>
      <c r="H948" s="9">
        <f>COUNTIF($G$5:$G$1531,"&gt;"&amp;G948)+1</f>
        <v/>
      </c>
      <c r="I948" s="9" t="inlineStr"/>
      <c r="J948" s="11">
        <f>IF(E948="Private",F948,"")</f>
        <v/>
      </c>
      <c r="K948" s="11">
        <f>IF(E948="Private",G948,"")</f>
        <v/>
      </c>
    </row>
    <row r="949">
      <c r="A949" s="9" t="n">
        <v>179566</v>
      </c>
      <c r="B949" s="9" t="inlineStr">
        <is>
          <t>Missouri State University-Springfield</t>
        </is>
      </c>
      <c r="C949" s="9" t="inlineStr">
        <is>
          <t>Springfield</t>
        </is>
      </c>
      <c r="D949" s="9" t="inlineStr">
        <is>
          <t>MO</t>
        </is>
      </c>
      <c r="E949" s="9" t="inlineStr">
        <is>
          <t>Public</t>
        </is>
      </c>
      <c r="F949" s="11" t="n">
        <v>17613</v>
      </c>
      <c r="G949" s="11" t="n">
        <v>49827</v>
      </c>
      <c r="H949" s="9">
        <f>COUNTIF($G$5:$G$1531,"&gt;"&amp;G949)+1</f>
        <v/>
      </c>
      <c r="I949" s="9" t="inlineStr"/>
      <c r="J949" s="11">
        <f>IF(E949="Private",F949,"")</f>
        <v/>
      </c>
      <c r="K949" s="11">
        <f>IF(E949="Private",G949,"")</f>
        <v/>
      </c>
    </row>
    <row r="950">
      <c r="A950" s="9" t="n">
        <v>154101</v>
      </c>
      <c r="B950" s="9" t="inlineStr">
        <is>
          <t>Northwestern College</t>
        </is>
      </c>
      <c r="C950" s="9" t="inlineStr">
        <is>
          <t>Orange City</t>
        </is>
      </c>
      <c r="D950" s="9" t="inlineStr">
        <is>
          <t>IA</t>
        </is>
      </c>
      <c r="E950" s="9" t="inlineStr">
        <is>
          <t>Private</t>
        </is>
      </c>
      <c r="F950" s="11" t="n">
        <v>25907</v>
      </c>
      <c r="G950" s="11" t="n">
        <v>49802</v>
      </c>
      <c r="H950" s="9">
        <f>COUNTIF($G$5:$G$1531,"&gt;"&amp;G950)+1</f>
        <v/>
      </c>
      <c r="I950" s="9" t="inlineStr"/>
      <c r="J950" s="11">
        <f>IF(E950="Private",F950,"")</f>
        <v/>
      </c>
      <c r="K950" s="11">
        <f>IF(E950="Private",G950,"")</f>
        <v/>
      </c>
    </row>
    <row r="951">
      <c r="A951" s="9" t="n">
        <v>156082</v>
      </c>
      <c r="B951" s="9" t="inlineStr">
        <is>
          <t>Washburn University</t>
        </is>
      </c>
      <c r="C951" s="9" t="inlineStr">
        <is>
          <t>Topeka</t>
        </is>
      </c>
      <c r="D951" s="9" t="inlineStr">
        <is>
          <t>KS</t>
        </is>
      </c>
      <c r="E951" s="9" t="inlineStr">
        <is>
          <t>Public</t>
        </is>
      </c>
      <c r="F951" s="11" t="n">
        <v>15280</v>
      </c>
      <c r="G951" s="11" t="n">
        <v>49774</v>
      </c>
      <c r="H951" s="9">
        <f>COUNTIF($G$5:$G$1531,"&gt;"&amp;G951)+1</f>
        <v/>
      </c>
      <c r="I951" s="9" t="inlineStr"/>
      <c r="J951" s="11">
        <f>IF(E951="Private",F951,"")</f>
        <v/>
      </c>
      <c r="K951" s="11">
        <f>IF(E951="Private",G951,"")</f>
        <v/>
      </c>
    </row>
    <row r="952">
      <c r="A952" s="9" t="n">
        <v>112084</v>
      </c>
      <c r="B952" s="9" t="inlineStr">
        <is>
          <t>San Diego Christian College</t>
        </is>
      </c>
      <c r="C952" s="9" t="inlineStr">
        <is>
          <t>Santee</t>
        </is>
      </c>
      <c r="D952" s="9" t="inlineStr">
        <is>
          <t>CA</t>
        </is>
      </c>
      <c r="E952" s="9" t="inlineStr">
        <is>
          <t>Private</t>
        </is>
      </c>
      <c r="F952" s="11" t="n">
        <v>992</v>
      </c>
      <c r="G952" s="11" t="n">
        <v>49766</v>
      </c>
      <c r="H952" s="9">
        <f>COUNTIF($G$5:$G$1531,"&gt;"&amp;G952)+1</f>
        <v/>
      </c>
      <c r="I952" s="9" t="inlineStr"/>
      <c r="J952" s="11">
        <f>IF(E952="Private",F952,"")</f>
        <v/>
      </c>
      <c r="K952" s="11">
        <f>IF(E952="Private",G952,"")</f>
        <v/>
      </c>
    </row>
    <row r="953">
      <c r="A953" s="9" t="n">
        <v>141167</v>
      </c>
      <c r="B953" s="9" t="inlineStr">
        <is>
          <t>Thomas University</t>
        </is>
      </c>
      <c r="C953" s="9" t="inlineStr">
        <is>
          <t>Thomasville</t>
        </is>
      </c>
      <c r="D953" s="9" t="inlineStr">
        <is>
          <t>GA</t>
        </is>
      </c>
      <c r="E953" s="9" t="inlineStr">
        <is>
          <t>Private</t>
        </is>
      </c>
      <c r="F953" s="11" t="n">
        <v>18499</v>
      </c>
      <c r="G953" s="11" t="n">
        <v>49716</v>
      </c>
      <c r="H953" s="9">
        <f>COUNTIF($G$5:$G$1531,"&gt;"&amp;G953)+1</f>
        <v/>
      </c>
      <c r="I953" s="9" t="inlineStr"/>
      <c r="J953" s="11">
        <f>IF(E953="Private",F953,"")</f>
        <v/>
      </c>
      <c r="K953" s="11">
        <f>IF(E953="Private",G953,"")</f>
        <v/>
      </c>
    </row>
    <row r="954">
      <c r="A954" s="9" t="n">
        <v>216357</v>
      </c>
      <c r="B954" s="9" t="inlineStr">
        <is>
          <t>Thiel College</t>
        </is>
      </c>
      <c r="C954" s="9" t="inlineStr">
        <is>
          <t>Greenville</t>
        </is>
      </c>
      <c r="D954" s="9" t="inlineStr">
        <is>
          <t>PA</t>
        </is>
      </c>
      <c r="E954" s="9" t="inlineStr">
        <is>
          <t>Private</t>
        </is>
      </c>
      <c r="F954" s="11" t="n">
        <v>22347</v>
      </c>
      <c r="G954" s="11" t="n">
        <v>49714</v>
      </c>
      <c r="H954" s="9">
        <f>COUNTIF($G$5:$G$1531,"&gt;"&amp;G954)+1</f>
        <v/>
      </c>
      <c r="I954" s="9" t="inlineStr"/>
      <c r="J954" s="11">
        <f>IF(E954="Private",F954,"")</f>
        <v/>
      </c>
      <c r="K954" s="11">
        <f>IF(E954="Private",G954,"")</f>
        <v/>
      </c>
    </row>
    <row r="955">
      <c r="A955" s="9" t="n">
        <v>166391</v>
      </c>
      <c r="B955" s="9" t="inlineStr">
        <is>
          <t>Lasell University</t>
        </is>
      </c>
      <c r="C955" s="9" t="inlineStr">
        <is>
          <t>Newton</t>
        </is>
      </c>
      <c r="D955" s="9" t="inlineStr">
        <is>
          <t>MA</t>
        </is>
      </c>
      <c r="E955" s="9" t="inlineStr">
        <is>
          <t>Private</t>
        </is>
      </c>
      <c r="F955" s="11" t="n">
        <v>27511</v>
      </c>
      <c r="G955" s="11" t="n">
        <v>49705</v>
      </c>
      <c r="H955" s="9">
        <f>COUNTIF($G$5:$G$1531,"&gt;"&amp;G955)+1</f>
        <v/>
      </c>
      <c r="I955" s="9" t="inlineStr"/>
      <c r="J955" s="11">
        <f>IF(E955="Private",F955,"")</f>
        <v/>
      </c>
      <c r="K955" s="11">
        <f>IF(E955="Private",G955,"")</f>
        <v/>
      </c>
    </row>
    <row r="956">
      <c r="A956" s="9" t="n">
        <v>120537</v>
      </c>
      <c r="B956" s="9" t="inlineStr">
        <is>
          <t>Hope International University</t>
        </is>
      </c>
      <c r="C956" s="9" t="inlineStr">
        <is>
          <t>Fullerton</t>
        </is>
      </c>
      <c r="D956" s="9" t="inlineStr">
        <is>
          <t>CA</t>
        </is>
      </c>
      <c r="E956" s="9" t="inlineStr">
        <is>
          <t>Private</t>
        </is>
      </c>
      <c r="F956" s="11" t="n">
        <v>29310</v>
      </c>
      <c r="G956" s="11" t="n">
        <v>49697</v>
      </c>
      <c r="H956" s="9">
        <f>COUNTIF($G$5:$G$1531,"&gt;"&amp;G956)+1</f>
        <v/>
      </c>
      <c r="I956" s="9" t="inlineStr"/>
      <c r="J956" s="11">
        <f>IF(E956="Private",F956,"")</f>
        <v/>
      </c>
      <c r="K956" s="11">
        <f>IF(E956="Private",G956,"")</f>
        <v/>
      </c>
    </row>
    <row r="957">
      <c r="A957" s="9" t="n">
        <v>154721</v>
      </c>
      <c r="B957" s="9" t="inlineStr">
        <is>
          <t>Bethany College (Lindsborg, KS)</t>
        </is>
      </c>
      <c r="C957" s="9" t="inlineStr">
        <is>
          <t>Lindsborg</t>
        </is>
      </c>
      <c r="D957" s="9" t="inlineStr">
        <is>
          <t>KS</t>
        </is>
      </c>
      <c r="E957" s="9" t="inlineStr">
        <is>
          <t>Private</t>
        </is>
      </c>
      <c r="F957" s="11" t="n">
        <v>27686</v>
      </c>
      <c r="G957" s="11" t="n">
        <v>49694</v>
      </c>
      <c r="H957" s="9">
        <f>COUNTIF($G$5:$G$1531,"&gt;"&amp;G957)+1</f>
        <v/>
      </c>
      <c r="I957" s="9" t="inlineStr"/>
      <c r="J957" s="11">
        <f>IF(E957="Private",F957,"")</f>
        <v/>
      </c>
      <c r="K957" s="11">
        <f>IF(E957="Private",G957,"")</f>
        <v/>
      </c>
    </row>
    <row r="958">
      <c r="A958" s="9" t="n">
        <v>165802</v>
      </c>
      <c r="B958" s="9" t="inlineStr">
        <is>
          <t>Fisher College</t>
        </is>
      </c>
      <c r="C958" s="9" t="inlineStr">
        <is>
          <t>Boston</t>
        </is>
      </c>
      <c r="D958" s="9" t="inlineStr">
        <is>
          <t>MA</t>
        </is>
      </c>
      <c r="E958" s="9" t="inlineStr">
        <is>
          <t>Private</t>
        </is>
      </c>
      <c r="F958" s="11" t="n">
        <v>26649</v>
      </c>
      <c r="G958" s="11" t="n">
        <v>49669</v>
      </c>
      <c r="H958" s="9">
        <f>COUNTIF($G$5:$G$1531,"&gt;"&amp;G958)+1</f>
        <v/>
      </c>
      <c r="I958" s="9" t="inlineStr"/>
      <c r="J958" s="11">
        <f>IF(E958="Private",F958,"")</f>
        <v/>
      </c>
      <c r="K958" s="11">
        <f>IF(E958="Private",G958,"")</f>
        <v/>
      </c>
    </row>
    <row r="959">
      <c r="A959" s="9" t="n">
        <v>226091</v>
      </c>
      <c r="B959" s="9" t="inlineStr">
        <is>
          <t>Lamar University</t>
        </is>
      </c>
      <c r="C959" s="9" t="inlineStr">
        <is>
          <t>Beaumont</t>
        </is>
      </c>
      <c r="D959" s="9" t="inlineStr">
        <is>
          <t>TX</t>
        </is>
      </c>
      <c r="E959" s="9" t="inlineStr">
        <is>
          <t>Public</t>
        </is>
      </c>
      <c r="F959" s="11" t="n">
        <v>9366</v>
      </c>
      <c r="G959" s="11" t="n">
        <v>49652</v>
      </c>
      <c r="H959" s="9">
        <f>COUNTIF($G$5:$G$1531,"&gt;"&amp;G959)+1</f>
        <v/>
      </c>
      <c r="I959" s="9" t="inlineStr"/>
      <c r="J959" s="11">
        <f>IF(E959="Private",F959,"")</f>
        <v/>
      </c>
      <c r="K959" s="11">
        <f>IF(E959="Private",G959,"")</f>
        <v/>
      </c>
    </row>
    <row r="960">
      <c r="A960" s="9" t="n">
        <v>102377</v>
      </c>
      <c r="B960" s="9" t="inlineStr">
        <is>
          <t>Tuskegee University</t>
        </is>
      </c>
      <c r="C960" s="9" t="inlineStr">
        <is>
          <t>Tuskegee</t>
        </is>
      </c>
      <c r="D960" s="9" t="inlineStr">
        <is>
          <t>AL</t>
        </is>
      </c>
      <c r="E960" s="9" t="inlineStr">
        <is>
          <t>Private</t>
        </is>
      </c>
      <c r="F960" s="11" t="n">
        <v>35013</v>
      </c>
      <c r="G960" s="11" t="n">
        <v>49641</v>
      </c>
      <c r="H960" s="9">
        <f>COUNTIF($G$5:$G$1531,"&gt;"&amp;G960)+1</f>
        <v/>
      </c>
      <c r="I960" s="9" t="inlineStr"/>
      <c r="J960" s="11">
        <f>IF(E960="Private",F960,"")</f>
        <v/>
      </c>
      <c r="K960" s="11">
        <f>IF(E960="Private",G960,"")</f>
        <v/>
      </c>
    </row>
    <row r="961">
      <c r="A961" s="9" t="n">
        <v>228431</v>
      </c>
      <c r="B961" s="9" t="inlineStr">
        <is>
          <t>Stephen F Austin State University</t>
        </is>
      </c>
      <c r="C961" s="9" t="inlineStr">
        <is>
          <t>Nacogdoches</t>
        </is>
      </c>
      <c r="D961" s="9" t="inlineStr">
        <is>
          <t>TX</t>
        </is>
      </c>
      <c r="E961" s="9" t="inlineStr">
        <is>
          <t>Public</t>
        </is>
      </c>
      <c r="F961" s="11" t="n">
        <v>14260</v>
      </c>
      <c r="G961" s="11" t="n">
        <v>49634</v>
      </c>
      <c r="H961" s="9">
        <f>COUNTIF($G$5:$G$1531,"&gt;"&amp;G961)+1</f>
        <v/>
      </c>
      <c r="I961" s="9" t="inlineStr"/>
      <c r="J961" s="11">
        <f>IF(E961="Private",F961,"")</f>
        <v/>
      </c>
      <c r="K961" s="11">
        <f>IF(E961="Private",G961,"")</f>
        <v/>
      </c>
    </row>
    <row r="962">
      <c r="A962" s="9" t="n">
        <v>227368</v>
      </c>
      <c r="B962" s="9" t="inlineStr">
        <is>
          <t>The University of Texas Rio Grande Valley</t>
        </is>
      </c>
      <c r="C962" s="9" t="inlineStr">
        <is>
          <t>Edinburg</t>
        </is>
      </c>
      <c r="D962" s="9" t="inlineStr">
        <is>
          <t>TX</t>
        </is>
      </c>
      <c r="E962" s="9" t="inlineStr">
        <is>
          <t>Public</t>
        </is>
      </c>
      <c r="F962" s="11" t="n">
        <v>4831</v>
      </c>
      <c r="G962" s="11" t="n">
        <v>49620</v>
      </c>
      <c r="H962" s="9">
        <f>COUNTIF($G$5:$G$1531,"&gt;"&amp;G962)+1</f>
        <v/>
      </c>
      <c r="I962" s="9" t="inlineStr"/>
      <c r="J962" s="11">
        <f>IF(E962="Private",F962,"")</f>
        <v/>
      </c>
      <c r="K962" s="11">
        <f>IF(E962="Private",G962,"")</f>
        <v/>
      </c>
    </row>
    <row r="963">
      <c r="A963" s="9" t="n">
        <v>240426</v>
      </c>
      <c r="B963" s="9" t="inlineStr">
        <is>
          <t>University of Wisconsin-Superior</t>
        </is>
      </c>
      <c r="C963" s="9" t="inlineStr">
        <is>
          <t>Superior</t>
        </is>
      </c>
      <c r="D963" s="9" t="inlineStr">
        <is>
          <t>WI</t>
        </is>
      </c>
      <c r="E963" s="9" t="inlineStr">
        <is>
          <t>Public</t>
        </is>
      </c>
      <c r="F963" s="11" t="n">
        <v>12220</v>
      </c>
      <c r="G963" s="11" t="n">
        <v>49606</v>
      </c>
      <c r="H963" s="9">
        <f>COUNTIF($G$5:$G$1531,"&gt;"&amp;G963)+1</f>
        <v/>
      </c>
      <c r="I963" s="9" t="inlineStr"/>
      <c r="J963" s="11">
        <f>IF(E963="Private",F963,"")</f>
        <v/>
      </c>
      <c r="K963" s="11">
        <f>IF(E963="Private",G963,"")</f>
        <v/>
      </c>
    </row>
    <row r="964">
      <c r="A964" s="9" t="n">
        <v>101435</v>
      </c>
      <c r="B964" s="9" t="inlineStr">
        <is>
          <t>Huntingdon College</t>
        </is>
      </c>
      <c r="C964" s="9" t="inlineStr">
        <is>
          <t>Montgomery</t>
        </is>
      </c>
      <c r="D964" s="9" t="inlineStr">
        <is>
          <t>AL</t>
        </is>
      </c>
      <c r="E964" s="9" t="inlineStr">
        <is>
          <t>Private</t>
        </is>
      </c>
      <c r="F964" s="11" t="n">
        <v>22566</v>
      </c>
      <c r="G964" s="11" t="n">
        <v>49601</v>
      </c>
      <c r="H964" s="9">
        <f>COUNTIF($G$5:$G$1531,"&gt;"&amp;G964)+1</f>
        <v/>
      </c>
      <c r="I964" s="9" t="inlineStr"/>
      <c r="J964" s="11">
        <f>IF(E964="Private",F964,"")</f>
        <v/>
      </c>
      <c r="K964" s="11">
        <f>IF(E964="Private",G964,"")</f>
        <v/>
      </c>
    </row>
    <row r="965">
      <c r="A965" s="9" t="n">
        <v>141334</v>
      </c>
      <c r="B965" s="9" t="inlineStr">
        <is>
          <t>University of West Georgia</t>
        </is>
      </c>
      <c r="C965" s="9" t="inlineStr">
        <is>
          <t>Carrollton</t>
        </is>
      </c>
      <c r="D965" s="9" t="inlineStr">
        <is>
          <t>GA</t>
        </is>
      </c>
      <c r="E965" s="9" t="inlineStr">
        <is>
          <t>Public</t>
        </is>
      </c>
      <c r="F965" s="11" t="n">
        <v>12786</v>
      </c>
      <c r="G965" s="11" t="n">
        <v>49587</v>
      </c>
      <c r="H965" s="9">
        <f>COUNTIF($G$5:$G$1531,"&gt;"&amp;G965)+1</f>
        <v/>
      </c>
      <c r="I965" s="9" t="inlineStr"/>
      <c r="J965" s="11">
        <f>IF(E965="Private",F965,"")</f>
        <v/>
      </c>
      <c r="K965" s="11">
        <f>IF(E965="Private",G965,"")</f>
        <v/>
      </c>
    </row>
    <row r="966">
      <c r="A966" s="9" t="n">
        <v>168786</v>
      </c>
      <c r="B966" s="9" t="inlineStr">
        <is>
          <t>Aquinas College</t>
        </is>
      </c>
      <c r="C966" s="9" t="inlineStr">
        <is>
          <t>Grand Rapids</t>
        </is>
      </c>
      <c r="D966" s="9" t="inlineStr">
        <is>
          <t>MI</t>
        </is>
      </c>
      <c r="E966" s="9" t="inlineStr">
        <is>
          <t>Private</t>
        </is>
      </c>
      <c r="F966" s="11" t="n">
        <v>16626</v>
      </c>
      <c r="G966" s="11" t="n">
        <v>49584</v>
      </c>
      <c r="H966" s="9">
        <f>COUNTIF($G$5:$G$1531,"&gt;"&amp;G966)+1</f>
        <v/>
      </c>
      <c r="I966" s="9" t="inlineStr"/>
      <c r="J966" s="11">
        <f>IF(E966="Private",F966,"")</f>
        <v/>
      </c>
      <c r="K966" s="11">
        <f>IF(E966="Private",G966,"")</f>
        <v/>
      </c>
    </row>
    <row r="967">
      <c r="A967" s="9" t="n">
        <v>176965</v>
      </c>
      <c r="B967" s="9" t="inlineStr">
        <is>
          <t>University of Central Missouri</t>
        </is>
      </c>
      <c r="C967" s="9" t="inlineStr">
        <is>
          <t>Warrensburg</t>
        </is>
      </c>
      <c r="D967" s="9" t="inlineStr">
        <is>
          <t>MO</t>
        </is>
      </c>
      <c r="E967" s="9" t="inlineStr">
        <is>
          <t>Public</t>
        </is>
      </c>
      <c r="F967" s="11" t="n">
        <v>14462</v>
      </c>
      <c r="G967" s="11" t="n">
        <v>49560</v>
      </c>
      <c r="H967" s="9">
        <f>COUNTIF($G$5:$G$1531,"&gt;"&amp;G967)+1</f>
        <v/>
      </c>
      <c r="I967" s="9" t="inlineStr"/>
      <c r="J967" s="11">
        <f>IF(E967="Private",F967,"")</f>
        <v/>
      </c>
      <c r="K967" s="11">
        <f>IF(E967="Private",G967,"")</f>
        <v/>
      </c>
    </row>
    <row r="968">
      <c r="A968" s="9" t="n">
        <v>204194</v>
      </c>
      <c r="B968" s="9" t="inlineStr">
        <is>
          <t>Mount Vernon Nazarene University</t>
        </is>
      </c>
      <c r="C968" s="9" t="inlineStr">
        <is>
          <t>Mount Vernon</t>
        </is>
      </c>
      <c r="D968" s="9" t="inlineStr">
        <is>
          <t>OH</t>
        </is>
      </c>
      <c r="E968" s="9" t="inlineStr">
        <is>
          <t>Private</t>
        </is>
      </c>
      <c r="F968" s="11" t="n">
        <v>22421</v>
      </c>
      <c r="G968" s="11" t="n">
        <v>49555</v>
      </c>
      <c r="H968" s="9">
        <f>COUNTIF($G$5:$G$1531,"&gt;"&amp;G968)+1</f>
        <v/>
      </c>
      <c r="I968" s="9" t="inlineStr"/>
      <c r="J968" s="11">
        <f>IF(E968="Private",F968,"")</f>
        <v/>
      </c>
      <c r="K968" s="11">
        <f>IF(E968="Private",G968,"")</f>
        <v/>
      </c>
    </row>
    <row r="969">
      <c r="A969" s="9" t="n">
        <v>201371</v>
      </c>
      <c r="B969" s="9" t="inlineStr">
        <is>
          <t>Bluffton University</t>
        </is>
      </c>
      <c r="C969" s="9" t="inlineStr">
        <is>
          <t>Bluffton</t>
        </is>
      </c>
      <c r="D969" s="9" t="inlineStr">
        <is>
          <t>OH</t>
        </is>
      </c>
      <c r="E969" s="9" t="inlineStr">
        <is>
          <t>Private</t>
        </is>
      </c>
      <c r="F969" s="11" t="n">
        <v>19943</v>
      </c>
      <c r="G969" s="11" t="n">
        <v>49547</v>
      </c>
      <c r="H969" s="9">
        <f>COUNTIF($G$5:$G$1531,"&gt;"&amp;G969)+1</f>
        <v/>
      </c>
      <c r="I969" s="9" t="inlineStr"/>
      <c r="J969" s="11">
        <f>IF(E969="Private",F969,"")</f>
        <v/>
      </c>
      <c r="K969" s="11">
        <f>IF(E969="Private",G969,"")</f>
        <v/>
      </c>
    </row>
    <row r="970">
      <c r="A970" s="9" t="n">
        <v>446048</v>
      </c>
      <c r="B970" s="9" t="inlineStr">
        <is>
          <t>Ave Maria University</t>
        </is>
      </c>
      <c r="C970" s="9" t="inlineStr">
        <is>
          <t>Ave Maria</t>
        </is>
      </c>
      <c r="D970" s="9" t="inlineStr">
        <is>
          <t>FL</t>
        </is>
      </c>
      <c r="E970" s="9" t="inlineStr">
        <is>
          <t>Private</t>
        </is>
      </c>
      <c r="F970" s="11" t="n">
        <v>24860</v>
      </c>
      <c r="G970" s="11" t="n">
        <v>49520</v>
      </c>
      <c r="H970" s="9">
        <f>COUNTIF($G$5:$G$1531,"&gt;"&amp;G970)+1</f>
        <v/>
      </c>
      <c r="I970" s="9" t="inlineStr"/>
      <c r="J970" s="11">
        <f>IF(E970="Private",F970,"")</f>
        <v/>
      </c>
      <c r="K970" s="11">
        <f>IF(E970="Private",G970,"")</f>
        <v/>
      </c>
    </row>
    <row r="971">
      <c r="A971" s="9" t="n">
        <v>180522</v>
      </c>
      <c r="B971" s="9" t="inlineStr">
        <is>
          <t>Montana State University-Northern</t>
        </is>
      </c>
      <c r="C971" s="9" t="inlineStr">
        <is>
          <t>Havre</t>
        </is>
      </c>
      <c r="D971" s="9" t="inlineStr">
        <is>
          <t>MT</t>
        </is>
      </c>
      <c r="E971" s="9" t="inlineStr">
        <is>
          <t>Public</t>
        </is>
      </c>
      <c r="F971" s="11" t="n">
        <v>12664</v>
      </c>
      <c r="G971" s="11" t="n">
        <v>49505</v>
      </c>
      <c r="H971" s="9">
        <f>COUNTIF($G$5:$G$1531,"&gt;"&amp;G971)+1</f>
        <v/>
      </c>
      <c r="I971" s="9" t="inlineStr"/>
      <c r="J971" s="11">
        <f>IF(E971="Private",F971,"")</f>
        <v/>
      </c>
      <c r="K971" s="11">
        <f>IF(E971="Private",G971,"")</f>
        <v/>
      </c>
    </row>
    <row r="972">
      <c r="A972" s="9" t="n">
        <v>206613</v>
      </c>
      <c r="B972" s="9" t="inlineStr">
        <is>
          <t>Wright State University-Lake Campus</t>
        </is>
      </c>
      <c r="C972" s="9" t="inlineStr">
        <is>
          <t>Celina</t>
        </is>
      </c>
      <c r="D972" s="9" t="inlineStr">
        <is>
          <t>OH</t>
        </is>
      </c>
      <c r="E972" s="9" t="inlineStr">
        <is>
          <t>Public</t>
        </is>
      </c>
      <c r="F972" s="11" t="n">
        <v>11081</v>
      </c>
      <c r="G972" s="11" t="n">
        <v>49500</v>
      </c>
      <c r="H972" s="9">
        <f>COUNTIF($G$5:$G$1531,"&gt;"&amp;G972)+1</f>
        <v/>
      </c>
      <c r="I972" s="9" t="inlineStr"/>
      <c r="J972" s="11">
        <f>IF(E972="Private",F972,"")</f>
        <v/>
      </c>
      <c r="K972" s="11">
        <f>IF(E972="Private",G972,"")</f>
        <v/>
      </c>
    </row>
    <row r="973">
      <c r="A973" s="9" t="n">
        <v>206604</v>
      </c>
      <c r="B973" s="9" t="inlineStr">
        <is>
          <t>Wright State University-Main Campus</t>
        </is>
      </c>
      <c r="C973" s="9" t="inlineStr">
        <is>
          <t>Dayton</t>
        </is>
      </c>
      <c r="D973" s="9" t="inlineStr">
        <is>
          <t>OH</t>
        </is>
      </c>
      <c r="E973" s="9" t="inlineStr">
        <is>
          <t>Public</t>
        </is>
      </c>
      <c r="F973" s="11" t="n">
        <v>15415</v>
      </c>
      <c r="G973" s="11" t="n">
        <v>49500</v>
      </c>
      <c r="H973" s="9">
        <f>COUNTIF($G$5:$G$1531,"&gt;"&amp;G973)+1</f>
        <v/>
      </c>
      <c r="I973" s="9" t="inlineStr"/>
      <c r="J973" s="11">
        <f>IF(E973="Private",F973,"")</f>
        <v/>
      </c>
      <c r="K973" s="11">
        <f>IF(E973="Private",G973,"")</f>
        <v/>
      </c>
    </row>
    <row r="974">
      <c r="A974" s="9" t="n">
        <v>133711</v>
      </c>
      <c r="B974" s="9" t="inlineStr">
        <is>
          <t>Flagler College</t>
        </is>
      </c>
      <c r="C974" s="9" t="inlineStr">
        <is>
          <t>Saint Augustine</t>
        </is>
      </c>
      <c r="D974" s="9" t="inlineStr">
        <is>
          <t>FL</t>
        </is>
      </c>
      <c r="E974" s="9" t="inlineStr">
        <is>
          <t>Private</t>
        </is>
      </c>
      <c r="F974" s="11" t="n">
        <v>30525</v>
      </c>
      <c r="G974" s="11" t="n">
        <v>49483</v>
      </c>
      <c r="H974" s="9">
        <f>COUNTIF($G$5:$G$1531,"&gt;"&amp;G974)+1</f>
        <v/>
      </c>
      <c r="I974" s="9" t="inlineStr"/>
      <c r="J974" s="11">
        <f>IF(E974="Private",F974,"")</f>
        <v/>
      </c>
      <c r="K974" s="11">
        <f>IF(E974="Private",G974,"")</f>
        <v/>
      </c>
    </row>
    <row r="975">
      <c r="A975" s="9" t="n">
        <v>200004</v>
      </c>
      <c r="B975" s="9" t="inlineStr">
        <is>
          <t>Western Carolina University</t>
        </is>
      </c>
      <c r="C975" s="9" t="inlineStr">
        <is>
          <t>Cullowhee</t>
        </is>
      </c>
      <c r="D975" s="9" t="inlineStr">
        <is>
          <t>NC</t>
        </is>
      </c>
      <c r="E975" s="9" t="inlineStr">
        <is>
          <t>Public</t>
        </is>
      </c>
      <c r="F975" s="11" t="n">
        <v>13315</v>
      </c>
      <c r="G975" s="11" t="n">
        <v>49458</v>
      </c>
      <c r="H975" s="9">
        <f>COUNTIF($G$5:$G$1531,"&gt;"&amp;G975)+1</f>
        <v/>
      </c>
      <c r="I975" s="9" t="inlineStr"/>
      <c r="J975" s="11">
        <f>IF(E975="Private",F975,"")</f>
        <v/>
      </c>
      <c r="K975" s="11">
        <f>IF(E975="Private",G975,"")</f>
        <v/>
      </c>
    </row>
    <row r="976">
      <c r="A976" s="9" t="n">
        <v>157757</v>
      </c>
      <c r="B976" s="9" t="inlineStr">
        <is>
          <t>Spalding University</t>
        </is>
      </c>
      <c r="C976" s="9" t="inlineStr">
        <is>
          <t>Louisville</t>
        </is>
      </c>
      <c r="D976" s="9" t="inlineStr">
        <is>
          <t>KY</t>
        </is>
      </c>
      <c r="E976" s="9" t="inlineStr">
        <is>
          <t>Private</t>
        </is>
      </c>
      <c r="F976" s="11" t="n">
        <v>25491</v>
      </c>
      <c r="G976" s="11" t="n">
        <v>49438</v>
      </c>
      <c r="H976" s="9">
        <f>COUNTIF($G$5:$G$1531,"&gt;"&amp;G976)+1</f>
        <v/>
      </c>
      <c r="I976" s="9" t="inlineStr"/>
      <c r="J976" s="11">
        <f>IF(E976="Private",F976,"")</f>
        <v/>
      </c>
      <c r="K976" s="11">
        <f>IF(E976="Private",G976,"")</f>
        <v/>
      </c>
    </row>
    <row r="977">
      <c r="A977" s="9" t="n">
        <v>235422</v>
      </c>
      <c r="B977" s="9" t="inlineStr">
        <is>
          <t>Heritage University</t>
        </is>
      </c>
      <c r="C977" s="9" t="inlineStr">
        <is>
          <t>Toppenish</t>
        </is>
      </c>
      <c r="D977" s="9" t="inlineStr">
        <is>
          <t>WA</t>
        </is>
      </c>
      <c r="E977" s="9" t="inlineStr">
        <is>
          <t>Private</t>
        </is>
      </c>
      <c r="F977" s="11" t="n">
        <v>14598</v>
      </c>
      <c r="G977" s="11" t="n">
        <v>49416</v>
      </c>
      <c r="H977" s="9">
        <f>COUNTIF($G$5:$G$1531,"&gt;"&amp;G977)+1</f>
        <v/>
      </c>
      <c r="I977" s="9" t="inlineStr"/>
      <c r="J977" s="11">
        <f>IF(E977="Private",F977,"")</f>
        <v/>
      </c>
      <c r="K977" s="11">
        <f>IF(E977="Private",G977,"")</f>
        <v/>
      </c>
    </row>
    <row r="978">
      <c r="A978" s="9" t="n">
        <v>102094</v>
      </c>
      <c r="B978" s="9" t="inlineStr">
        <is>
          <t>University of South Alabama</t>
        </is>
      </c>
      <c r="C978" s="9" t="inlineStr">
        <is>
          <t>Mobile</t>
        </is>
      </c>
      <c r="D978" s="9" t="inlineStr">
        <is>
          <t>AL</t>
        </is>
      </c>
      <c r="E978" s="9" t="inlineStr">
        <is>
          <t>Public</t>
        </is>
      </c>
      <c r="F978" s="11" t="n">
        <v>17648</v>
      </c>
      <c r="G978" s="11" t="n">
        <v>49379</v>
      </c>
      <c r="H978" s="9">
        <f>COUNTIF($G$5:$G$1531,"&gt;"&amp;G978)+1</f>
        <v/>
      </c>
      <c r="I978" s="9" t="inlineStr"/>
      <c r="J978" s="11">
        <f>IF(E978="Private",F978,"")</f>
        <v/>
      </c>
      <c r="K978" s="11">
        <f>IF(E978="Private",G978,"")</f>
        <v/>
      </c>
    </row>
    <row r="979">
      <c r="A979" s="9" t="n">
        <v>221892</v>
      </c>
      <c r="B979" s="9" t="inlineStr">
        <is>
          <t>Trevecca Nazarene University</t>
        </is>
      </c>
      <c r="C979" s="9" t="inlineStr">
        <is>
          <t>Nashville</t>
        </is>
      </c>
      <c r="D979" s="9" t="inlineStr">
        <is>
          <t>TN</t>
        </is>
      </c>
      <c r="E979" s="9" t="inlineStr">
        <is>
          <t>Private</t>
        </is>
      </c>
      <c r="F979" s="11" t="n">
        <v>16813</v>
      </c>
      <c r="G979" s="11" t="n">
        <v>49378</v>
      </c>
      <c r="H979" s="9">
        <f>COUNTIF($G$5:$G$1531,"&gt;"&amp;G979)+1</f>
        <v/>
      </c>
      <c r="I979" s="9" t="inlineStr"/>
      <c r="J979" s="11">
        <f>IF(E979="Private",F979,"")</f>
        <v/>
      </c>
      <c r="K979" s="11">
        <f>IF(E979="Private",G979,"")</f>
        <v/>
      </c>
    </row>
    <row r="980">
      <c r="A980" s="9" t="n">
        <v>190655</v>
      </c>
      <c r="B980" s="9" t="inlineStr">
        <is>
          <t>CUNY New York City College of Technology</t>
        </is>
      </c>
      <c r="C980" s="9" t="inlineStr">
        <is>
          <t>Brooklyn</t>
        </is>
      </c>
      <c r="D980" s="9" t="inlineStr">
        <is>
          <t>NY</t>
        </is>
      </c>
      <c r="E980" s="9" t="inlineStr">
        <is>
          <t>Public</t>
        </is>
      </c>
      <c r="F980" s="11" t="n">
        <v>5127</v>
      </c>
      <c r="G980" s="11" t="n">
        <v>49365</v>
      </c>
      <c r="H980" s="9">
        <f>COUNTIF($G$5:$G$1531,"&gt;"&amp;G980)+1</f>
        <v/>
      </c>
      <c r="I980" s="9" t="inlineStr"/>
      <c r="J980" s="11">
        <f>IF(E980="Private",F980,"")</f>
        <v/>
      </c>
      <c r="K980" s="11">
        <f>IF(E980="Private",G980,"")</f>
        <v/>
      </c>
    </row>
    <row r="981">
      <c r="A981" s="9" t="n">
        <v>141264</v>
      </c>
      <c r="B981" s="9" t="inlineStr">
        <is>
          <t>Valdosta State University</t>
        </is>
      </c>
      <c r="C981" s="9" t="inlineStr">
        <is>
          <t>Valdosta</t>
        </is>
      </c>
      <c r="D981" s="9" t="inlineStr">
        <is>
          <t>GA</t>
        </is>
      </c>
      <c r="E981" s="9" t="inlineStr">
        <is>
          <t>Public</t>
        </is>
      </c>
      <c r="F981" s="11" t="n">
        <v>10945</v>
      </c>
      <c r="G981" s="11" t="n">
        <v>49361</v>
      </c>
      <c r="H981" s="9">
        <f>COUNTIF($G$5:$G$1531,"&gt;"&amp;G981)+1</f>
        <v/>
      </c>
      <c r="I981" s="9" t="inlineStr"/>
      <c r="J981" s="11">
        <f>IF(E981="Private",F981,"")</f>
        <v/>
      </c>
      <c r="K981" s="11">
        <f>IF(E981="Private",G981,"")</f>
        <v/>
      </c>
    </row>
    <row r="982">
      <c r="A982" s="9" t="n">
        <v>237792</v>
      </c>
      <c r="B982" s="9" t="inlineStr">
        <is>
          <t>Shepherd University</t>
        </is>
      </c>
      <c r="C982" s="9" t="inlineStr">
        <is>
          <t>Shepherdstown</t>
        </is>
      </c>
      <c r="D982" s="9" t="inlineStr">
        <is>
          <t>WV</t>
        </is>
      </c>
      <c r="E982" s="9" t="inlineStr">
        <is>
          <t>Public</t>
        </is>
      </c>
      <c r="F982" s="11" t="n">
        <v>11363</v>
      </c>
      <c r="G982" s="11" t="n">
        <v>49358</v>
      </c>
      <c r="H982" s="9">
        <f>COUNTIF($G$5:$G$1531,"&gt;"&amp;G982)+1</f>
        <v/>
      </c>
      <c r="I982" s="9" t="inlineStr"/>
      <c r="J982" s="11">
        <f>IF(E982="Private",F982,"")</f>
        <v/>
      </c>
      <c r="K982" s="11">
        <f>IF(E982="Private",G982,"")</f>
        <v/>
      </c>
    </row>
    <row r="983">
      <c r="A983" s="9" t="n">
        <v>202514</v>
      </c>
      <c r="B983" s="9" t="inlineStr">
        <is>
          <t>Defiance College</t>
        </is>
      </c>
      <c r="C983" s="9" t="inlineStr">
        <is>
          <t>Defiance</t>
        </is>
      </c>
      <c r="D983" s="9" t="inlineStr">
        <is>
          <t>OH</t>
        </is>
      </c>
      <c r="E983" s="9" t="inlineStr">
        <is>
          <t>Private</t>
        </is>
      </c>
      <c r="F983" s="11" t="n">
        <v>26337</v>
      </c>
      <c r="G983" s="11" t="n">
        <v>49351</v>
      </c>
      <c r="H983" s="9">
        <f>COUNTIF($G$5:$G$1531,"&gt;"&amp;G983)+1</f>
        <v/>
      </c>
      <c r="I983" s="9" t="inlineStr"/>
      <c r="J983" s="11">
        <f>IF(E983="Private",F983,"")</f>
        <v/>
      </c>
      <c r="K983" s="11">
        <f>IF(E983="Private",G983,"")</f>
        <v/>
      </c>
    </row>
    <row r="984">
      <c r="A984" s="9" t="n">
        <v>160065</v>
      </c>
      <c r="B984" s="9" t="inlineStr">
        <is>
          <t>University of Holy Cross</t>
        </is>
      </c>
      <c r="C984" s="9" t="inlineStr">
        <is>
          <t>New Orleans</t>
        </is>
      </c>
      <c r="D984" s="9" t="inlineStr">
        <is>
          <t>LA</t>
        </is>
      </c>
      <c r="E984" s="9" t="inlineStr">
        <is>
          <t>Private</t>
        </is>
      </c>
      <c r="F984" s="11" t="n">
        <v>15635</v>
      </c>
      <c r="G984" s="11" t="n">
        <v>49316</v>
      </c>
      <c r="H984" s="9">
        <f>COUNTIF($G$5:$G$1531,"&gt;"&amp;G984)+1</f>
        <v/>
      </c>
      <c r="I984" s="9" t="inlineStr"/>
      <c r="J984" s="11">
        <f>IF(E984="Private",F984,"")</f>
        <v/>
      </c>
      <c r="K984" s="11">
        <f>IF(E984="Private",G984,"")</f>
        <v/>
      </c>
    </row>
    <row r="985">
      <c r="A985" s="9" t="n">
        <v>130934</v>
      </c>
      <c r="B985" s="9" t="inlineStr">
        <is>
          <t>Delaware State University</t>
        </is>
      </c>
      <c r="C985" s="9" t="inlineStr">
        <is>
          <t>Dover</t>
        </is>
      </c>
      <c r="D985" s="9" t="inlineStr">
        <is>
          <t>DE</t>
        </is>
      </c>
      <c r="E985" s="9" t="inlineStr">
        <is>
          <t>Public</t>
        </is>
      </c>
      <c r="F985" s="11" t="n">
        <v>13910</v>
      </c>
      <c r="G985" s="11" t="n">
        <v>49307</v>
      </c>
      <c r="H985" s="9">
        <f>COUNTIF($G$5:$G$1531,"&gt;"&amp;G985)+1</f>
        <v/>
      </c>
      <c r="I985" s="9" t="inlineStr"/>
      <c r="J985" s="11">
        <f>IF(E985="Private",F985,"")</f>
        <v/>
      </c>
      <c r="K985" s="11">
        <f>IF(E985="Private",G985,"")</f>
        <v/>
      </c>
    </row>
    <row r="986">
      <c r="A986" s="9" t="n">
        <v>172033</v>
      </c>
      <c r="B986" s="9" t="inlineStr">
        <is>
          <t>Sacred Heart Major Seminary</t>
        </is>
      </c>
      <c r="C986" s="9" t="inlineStr">
        <is>
          <t>Detroit</t>
        </is>
      </c>
      <c r="D986" s="9" t="inlineStr">
        <is>
          <t>MI</t>
        </is>
      </c>
      <c r="E986" s="9" t="inlineStr">
        <is>
          <t>Private</t>
        </is>
      </c>
      <c r="F986" s="11" t="n">
        <v>11916</v>
      </c>
      <c r="G986" s="11" t="n">
        <v>49295</v>
      </c>
      <c r="H986" s="9">
        <f>COUNTIF($G$5:$G$1531,"&gt;"&amp;G986)+1</f>
        <v/>
      </c>
      <c r="I986" s="9" t="inlineStr"/>
      <c r="J986" s="11">
        <f>IF(E986="Private",F986,"")</f>
        <v/>
      </c>
      <c r="K986" s="11">
        <f>IF(E986="Private",G986,"")</f>
        <v/>
      </c>
    </row>
    <row r="987">
      <c r="A987" s="9" t="n">
        <v>220710</v>
      </c>
      <c r="B987" s="9" t="inlineStr">
        <is>
          <t>Maryville College</t>
        </is>
      </c>
      <c r="C987" s="9" t="inlineStr">
        <is>
          <t>Maryville</t>
        </is>
      </c>
      <c r="D987" s="9" t="inlineStr">
        <is>
          <t>TN</t>
        </is>
      </c>
      <c r="E987" s="9" t="inlineStr">
        <is>
          <t>Private</t>
        </is>
      </c>
      <c r="F987" s="11" t="n">
        <v>19360</v>
      </c>
      <c r="G987" s="11" t="n">
        <v>49279</v>
      </c>
      <c r="H987" s="9">
        <f>COUNTIF($G$5:$G$1531,"&gt;"&amp;G987)+1</f>
        <v/>
      </c>
      <c r="I987" s="9" t="inlineStr"/>
      <c r="J987" s="11">
        <f>IF(E987="Private",F987,"")</f>
        <v/>
      </c>
      <c r="K987" s="11">
        <f>IF(E987="Private",G987,"")</f>
        <v/>
      </c>
    </row>
    <row r="988">
      <c r="A988" s="9" t="n">
        <v>136330</v>
      </c>
      <c r="B988" s="9" t="inlineStr">
        <is>
          <t>Palm Beach Atlantic University</t>
        </is>
      </c>
      <c r="C988" s="9" t="inlineStr">
        <is>
          <t>West Palm Beach</t>
        </is>
      </c>
      <c r="D988" s="9" t="inlineStr">
        <is>
          <t>FL</t>
        </is>
      </c>
      <c r="E988" s="9" t="inlineStr">
        <is>
          <t>Private</t>
        </is>
      </c>
      <c r="F988" s="11" t="n">
        <v>28354</v>
      </c>
      <c r="G988" s="11" t="n">
        <v>49232</v>
      </c>
      <c r="H988" s="9">
        <f>COUNTIF($G$5:$G$1531,"&gt;"&amp;G988)+1</f>
        <v/>
      </c>
      <c r="I988" s="9" t="inlineStr"/>
      <c r="J988" s="11">
        <f>IF(E988="Private",F988,"")</f>
        <v/>
      </c>
      <c r="K988" s="11">
        <f>IF(E988="Private",G988,"")</f>
        <v/>
      </c>
    </row>
    <row r="989">
      <c r="A989" s="9" t="n">
        <v>207324</v>
      </c>
      <c r="B989" s="9" t="inlineStr">
        <is>
          <t>Oklahoma Christian University</t>
        </is>
      </c>
      <c r="C989" s="9" t="inlineStr">
        <is>
          <t>Edmond</t>
        </is>
      </c>
      <c r="D989" s="9" t="inlineStr">
        <is>
          <t>OK</t>
        </is>
      </c>
      <c r="E989" s="9" t="inlineStr">
        <is>
          <t>Private</t>
        </is>
      </c>
      <c r="F989" s="11" t="n">
        <v>21872</v>
      </c>
      <c r="G989" s="11" t="n">
        <v>49203</v>
      </c>
      <c r="H989" s="9">
        <f>COUNTIF($G$5:$G$1531,"&gt;"&amp;G989)+1</f>
        <v/>
      </c>
      <c r="I989" s="9" t="inlineStr"/>
      <c r="J989" s="11">
        <f>IF(E989="Private",F989,"")</f>
        <v/>
      </c>
      <c r="K989" s="11">
        <f>IF(E989="Private",G989,"")</f>
        <v/>
      </c>
    </row>
    <row r="990">
      <c r="A990" s="9" t="n">
        <v>139311</v>
      </c>
      <c r="B990" s="9" t="inlineStr">
        <is>
          <t>Clayton  State University</t>
        </is>
      </c>
      <c r="C990" s="9" t="inlineStr">
        <is>
          <t>Morrow</t>
        </is>
      </c>
      <c r="D990" s="9" t="inlineStr">
        <is>
          <t>GA</t>
        </is>
      </c>
      <c r="E990" s="9" t="inlineStr">
        <is>
          <t>Public</t>
        </is>
      </c>
      <c r="F990" s="11" t="n">
        <v>8365</v>
      </c>
      <c r="G990" s="11" t="n">
        <v>49179</v>
      </c>
      <c r="H990" s="9">
        <f>COUNTIF($G$5:$G$1531,"&gt;"&amp;G990)+1</f>
        <v/>
      </c>
      <c r="I990" s="9" t="inlineStr"/>
      <c r="J990" s="11">
        <f>IF(E990="Private",F990,"")</f>
        <v/>
      </c>
      <c r="K990" s="11">
        <f>IF(E990="Private",G990,"")</f>
        <v/>
      </c>
    </row>
    <row r="991">
      <c r="A991" s="9" t="n">
        <v>210146</v>
      </c>
      <c r="B991" s="9" t="inlineStr">
        <is>
          <t>Southern Oregon University</t>
        </is>
      </c>
      <c r="C991" s="9" t="inlineStr">
        <is>
          <t>Ashland</t>
        </is>
      </c>
      <c r="D991" s="9" t="inlineStr">
        <is>
          <t>OR</t>
        </is>
      </c>
      <c r="E991" s="9" t="inlineStr">
        <is>
          <t>Public</t>
        </is>
      </c>
      <c r="F991" s="11" t="n">
        <v>16732</v>
      </c>
      <c r="G991" s="11" t="n">
        <v>49175</v>
      </c>
      <c r="H991" s="9">
        <f>COUNTIF($G$5:$G$1531,"&gt;"&amp;G991)+1</f>
        <v/>
      </c>
      <c r="I991" s="9" t="inlineStr"/>
      <c r="J991" s="11">
        <f>IF(E991="Private",F991,"")</f>
        <v/>
      </c>
      <c r="K991" s="11">
        <f>IF(E991="Private",G991,"")</f>
        <v/>
      </c>
    </row>
    <row r="992">
      <c r="A992" s="9" t="n">
        <v>153001</v>
      </c>
      <c r="B992" s="9" t="inlineStr">
        <is>
          <t>Buena Vista University</t>
        </is>
      </c>
      <c r="C992" s="9" t="inlineStr">
        <is>
          <t>Storm Lake</t>
        </is>
      </c>
      <c r="D992" s="9" t="inlineStr">
        <is>
          <t>IA</t>
        </is>
      </c>
      <c r="E992" s="9" t="inlineStr">
        <is>
          <t>Private</t>
        </is>
      </c>
      <c r="F992" s="11" t="n">
        <v>18846</v>
      </c>
      <c r="G992" s="11" t="n">
        <v>49156</v>
      </c>
      <c r="H992" s="9">
        <f>COUNTIF($G$5:$G$1531,"&gt;"&amp;G992)+1</f>
        <v/>
      </c>
      <c r="I992" s="9" t="inlineStr"/>
      <c r="J992" s="11">
        <f>IF(E992="Private",F992,"")</f>
        <v/>
      </c>
      <c r="K992" s="11">
        <f>IF(E992="Private",G992,"")</f>
        <v/>
      </c>
    </row>
    <row r="993">
      <c r="A993" s="9" t="n">
        <v>138354</v>
      </c>
      <c r="B993" s="9" t="inlineStr">
        <is>
          <t>University of West Florida</t>
        </is>
      </c>
      <c r="C993" s="9" t="inlineStr">
        <is>
          <t>Pensacola</t>
        </is>
      </c>
      <c r="D993" s="9" t="inlineStr">
        <is>
          <t>FL</t>
        </is>
      </c>
      <c r="E993" s="9" t="inlineStr">
        <is>
          <t>Public</t>
        </is>
      </c>
      <c r="F993" s="11" t="n">
        <v>9364</v>
      </c>
      <c r="G993" s="11" t="n">
        <v>49137</v>
      </c>
      <c r="H993" s="9">
        <f>COUNTIF($G$5:$G$1531,"&gt;"&amp;G993)+1</f>
        <v/>
      </c>
      <c r="I993" s="9" t="inlineStr"/>
      <c r="J993" s="11">
        <f>IF(E993="Private",F993,"")</f>
        <v/>
      </c>
      <c r="K993" s="11">
        <f>IF(E993="Private",G993,"")</f>
        <v/>
      </c>
    </row>
    <row r="994">
      <c r="A994" s="9" t="n">
        <v>192864</v>
      </c>
      <c r="B994" s="9" t="inlineStr">
        <is>
          <t>Marymount Manhattan College</t>
        </is>
      </c>
      <c r="C994" s="9" t="inlineStr">
        <is>
          <t>New York</t>
        </is>
      </c>
      <c r="D994" s="9" t="inlineStr">
        <is>
          <t>NY</t>
        </is>
      </c>
      <c r="E994" s="9" t="inlineStr">
        <is>
          <t>Private</t>
        </is>
      </c>
      <c r="F994" s="11" t="n">
        <v>36861</v>
      </c>
      <c r="G994" s="11" t="n">
        <v>49131</v>
      </c>
      <c r="H994" s="9">
        <f>COUNTIF($G$5:$G$1531,"&gt;"&amp;G994)+1</f>
        <v/>
      </c>
      <c r="I994" s="9" t="inlineStr"/>
      <c r="J994" s="11">
        <f>IF(E994="Private",F994,"")</f>
        <v/>
      </c>
      <c r="K994" s="11">
        <f>IF(E994="Private",G994,"")</f>
        <v/>
      </c>
    </row>
    <row r="995">
      <c r="A995" s="9" t="n">
        <v>140818</v>
      </c>
      <c r="B995" s="9" t="inlineStr">
        <is>
          <t>Piedmont University</t>
        </is>
      </c>
      <c r="C995" s="9" t="inlineStr">
        <is>
          <t>Demorest</t>
        </is>
      </c>
      <c r="D995" s="9" t="inlineStr">
        <is>
          <t>GA</t>
        </is>
      </c>
      <c r="E995" s="9" t="inlineStr">
        <is>
          <t>Private</t>
        </is>
      </c>
      <c r="F995" s="11" t="n">
        <v>20599</v>
      </c>
      <c r="G995" s="11" t="n">
        <v>49130</v>
      </c>
      <c r="H995" s="9">
        <f>COUNTIF($G$5:$G$1531,"&gt;"&amp;G995)+1</f>
        <v/>
      </c>
      <c r="I995" s="9" t="inlineStr"/>
      <c r="J995" s="11">
        <f>IF(E995="Private",F995,"")</f>
        <v/>
      </c>
      <c r="K995" s="11">
        <f>IF(E995="Private",G995,"")</f>
        <v/>
      </c>
    </row>
    <row r="996">
      <c r="A996" s="9" t="n">
        <v>170639</v>
      </c>
      <c r="B996" s="9" t="inlineStr">
        <is>
          <t>Lake Superior State University</t>
        </is>
      </c>
      <c r="C996" s="9" t="inlineStr">
        <is>
          <t>Sault Ste Marie</t>
        </is>
      </c>
      <c r="D996" s="9" t="inlineStr">
        <is>
          <t>MI</t>
        </is>
      </c>
      <c r="E996" s="9" t="inlineStr">
        <is>
          <t>Public</t>
        </is>
      </c>
      <c r="F996" s="11" t="n">
        <v>12822</v>
      </c>
      <c r="G996" s="11" t="n">
        <v>49045</v>
      </c>
      <c r="H996" s="9">
        <f>COUNTIF($G$5:$G$1531,"&gt;"&amp;G996)+1</f>
        <v/>
      </c>
      <c r="I996" s="9" t="inlineStr"/>
      <c r="J996" s="11">
        <f>IF(E996="Private",F996,"")</f>
        <v/>
      </c>
      <c r="K996" s="11">
        <f>IF(E996="Private",G996,"")</f>
        <v/>
      </c>
    </row>
    <row r="997">
      <c r="A997" s="9" t="n">
        <v>180595</v>
      </c>
      <c r="B997" s="9" t="inlineStr">
        <is>
          <t>Rocky Mountain College</t>
        </is>
      </c>
      <c r="C997" s="9" t="inlineStr">
        <is>
          <t>Billings</t>
        </is>
      </c>
      <c r="D997" s="9" t="inlineStr">
        <is>
          <t>MT</t>
        </is>
      </c>
      <c r="E997" s="9" t="inlineStr">
        <is>
          <t>Private</t>
        </is>
      </c>
      <c r="F997" s="11" t="n">
        <v>19751</v>
      </c>
      <c r="G997" s="11" t="n">
        <v>49036</v>
      </c>
      <c r="H997" s="9">
        <f>COUNTIF($G$5:$G$1531,"&gt;"&amp;G997)+1</f>
        <v/>
      </c>
      <c r="I997" s="9" t="inlineStr"/>
      <c r="J997" s="11">
        <f>IF(E997="Private",F997,"")</f>
        <v/>
      </c>
      <c r="K997" s="11">
        <f>IF(E997="Private",G997,"")</f>
        <v/>
      </c>
    </row>
    <row r="998">
      <c r="A998" s="9" t="n">
        <v>132657</v>
      </c>
      <c r="B998" s="9" t="inlineStr">
        <is>
          <t>Lynn University</t>
        </is>
      </c>
      <c r="C998" s="9" t="inlineStr">
        <is>
          <t>Boca Raton</t>
        </is>
      </c>
      <c r="D998" s="9" t="inlineStr">
        <is>
          <t>FL</t>
        </is>
      </c>
      <c r="E998" s="9" t="inlineStr">
        <is>
          <t>Private</t>
        </is>
      </c>
      <c r="F998" s="11" t="n">
        <v>44089</v>
      </c>
      <c r="G998" s="11" t="n">
        <v>49006</v>
      </c>
      <c r="H998" s="9">
        <f>COUNTIF($G$5:$G$1531,"&gt;"&amp;G998)+1</f>
        <v/>
      </c>
      <c r="I998" s="9" t="inlineStr"/>
      <c r="J998" s="11">
        <f>IF(E998="Private",F998,"")</f>
        <v/>
      </c>
      <c r="K998" s="11">
        <f>IF(E998="Private",G998,"")</f>
        <v/>
      </c>
    </row>
    <row r="999">
      <c r="A999" s="9" t="n">
        <v>243197</v>
      </c>
      <c r="B999" s="9" t="inlineStr">
        <is>
          <t>University of Puerto Rico-Mayaguez</t>
        </is>
      </c>
      <c r="C999" s="9" t="inlineStr">
        <is>
          <t>Mayaguez</t>
        </is>
      </c>
      <c r="D999" s="9" t="inlineStr">
        <is>
          <t>PR</t>
        </is>
      </c>
      <c r="E999" s="9" t="inlineStr">
        <is>
          <t>Public</t>
        </is>
      </c>
      <c r="F999" s="11" t="n">
        <v>17936</v>
      </c>
      <c r="G999" s="11" t="n">
        <v>48992</v>
      </c>
      <c r="H999" s="9">
        <f>COUNTIF($G$5:$G$1531,"&gt;"&amp;G999)+1</f>
        <v/>
      </c>
      <c r="I999" s="9" t="inlineStr"/>
      <c r="J999" s="11">
        <f>IF(E999="Private",F999,"")</f>
        <v/>
      </c>
      <c r="K999" s="11">
        <f>IF(E999="Private",G999,"")</f>
        <v/>
      </c>
    </row>
    <row r="1000">
      <c r="A1000" s="9" t="n">
        <v>176947</v>
      </c>
      <c r="B1000" s="9" t="inlineStr">
        <is>
          <t>Central Methodist University-College of Liberal Arts and Sciences</t>
        </is>
      </c>
      <c r="C1000" s="9" t="inlineStr">
        <is>
          <t>Fayette</t>
        </is>
      </c>
      <c r="D1000" s="9" t="inlineStr">
        <is>
          <t>MO</t>
        </is>
      </c>
      <c r="E1000" s="9" t="inlineStr">
        <is>
          <t>Private</t>
        </is>
      </c>
      <c r="F1000" s="11" t="n">
        <v>22766</v>
      </c>
      <c r="G1000" s="11" t="n">
        <v>48991</v>
      </c>
      <c r="H1000" s="9">
        <f>COUNTIF($G$5:$G$1531,"&gt;"&amp;G1000)+1</f>
        <v/>
      </c>
      <c r="I1000" s="9" t="inlineStr"/>
      <c r="J1000" s="11">
        <f>IF(E1000="Private",F1000,"")</f>
        <v/>
      </c>
      <c r="K1000" s="11">
        <f>IF(E1000="Private",G1000,"")</f>
        <v/>
      </c>
    </row>
    <row r="1001">
      <c r="A1001" s="9" t="n">
        <v>445267</v>
      </c>
      <c r="B1001" s="9" t="inlineStr">
        <is>
          <t>Central Methodist University-College of Graduate and Extended Studies</t>
        </is>
      </c>
      <c r="C1001" s="9" t="inlineStr">
        <is>
          <t>Fayette</t>
        </is>
      </c>
      <c r="D1001" s="9" t="inlineStr">
        <is>
          <t>MO</t>
        </is>
      </c>
      <c r="E1001" s="9" t="inlineStr">
        <is>
          <t>Private</t>
        </is>
      </c>
      <c r="F1001" s="11" t="n">
        <v>14601</v>
      </c>
      <c r="G1001" s="11" t="n">
        <v>48991</v>
      </c>
      <c r="H1001" s="9">
        <f>COUNTIF($G$5:$G$1531,"&gt;"&amp;G1001)+1</f>
        <v/>
      </c>
      <c r="I1001" s="9" t="inlineStr"/>
      <c r="J1001" s="11">
        <f>IF(E1001="Private",F1001,"")</f>
        <v/>
      </c>
      <c r="K1001" s="11">
        <f>IF(E1001="Private",G1001,"")</f>
        <v/>
      </c>
    </row>
    <row r="1002">
      <c r="A1002" s="9" t="n">
        <v>154590</v>
      </c>
      <c r="B1002" s="9" t="inlineStr">
        <is>
          <t>William Penn University</t>
        </is>
      </c>
      <c r="C1002" s="9" t="inlineStr">
        <is>
          <t>Oskaloosa</t>
        </is>
      </c>
      <c r="D1002" s="9" t="inlineStr">
        <is>
          <t>IA</t>
        </is>
      </c>
      <c r="E1002" s="9" t="inlineStr">
        <is>
          <t>Private</t>
        </is>
      </c>
      <c r="F1002" s="11" t="n">
        <v>22601</v>
      </c>
      <c r="G1002" s="11" t="n">
        <v>48936</v>
      </c>
      <c r="H1002" s="9">
        <f>COUNTIF($G$5:$G$1531,"&gt;"&amp;G1002)+1</f>
        <v/>
      </c>
      <c r="I1002" s="9" t="inlineStr"/>
      <c r="J1002" s="11">
        <f>IF(E1002="Private",F1002,"")</f>
        <v/>
      </c>
      <c r="K1002" s="11">
        <f>IF(E1002="Private",G1002,"")</f>
        <v/>
      </c>
    </row>
    <row r="1003">
      <c r="A1003" s="9" t="n">
        <v>155061</v>
      </c>
      <c r="B1003" s="9" t="inlineStr">
        <is>
          <t>Fort Hays State University</t>
        </is>
      </c>
      <c r="C1003" s="9" t="inlineStr">
        <is>
          <t>Hays</t>
        </is>
      </c>
      <c r="D1003" s="9" t="inlineStr">
        <is>
          <t>KS</t>
        </is>
      </c>
      <c r="E1003" s="9" t="inlineStr">
        <is>
          <t>Public</t>
        </is>
      </c>
      <c r="F1003" s="11" t="n">
        <v>12569</v>
      </c>
      <c r="G1003" s="11" t="n">
        <v>48928</v>
      </c>
      <c r="H1003" s="9">
        <f>COUNTIF($G$5:$G$1531,"&gt;"&amp;G1003)+1</f>
        <v/>
      </c>
      <c r="I1003" s="9" t="inlineStr"/>
      <c r="J1003" s="11">
        <f>IF(E1003="Private",F1003,"")</f>
        <v/>
      </c>
      <c r="K1003" s="11">
        <f>IF(E1003="Private",G1003,"")</f>
        <v/>
      </c>
    </row>
    <row r="1004">
      <c r="A1004" s="9" t="n">
        <v>210331</v>
      </c>
      <c r="B1004" s="9" t="inlineStr">
        <is>
          <t>Corban University</t>
        </is>
      </c>
      <c r="C1004" s="9" t="inlineStr">
        <is>
          <t>Salem</t>
        </is>
      </c>
      <c r="D1004" s="9" t="inlineStr">
        <is>
          <t>OR</t>
        </is>
      </c>
      <c r="E1004" s="9" t="inlineStr">
        <is>
          <t>Private</t>
        </is>
      </c>
      <c r="F1004" s="11" t="n">
        <v>28035</v>
      </c>
      <c r="G1004" s="11" t="n">
        <v>48917</v>
      </c>
      <c r="H1004" s="9">
        <f>COUNTIF($G$5:$G$1531,"&gt;"&amp;G1004)+1</f>
        <v/>
      </c>
      <c r="I1004" s="9" t="inlineStr"/>
      <c r="J1004" s="11">
        <f>IF(E1004="Private",F1004,"")</f>
        <v/>
      </c>
      <c r="K1004" s="11">
        <f>IF(E1004="Private",G1004,"")</f>
        <v/>
      </c>
    </row>
    <row r="1005">
      <c r="A1005" s="9" t="n">
        <v>203775</v>
      </c>
      <c r="B1005" s="9" t="inlineStr">
        <is>
          <t>Malone University</t>
        </is>
      </c>
      <c r="C1005" s="9" t="inlineStr">
        <is>
          <t>Canton</t>
        </is>
      </c>
      <c r="D1005" s="9" t="inlineStr">
        <is>
          <t>OH</t>
        </is>
      </c>
      <c r="E1005" s="9" t="inlineStr">
        <is>
          <t>Private</t>
        </is>
      </c>
      <c r="F1005" s="11" t="n">
        <v>20948</v>
      </c>
      <c r="G1005" s="11" t="n">
        <v>48909</v>
      </c>
      <c r="H1005" s="9">
        <f>COUNTIF($G$5:$G$1531,"&gt;"&amp;G1005)+1</f>
        <v/>
      </c>
      <c r="I1005" s="9" t="inlineStr"/>
      <c r="J1005" s="11">
        <f>IF(E1005="Private",F1005,"")</f>
        <v/>
      </c>
      <c r="K1005" s="11">
        <f>IF(E1005="Private",G1005,"")</f>
        <v/>
      </c>
    </row>
    <row r="1006">
      <c r="A1006" s="9" t="n">
        <v>150066</v>
      </c>
      <c r="B1006" s="9" t="inlineStr">
        <is>
          <t>Anderson University (Anderson, IN)</t>
        </is>
      </c>
      <c r="C1006" s="9" t="inlineStr">
        <is>
          <t>Anderson</t>
        </is>
      </c>
      <c r="D1006" s="9" t="inlineStr">
        <is>
          <t>IN</t>
        </is>
      </c>
      <c r="E1006" s="9" t="inlineStr">
        <is>
          <t>Private</t>
        </is>
      </c>
      <c r="F1006" s="11" t="n">
        <v>25021</v>
      </c>
      <c r="G1006" s="11" t="n">
        <v>48899</v>
      </c>
      <c r="H1006" s="9">
        <f>COUNTIF($G$5:$G$1531,"&gt;"&amp;G1006)+1</f>
        <v/>
      </c>
      <c r="I1006" s="9" t="inlineStr"/>
      <c r="J1006" s="11">
        <f>IF(E1006="Private",F1006,"")</f>
        <v/>
      </c>
      <c r="K1006" s="11">
        <f>IF(E1006="Private",G1006,"")</f>
        <v/>
      </c>
    </row>
    <row r="1007">
      <c r="A1007" s="9" t="n">
        <v>231554</v>
      </c>
      <c r="B1007" s="9" t="inlineStr">
        <is>
          <t>Bluefield University</t>
        </is>
      </c>
      <c r="C1007" s="9" t="inlineStr">
        <is>
          <t>Bluefield</t>
        </is>
      </c>
      <c r="D1007" s="9" t="inlineStr">
        <is>
          <t>VA</t>
        </is>
      </c>
      <c r="E1007" s="9" t="inlineStr">
        <is>
          <t>Private</t>
        </is>
      </c>
      <c r="F1007" s="11" t="n">
        <v>25573</v>
      </c>
      <c r="G1007" s="11" t="n">
        <v>48896</v>
      </c>
      <c r="H1007" s="9">
        <f>COUNTIF($G$5:$G$1531,"&gt;"&amp;G1007)+1</f>
        <v/>
      </c>
      <c r="I1007" s="9" t="inlineStr"/>
      <c r="J1007" s="11">
        <f>IF(E1007="Private",F1007,"")</f>
        <v/>
      </c>
      <c r="K1007" s="11">
        <f>IF(E1007="Private",G1007,"")</f>
        <v/>
      </c>
    </row>
    <row r="1008">
      <c r="A1008" s="9" t="n">
        <v>102614</v>
      </c>
      <c r="B1008" s="9" t="inlineStr">
        <is>
          <t>University of Alaska Fairbanks</t>
        </is>
      </c>
      <c r="C1008" s="9" t="inlineStr">
        <is>
          <t>Fairbanks</t>
        </is>
      </c>
      <c r="D1008" s="9" t="inlineStr">
        <is>
          <t>AK</t>
        </is>
      </c>
      <c r="E1008" s="9" t="inlineStr">
        <is>
          <t>Public</t>
        </is>
      </c>
      <c r="F1008" s="11" t="n">
        <v>10892</v>
      </c>
      <c r="G1008" s="11" t="n">
        <v>48866</v>
      </c>
      <c r="H1008" s="9">
        <f>COUNTIF($G$5:$G$1531,"&gt;"&amp;G1008)+1</f>
        <v/>
      </c>
      <c r="I1008" s="9" t="inlineStr"/>
      <c r="J1008" s="11">
        <f>IF(E1008="Private",F1008,"")</f>
        <v/>
      </c>
      <c r="K1008" s="11">
        <f>IF(E1008="Private",G1008,"")</f>
        <v/>
      </c>
    </row>
    <row r="1009">
      <c r="A1009" s="9" t="n">
        <v>150145</v>
      </c>
      <c r="B1009" s="9" t="inlineStr">
        <is>
          <t>Bethel University (Mishawaka, IN)</t>
        </is>
      </c>
      <c r="C1009" s="9" t="inlineStr">
        <is>
          <t>Mishawaka</t>
        </is>
      </c>
      <c r="D1009" s="9" t="inlineStr">
        <is>
          <t>IN</t>
        </is>
      </c>
      <c r="E1009" s="9" t="inlineStr">
        <is>
          <t>Private</t>
        </is>
      </c>
      <c r="F1009" s="11" t="n">
        <v>18610</v>
      </c>
      <c r="G1009" s="11" t="n">
        <v>48860</v>
      </c>
      <c r="H1009" s="9">
        <f>COUNTIF($G$5:$G$1531,"&gt;"&amp;G1009)+1</f>
        <v/>
      </c>
      <c r="I1009" s="9" t="inlineStr"/>
      <c r="J1009" s="11">
        <f>IF(E1009="Private",F1009,"")</f>
        <v/>
      </c>
      <c r="K1009" s="11">
        <f>IF(E1009="Private",G1009,"")</f>
        <v/>
      </c>
    </row>
    <row r="1010">
      <c r="A1010" s="9" t="n">
        <v>198215</v>
      </c>
      <c r="B1010" s="9" t="inlineStr">
        <is>
          <t>Catawba College</t>
        </is>
      </c>
      <c r="C1010" s="9" t="inlineStr">
        <is>
          <t>Salisbury</t>
        </is>
      </c>
      <c r="D1010" s="9" t="inlineStr">
        <is>
          <t>NC</t>
        </is>
      </c>
      <c r="E1010" s="9" t="inlineStr">
        <is>
          <t>Private</t>
        </is>
      </c>
      <c r="F1010" s="11" t="n">
        <v>17879</v>
      </c>
      <c r="G1010" s="11" t="n">
        <v>48793</v>
      </c>
      <c r="H1010" s="9">
        <f>COUNTIF($G$5:$G$1531,"&gt;"&amp;G1010)+1</f>
        <v/>
      </c>
      <c r="I1010" s="9" t="inlineStr"/>
      <c r="J1010" s="11">
        <f>IF(E1010="Private",F1010,"")</f>
        <v/>
      </c>
      <c r="K1010" s="11">
        <f>IF(E1010="Private",G1010,"")</f>
        <v/>
      </c>
    </row>
    <row r="1011">
      <c r="A1011" s="9" t="n">
        <v>226587</v>
      </c>
      <c r="B1011" s="9" t="inlineStr">
        <is>
          <t>McMurry University</t>
        </is>
      </c>
      <c r="C1011" s="9" t="inlineStr">
        <is>
          <t>Abilene</t>
        </is>
      </c>
      <c r="D1011" s="9" t="inlineStr">
        <is>
          <t>TX</t>
        </is>
      </c>
      <c r="E1011" s="9" t="inlineStr">
        <is>
          <t>Private</t>
        </is>
      </c>
      <c r="F1011" s="11" t="n">
        <v>19581</v>
      </c>
      <c r="G1011" s="11" t="n">
        <v>48779</v>
      </c>
      <c r="H1011" s="9">
        <f>COUNTIF($G$5:$G$1531,"&gt;"&amp;G1011)+1</f>
        <v/>
      </c>
      <c r="I1011" s="9" t="inlineStr"/>
      <c r="J1011" s="11">
        <f>IF(E1011="Private",F1011,"")</f>
        <v/>
      </c>
      <c r="K1011" s="11">
        <f>IF(E1011="Private",G1011,"")</f>
        <v/>
      </c>
    </row>
    <row r="1012">
      <c r="A1012" s="9" t="n">
        <v>139764</v>
      </c>
      <c r="B1012" s="9" t="inlineStr">
        <is>
          <t>Georgia Southwestern State University</t>
        </is>
      </c>
      <c r="C1012" s="9" t="inlineStr">
        <is>
          <t>Americus</t>
        </is>
      </c>
      <c r="D1012" s="9" t="inlineStr">
        <is>
          <t>GA</t>
        </is>
      </c>
      <c r="E1012" s="9" t="inlineStr">
        <is>
          <t>Public</t>
        </is>
      </c>
      <c r="F1012" s="11" t="n">
        <v>12019</v>
      </c>
      <c r="G1012" s="11" t="n">
        <v>48757</v>
      </c>
      <c r="H1012" s="9">
        <f>COUNTIF($G$5:$G$1531,"&gt;"&amp;G1012)+1</f>
        <v/>
      </c>
      <c r="I1012" s="9" t="inlineStr"/>
      <c r="J1012" s="11">
        <f>IF(E1012="Private",F1012,"")</f>
        <v/>
      </c>
      <c r="K1012" s="11">
        <f>IF(E1012="Private",G1012,"")</f>
        <v/>
      </c>
    </row>
    <row r="1013">
      <c r="A1013" s="9" t="n">
        <v>239390</v>
      </c>
      <c r="B1013" s="9" t="inlineStr">
        <is>
          <t>Mount Mary University</t>
        </is>
      </c>
      <c r="C1013" s="9" t="inlineStr">
        <is>
          <t>Milwaukee</t>
        </is>
      </c>
      <c r="D1013" s="9" t="inlineStr">
        <is>
          <t>WI</t>
        </is>
      </c>
      <c r="E1013" s="9" t="inlineStr">
        <is>
          <t>Private</t>
        </is>
      </c>
      <c r="F1013" s="11" t="n">
        <v>20144</v>
      </c>
      <c r="G1013" s="11" t="n">
        <v>48745</v>
      </c>
      <c r="H1013" s="9">
        <f>COUNTIF($G$5:$G$1531,"&gt;"&amp;G1013)+1</f>
        <v/>
      </c>
      <c r="I1013" s="9" t="inlineStr"/>
      <c r="J1013" s="11">
        <f>IF(E1013="Private",F1013,"")</f>
        <v/>
      </c>
      <c r="K1013" s="11">
        <f>IF(E1013="Private",G1013,"")</f>
        <v/>
      </c>
    </row>
    <row r="1014">
      <c r="A1014" s="9" t="n">
        <v>148487</v>
      </c>
      <c r="B1014" s="9" t="inlineStr">
        <is>
          <t>Roosevelt University</t>
        </is>
      </c>
      <c r="C1014" s="9" t="inlineStr">
        <is>
          <t>Chicago</t>
        </is>
      </c>
      <c r="D1014" s="9" t="inlineStr">
        <is>
          <t>IL</t>
        </is>
      </c>
      <c r="E1014" s="9" t="inlineStr">
        <is>
          <t>Private</t>
        </is>
      </c>
      <c r="F1014" s="11" t="n">
        <v>20194</v>
      </c>
      <c r="G1014" s="11" t="n">
        <v>48712</v>
      </c>
      <c r="H1014" s="9">
        <f>COUNTIF($G$5:$G$1531,"&gt;"&amp;G1014)+1</f>
        <v/>
      </c>
      <c r="I1014" s="9" t="inlineStr"/>
      <c r="J1014" s="11">
        <f>IF(E1014="Private",F1014,"")</f>
        <v/>
      </c>
      <c r="K1014" s="11">
        <f>IF(E1014="Private",G1014,"")</f>
        <v/>
      </c>
    </row>
    <row r="1015">
      <c r="A1015" s="9" t="n">
        <v>170967</v>
      </c>
      <c r="B1015" s="9" t="inlineStr">
        <is>
          <t>Rochester Christian University</t>
        </is>
      </c>
      <c r="C1015" s="9" t="inlineStr">
        <is>
          <t>Rochester Hills</t>
        </is>
      </c>
      <c r="D1015" s="9" t="inlineStr">
        <is>
          <t>MI</t>
        </is>
      </c>
      <c r="E1015" s="9" t="inlineStr">
        <is>
          <t>Private</t>
        </is>
      </c>
      <c r="F1015" s="11" t="n">
        <v>21456</v>
      </c>
      <c r="G1015" s="11" t="n">
        <v>48707</v>
      </c>
      <c r="H1015" s="9">
        <f>COUNTIF($G$5:$G$1531,"&gt;"&amp;G1015)+1</f>
        <v/>
      </c>
      <c r="I1015" s="9" t="inlineStr"/>
      <c r="J1015" s="11">
        <f>IF(E1015="Private",F1015,"")</f>
        <v/>
      </c>
      <c r="K1015" s="11">
        <f>IF(E1015="Private",G1015,"")</f>
        <v/>
      </c>
    </row>
    <row r="1016">
      <c r="A1016" s="9" t="n">
        <v>217305</v>
      </c>
      <c r="B1016" s="9" t="inlineStr">
        <is>
          <t>New England Institute of Technology</t>
        </is>
      </c>
      <c r="C1016" s="9" t="inlineStr">
        <is>
          <t>East Greenwich</t>
        </is>
      </c>
      <c r="D1016" s="9" t="inlineStr">
        <is>
          <t>RI</t>
        </is>
      </c>
      <c r="E1016" s="9" t="inlineStr">
        <is>
          <t>Private</t>
        </is>
      </c>
      <c r="F1016" s="11" t="n">
        <v>36483</v>
      </c>
      <c r="G1016" s="11" t="n">
        <v>48684</v>
      </c>
      <c r="H1016" s="9">
        <f>COUNTIF($G$5:$G$1531,"&gt;"&amp;G1016)+1</f>
        <v/>
      </c>
      <c r="I1016" s="9" t="inlineStr"/>
      <c r="J1016" s="11">
        <f>IF(E1016="Private",F1016,"")</f>
        <v/>
      </c>
      <c r="K1016" s="11">
        <f>IF(E1016="Private",G1016,"")</f>
        <v/>
      </c>
    </row>
    <row r="1017">
      <c r="A1017" s="9" t="n">
        <v>227331</v>
      </c>
      <c r="B1017" s="9" t="inlineStr">
        <is>
          <t>Our Lady of the Lake University</t>
        </is>
      </c>
      <c r="C1017" s="9" t="inlineStr">
        <is>
          <t>San Antonio</t>
        </is>
      </c>
      <c r="D1017" s="9" t="inlineStr">
        <is>
          <t>TX</t>
        </is>
      </c>
      <c r="E1017" s="9" t="inlineStr">
        <is>
          <t>Private</t>
        </is>
      </c>
      <c r="F1017" s="11" t="n">
        <v>16442</v>
      </c>
      <c r="G1017" s="11" t="n">
        <v>48675</v>
      </c>
      <c r="H1017" s="9">
        <f>COUNTIF($G$5:$G$1531,"&gt;"&amp;G1017)+1</f>
        <v/>
      </c>
      <c r="I1017" s="9" t="inlineStr"/>
      <c r="J1017" s="11">
        <f>IF(E1017="Private",F1017,"")</f>
        <v/>
      </c>
      <c r="K1017" s="11">
        <f>IF(E1017="Private",G1017,"")</f>
        <v/>
      </c>
    </row>
    <row r="1018">
      <c r="A1018" s="9" t="n">
        <v>161253</v>
      </c>
      <c r="B1018" s="9" t="inlineStr">
        <is>
          <t>University of Maine</t>
        </is>
      </c>
      <c r="C1018" s="9" t="inlineStr">
        <is>
          <t>Orono</t>
        </is>
      </c>
      <c r="D1018" s="9" t="inlineStr">
        <is>
          <t>ME</t>
        </is>
      </c>
      <c r="E1018" s="9" t="inlineStr">
        <is>
          <t>Public</t>
        </is>
      </c>
      <c r="F1018" s="11" t="n">
        <v>17510</v>
      </c>
      <c r="G1018" s="11" t="n">
        <v>48653</v>
      </c>
      <c r="H1018" s="9">
        <f>COUNTIF($G$5:$G$1531,"&gt;"&amp;G1018)+1</f>
        <v/>
      </c>
      <c r="I1018" s="9" t="inlineStr"/>
      <c r="J1018" s="11">
        <f>IF(E1018="Private",F1018,"")</f>
        <v/>
      </c>
      <c r="K1018" s="11">
        <f>IF(E1018="Private",G1018,"")</f>
        <v/>
      </c>
    </row>
    <row r="1019">
      <c r="A1019" s="9" t="n">
        <v>218742</v>
      </c>
      <c r="B1019" s="9" t="inlineStr">
        <is>
          <t>University of South Carolina-Upstate</t>
        </is>
      </c>
      <c r="C1019" s="9" t="inlineStr">
        <is>
          <t>Spartanburg</t>
        </is>
      </c>
      <c r="D1019" s="9" t="inlineStr">
        <is>
          <t>SC</t>
        </is>
      </c>
      <c r="E1019" s="9" t="inlineStr">
        <is>
          <t>Public</t>
        </is>
      </c>
      <c r="F1019" s="11" t="n">
        <v>13557</v>
      </c>
      <c r="G1019" s="11" t="n">
        <v>48587</v>
      </c>
      <c r="H1019" s="9">
        <f>COUNTIF($G$5:$G$1531,"&gt;"&amp;G1019)+1</f>
        <v/>
      </c>
      <c r="I1019" s="9" t="inlineStr"/>
      <c r="J1019" s="11">
        <f>IF(E1019="Private",F1019,"")</f>
        <v/>
      </c>
      <c r="K1019" s="11">
        <f>IF(E1019="Private",G1019,"")</f>
        <v/>
      </c>
    </row>
    <row r="1020">
      <c r="A1020" s="9" t="n">
        <v>215691</v>
      </c>
      <c r="B1020" s="9" t="inlineStr">
        <is>
          <t>Rosemont College</t>
        </is>
      </c>
      <c r="C1020" s="9" t="inlineStr">
        <is>
          <t>Rosemont</t>
        </is>
      </c>
      <c r="D1020" s="9" t="inlineStr">
        <is>
          <t>PA</t>
        </is>
      </c>
      <c r="E1020" s="9" t="inlineStr">
        <is>
          <t>Private</t>
        </is>
      </c>
      <c r="F1020" s="11" t="n">
        <v>20150</v>
      </c>
      <c r="G1020" s="11" t="n">
        <v>48555</v>
      </c>
      <c r="H1020" s="9">
        <f>COUNTIF($G$5:$G$1531,"&gt;"&amp;G1020)+1</f>
        <v/>
      </c>
      <c r="I1020" s="9" t="inlineStr"/>
      <c r="J1020" s="11">
        <f>IF(E1020="Private",F1020,"")</f>
        <v/>
      </c>
      <c r="K1020" s="11">
        <f>IF(E1020="Private",G1020,"")</f>
        <v/>
      </c>
    </row>
    <row r="1021">
      <c r="A1021" s="9" t="n">
        <v>220978</v>
      </c>
      <c r="B1021" s="9" t="inlineStr">
        <is>
          <t>Middle Tennessee State University</t>
        </is>
      </c>
      <c r="C1021" s="9" t="inlineStr">
        <is>
          <t>Murfreesboro</t>
        </is>
      </c>
      <c r="D1021" s="9" t="inlineStr">
        <is>
          <t>TN</t>
        </is>
      </c>
      <c r="E1021" s="9" t="inlineStr">
        <is>
          <t>Public</t>
        </is>
      </c>
      <c r="F1021" s="11" t="n">
        <v>13359</v>
      </c>
      <c r="G1021" s="11" t="n">
        <v>48541</v>
      </c>
      <c r="H1021" s="9">
        <f>COUNTIF($G$5:$G$1531,"&gt;"&amp;G1021)+1</f>
        <v/>
      </c>
      <c r="I1021" s="9" t="inlineStr"/>
      <c r="J1021" s="11">
        <f>IF(E1021="Private",F1021,"")</f>
        <v/>
      </c>
      <c r="K1021" s="11">
        <f>IF(E1021="Private",G1021,"")</f>
        <v/>
      </c>
    </row>
    <row r="1022">
      <c r="A1022" s="9" t="n">
        <v>221847</v>
      </c>
      <c r="B1022" s="9" t="inlineStr">
        <is>
          <t>Tennessee Technological University</t>
        </is>
      </c>
      <c r="C1022" s="9" t="inlineStr">
        <is>
          <t>Cookeville</t>
        </is>
      </c>
      <c r="D1022" s="9" t="inlineStr">
        <is>
          <t>TN</t>
        </is>
      </c>
      <c r="E1022" s="9" t="inlineStr">
        <is>
          <t>Public</t>
        </is>
      </c>
      <c r="F1022" s="11" t="n">
        <v>14246</v>
      </c>
      <c r="G1022" s="11" t="n">
        <v>48501</v>
      </c>
      <c r="H1022" s="9">
        <f>COUNTIF($G$5:$G$1531,"&gt;"&amp;G1022)+1</f>
        <v/>
      </c>
      <c r="I1022" s="9" t="inlineStr"/>
      <c r="J1022" s="11">
        <f>IF(E1022="Private",F1022,"")</f>
        <v/>
      </c>
      <c r="K1022" s="11">
        <f>IF(E1022="Private",G1022,"")</f>
        <v/>
      </c>
    </row>
    <row r="1023">
      <c r="A1023" s="9" t="n">
        <v>206507</v>
      </c>
      <c r="B1023" s="9" t="inlineStr">
        <is>
          <t>Wilmington College</t>
        </is>
      </c>
      <c r="C1023" s="9" t="inlineStr">
        <is>
          <t>Wilmington</t>
        </is>
      </c>
      <c r="D1023" s="9" t="inlineStr">
        <is>
          <t>OH</t>
        </is>
      </c>
      <c r="E1023" s="9" t="inlineStr">
        <is>
          <t>Private</t>
        </is>
      </c>
      <c r="F1023" s="11" t="n">
        <v>24153</v>
      </c>
      <c r="G1023" s="11" t="n">
        <v>48491</v>
      </c>
      <c r="H1023" s="9">
        <f>COUNTIF($G$5:$G$1531,"&gt;"&amp;G1023)+1</f>
        <v/>
      </c>
      <c r="I1023" s="9" t="inlineStr"/>
      <c r="J1023" s="11">
        <f>IF(E1023="Private",F1023,"")</f>
        <v/>
      </c>
      <c r="K1023" s="11">
        <f>IF(E1023="Private",G1023,"")</f>
        <v/>
      </c>
    </row>
    <row r="1024">
      <c r="A1024" s="9" t="n">
        <v>102632</v>
      </c>
      <c r="B1024" s="9" t="inlineStr">
        <is>
          <t>University of Alaska Southeast</t>
        </is>
      </c>
      <c r="C1024" s="9" t="inlineStr">
        <is>
          <t>Juneau</t>
        </is>
      </c>
      <c r="D1024" s="9" t="inlineStr">
        <is>
          <t>AK</t>
        </is>
      </c>
      <c r="E1024" s="9" t="inlineStr">
        <is>
          <t>Public</t>
        </is>
      </c>
      <c r="F1024" s="11" t="n">
        <v>12357</v>
      </c>
      <c r="G1024" s="11" t="n">
        <v>48475</v>
      </c>
      <c r="H1024" s="9">
        <f>COUNTIF($G$5:$G$1531,"&gt;"&amp;G1024)+1</f>
        <v/>
      </c>
      <c r="I1024" s="9" t="inlineStr"/>
      <c r="J1024" s="11">
        <f>IF(E1024="Private",F1024,"")</f>
        <v/>
      </c>
      <c r="K1024" s="11">
        <f>IF(E1024="Private",G1024,"")</f>
        <v/>
      </c>
    </row>
    <row r="1025">
      <c r="A1025" s="9" t="n">
        <v>142294</v>
      </c>
      <c r="B1025" s="9" t="inlineStr">
        <is>
          <t>The College of Idaho</t>
        </is>
      </c>
      <c r="C1025" s="9" t="inlineStr">
        <is>
          <t>Caldwell</t>
        </is>
      </c>
      <c r="D1025" s="9" t="inlineStr">
        <is>
          <t>ID</t>
        </is>
      </c>
      <c r="E1025" s="9" t="inlineStr">
        <is>
          <t>Private</t>
        </is>
      </c>
      <c r="F1025" s="11" t="n">
        <v>19481</v>
      </c>
      <c r="G1025" s="11" t="n">
        <v>48473</v>
      </c>
      <c r="H1025" s="9">
        <f>COUNTIF($G$5:$G$1531,"&gt;"&amp;G1025)+1</f>
        <v/>
      </c>
      <c r="I1025" s="9" t="inlineStr"/>
      <c r="J1025" s="11">
        <f>IF(E1025="Private",F1025,"")</f>
        <v/>
      </c>
      <c r="K1025" s="11">
        <f>IF(E1025="Private",G1025,"")</f>
        <v/>
      </c>
    </row>
    <row r="1026">
      <c r="A1026" s="9" t="n">
        <v>482149</v>
      </c>
      <c r="B1026" s="9" t="inlineStr">
        <is>
          <t>Augusta University</t>
        </is>
      </c>
      <c r="C1026" s="9" t="inlineStr">
        <is>
          <t>Augusta</t>
        </is>
      </c>
      <c r="D1026" s="9" t="inlineStr">
        <is>
          <t>GA</t>
        </is>
      </c>
      <c r="E1026" s="9" t="inlineStr">
        <is>
          <t>Public</t>
        </is>
      </c>
      <c r="F1026" s="11" t="n">
        <v>13787</v>
      </c>
      <c r="G1026" s="11" t="n">
        <v>48472</v>
      </c>
      <c r="H1026" s="9">
        <f>COUNTIF($G$5:$G$1531,"&gt;"&amp;G1026)+1</f>
        <v/>
      </c>
      <c r="I1026" s="9" t="inlineStr"/>
      <c r="J1026" s="11">
        <f>IF(E1026="Private",F1026,"")</f>
        <v/>
      </c>
      <c r="K1026" s="11">
        <f>IF(E1026="Private",G1026,"")</f>
        <v/>
      </c>
    </row>
    <row r="1027">
      <c r="A1027" s="9" t="n">
        <v>203085</v>
      </c>
      <c r="B1027" s="9" t="inlineStr">
        <is>
          <t>Heidelberg University</t>
        </is>
      </c>
      <c r="C1027" s="9" t="inlineStr">
        <is>
          <t>Tiffin</t>
        </is>
      </c>
      <c r="D1027" s="9" t="inlineStr">
        <is>
          <t>OH</t>
        </is>
      </c>
      <c r="E1027" s="9" t="inlineStr">
        <is>
          <t>Private</t>
        </is>
      </c>
      <c r="F1027" s="11" t="n">
        <v>20556</v>
      </c>
      <c r="G1027" s="11" t="n">
        <v>48466</v>
      </c>
      <c r="H1027" s="9">
        <f>COUNTIF($G$5:$G$1531,"&gt;"&amp;G1027)+1</f>
        <v/>
      </c>
      <c r="I1027" s="9" t="inlineStr"/>
      <c r="J1027" s="11">
        <f>IF(E1027="Private",F1027,"")</f>
        <v/>
      </c>
      <c r="K1027" s="11">
        <f>IF(E1027="Private",G1027,"")</f>
        <v/>
      </c>
    </row>
    <row r="1028">
      <c r="A1028" s="9" t="n">
        <v>220862</v>
      </c>
      <c r="B1028" s="9" t="inlineStr">
        <is>
          <t>University of Memphis</t>
        </is>
      </c>
      <c r="C1028" s="9" t="inlineStr">
        <is>
          <t>Memphis</t>
        </is>
      </c>
      <c r="D1028" s="9" t="inlineStr">
        <is>
          <t>TN</t>
        </is>
      </c>
      <c r="E1028" s="9" t="inlineStr">
        <is>
          <t>Public</t>
        </is>
      </c>
      <c r="F1028" s="11" t="n">
        <v>12397</v>
      </c>
      <c r="G1028" s="11" t="n">
        <v>48458</v>
      </c>
      <c r="H1028" s="9">
        <f>COUNTIF($G$5:$G$1531,"&gt;"&amp;G1028)+1</f>
        <v/>
      </c>
      <c r="I1028" s="9" t="inlineStr"/>
      <c r="J1028" s="11">
        <f>IF(E1028="Private",F1028,"")</f>
        <v/>
      </c>
      <c r="K1028" s="11">
        <f>IF(E1028="Private",G1028,"")</f>
        <v/>
      </c>
    </row>
    <row r="1029">
      <c r="A1029" s="9" t="n">
        <v>204264</v>
      </c>
      <c r="B1029" s="9" t="inlineStr">
        <is>
          <t>Muskingum University</t>
        </is>
      </c>
      <c r="C1029" s="9" t="inlineStr">
        <is>
          <t>New Concord</t>
        </is>
      </c>
      <c r="D1029" s="9" t="inlineStr">
        <is>
          <t>OH</t>
        </is>
      </c>
      <c r="E1029" s="9" t="inlineStr">
        <is>
          <t>Private</t>
        </is>
      </c>
      <c r="F1029" s="11" t="n">
        <v>19532</v>
      </c>
      <c r="G1029" s="11" t="n">
        <v>48440</v>
      </c>
      <c r="H1029" s="9">
        <f>COUNTIF($G$5:$G$1531,"&gt;"&amp;G1029)+1</f>
        <v/>
      </c>
      <c r="I1029" s="9" t="inlineStr"/>
      <c r="J1029" s="11">
        <f>IF(E1029="Private",F1029,"")</f>
        <v/>
      </c>
      <c r="K1029" s="11">
        <f>IF(E1029="Private",G1029,"")</f>
        <v/>
      </c>
    </row>
    <row r="1030">
      <c r="A1030" s="9" t="n">
        <v>207403</v>
      </c>
      <c r="B1030" s="9" t="inlineStr">
        <is>
          <t>Oklahoma Baptist University</t>
        </is>
      </c>
      <c r="C1030" s="9" t="inlineStr">
        <is>
          <t>Shawnee</t>
        </is>
      </c>
      <c r="D1030" s="9" t="inlineStr">
        <is>
          <t>OK</t>
        </is>
      </c>
      <c r="E1030" s="9" t="inlineStr">
        <is>
          <t>Private</t>
        </is>
      </c>
      <c r="F1030" s="11" t="n">
        <v>20958</v>
      </c>
      <c r="G1030" s="11" t="n">
        <v>48434</v>
      </c>
      <c r="H1030" s="9">
        <f>COUNTIF($G$5:$G$1531,"&gt;"&amp;G1030)+1</f>
        <v/>
      </c>
      <c r="I1030" s="9" t="inlineStr"/>
      <c r="J1030" s="11">
        <f>IF(E1030="Private",F1030,"")</f>
        <v/>
      </c>
      <c r="K1030" s="11">
        <f>IF(E1030="Private",G1030,"")</f>
        <v/>
      </c>
    </row>
    <row r="1031">
      <c r="A1031" s="9" t="n">
        <v>151324</v>
      </c>
      <c r="B1031" s="9" t="inlineStr">
        <is>
          <t>Indiana State University</t>
        </is>
      </c>
      <c r="C1031" s="9" t="inlineStr">
        <is>
          <t>Terre Haute</t>
        </is>
      </c>
      <c r="D1031" s="9" t="inlineStr">
        <is>
          <t>IN</t>
        </is>
      </c>
      <c r="E1031" s="9" t="inlineStr">
        <is>
          <t>Public</t>
        </is>
      </c>
      <c r="F1031" s="11" t="n">
        <v>10873</v>
      </c>
      <c r="G1031" s="11" t="n">
        <v>48387</v>
      </c>
      <c r="H1031" s="9">
        <f>COUNTIF($G$5:$G$1531,"&gt;"&amp;G1031)+1</f>
        <v/>
      </c>
      <c r="I1031" s="9" t="inlineStr"/>
      <c r="J1031" s="11">
        <f>IF(E1031="Private",F1031,"")</f>
        <v/>
      </c>
      <c r="K1031" s="11">
        <f>IF(E1031="Private",G1031,"")</f>
        <v/>
      </c>
    </row>
    <row r="1032">
      <c r="A1032" s="9" t="n">
        <v>226152</v>
      </c>
      <c r="B1032" s="9" t="inlineStr">
        <is>
          <t>Texas A &amp; M International University</t>
        </is>
      </c>
      <c r="C1032" s="9" t="inlineStr">
        <is>
          <t>Laredo</t>
        </is>
      </c>
      <c r="D1032" s="9" t="inlineStr">
        <is>
          <t>TX</t>
        </is>
      </c>
      <c r="E1032" s="9" t="inlineStr">
        <is>
          <t>Public</t>
        </is>
      </c>
      <c r="F1032" s="11" t="n">
        <v>3637</v>
      </c>
      <c r="G1032" s="11" t="n">
        <v>48386</v>
      </c>
      <c r="H1032" s="9">
        <f>COUNTIF($G$5:$G$1531,"&gt;"&amp;G1032)+1</f>
        <v/>
      </c>
      <c r="I1032" s="9" t="inlineStr"/>
      <c r="J1032" s="11">
        <f>IF(E1032="Private",F1032,"")</f>
        <v/>
      </c>
      <c r="K1032" s="11">
        <f>IF(E1032="Private",G1032,"")</f>
        <v/>
      </c>
    </row>
    <row r="1033">
      <c r="A1033" s="9" t="n">
        <v>219806</v>
      </c>
      <c r="B1033" s="9" t="inlineStr">
        <is>
          <t>Carson-Newman University</t>
        </is>
      </c>
      <c r="C1033" s="9" t="inlineStr">
        <is>
          <t>Jefferson City</t>
        </is>
      </c>
      <c r="D1033" s="9" t="inlineStr">
        <is>
          <t>TN</t>
        </is>
      </c>
      <c r="E1033" s="9" t="inlineStr">
        <is>
          <t>Private</t>
        </is>
      </c>
      <c r="F1033" s="11" t="n">
        <v>20251</v>
      </c>
      <c r="G1033" s="11" t="n">
        <v>48382</v>
      </c>
      <c r="H1033" s="9">
        <f>COUNTIF($G$5:$G$1531,"&gt;"&amp;G1033)+1</f>
        <v/>
      </c>
      <c r="I1033" s="9" t="inlineStr"/>
      <c r="J1033" s="11">
        <f>IF(E1033="Private",F1033,"")</f>
        <v/>
      </c>
      <c r="K1033" s="11">
        <f>IF(E1033="Private",G1033,"")</f>
        <v/>
      </c>
    </row>
    <row r="1034">
      <c r="A1034" s="9" t="n">
        <v>225548</v>
      </c>
      <c r="B1034" s="9" t="inlineStr">
        <is>
          <t>Howard Payne University</t>
        </is>
      </c>
      <c r="C1034" s="9" t="inlineStr">
        <is>
          <t>Brownwood</t>
        </is>
      </c>
      <c r="D1034" s="9" t="inlineStr">
        <is>
          <t>TX</t>
        </is>
      </c>
      <c r="E1034" s="9" t="inlineStr">
        <is>
          <t>Private</t>
        </is>
      </c>
      <c r="F1034" s="11" t="n">
        <v>23627</v>
      </c>
      <c r="G1034" s="11" t="n">
        <v>48376</v>
      </c>
      <c r="H1034" s="9">
        <f>COUNTIF($G$5:$G$1531,"&gt;"&amp;G1034)+1</f>
        <v/>
      </c>
      <c r="I1034" s="9" t="inlineStr"/>
      <c r="J1034" s="11">
        <f>IF(E1034="Private",F1034,"")</f>
        <v/>
      </c>
      <c r="K1034" s="11">
        <f>IF(E1034="Private",G1034,"")</f>
        <v/>
      </c>
    </row>
    <row r="1035">
      <c r="A1035" s="9" t="n">
        <v>137032</v>
      </c>
      <c r="B1035" s="9" t="inlineStr">
        <is>
          <t>Saint Leo University</t>
        </is>
      </c>
      <c r="C1035" s="9" t="inlineStr">
        <is>
          <t>Saint Leo</t>
        </is>
      </c>
      <c r="D1035" s="9" t="inlineStr">
        <is>
          <t>FL</t>
        </is>
      </c>
      <c r="E1035" s="9" t="inlineStr">
        <is>
          <t>Private</t>
        </is>
      </c>
      <c r="F1035" s="11" t="n">
        <v>21293</v>
      </c>
      <c r="G1035" s="11" t="n">
        <v>48364</v>
      </c>
      <c r="H1035" s="9">
        <f>COUNTIF($G$5:$G$1531,"&gt;"&amp;G1035)+1</f>
        <v/>
      </c>
      <c r="I1035" s="9" t="inlineStr"/>
      <c r="J1035" s="11">
        <f>IF(E1035="Private",F1035,"")</f>
        <v/>
      </c>
      <c r="K1035" s="11">
        <f>IF(E1035="Private",G1035,"")</f>
        <v/>
      </c>
    </row>
    <row r="1036">
      <c r="A1036" s="9" t="n">
        <v>206941</v>
      </c>
      <c r="B1036" s="9" t="inlineStr">
        <is>
          <t>University of Central Oklahoma</t>
        </is>
      </c>
      <c r="C1036" s="9" t="inlineStr">
        <is>
          <t>Edmond</t>
        </is>
      </c>
      <c r="D1036" s="9" t="inlineStr">
        <is>
          <t>OK</t>
        </is>
      </c>
      <c r="E1036" s="9" t="inlineStr">
        <is>
          <t>Public</t>
        </is>
      </c>
      <c r="F1036" s="11" t="n">
        <v>18309</v>
      </c>
      <c r="G1036" s="11" t="n">
        <v>48351</v>
      </c>
      <c r="H1036" s="9">
        <f>COUNTIF($G$5:$G$1531,"&gt;"&amp;G1036)+1</f>
        <v/>
      </c>
      <c r="I1036" s="9" t="inlineStr"/>
      <c r="J1036" s="11">
        <f>IF(E1036="Private",F1036,"")</f>
        <v/>
      </c>
      <c r="K1036" s="11">
        <f>IF(E1036="Private",G1036,"")</f>
        <v/>
      </c>
    </row>
    <row r="1037">
      <c r="A1037" s="9" t="n">
        <v>490805</v>
      </c>
      <c r="B1037" s="9" t="inlineStr">
        <is>
          <t>Purdue University Northwest</t>
        </is>
      </c>
      <c r="C1037" s="9" t="inlineStr">
        <is>
          <t>Hammond</t>
        </is>
      </c>
      <c r="D1037" s="9" t="inlineStr">
        <is>
          <t>IN</t>
        </is>
      </c>
      <c r="E1037" s="9" t="inlineStr">
        <is>
          <t>Public</t>
        </is>
      </c>
      <c r="F1037" s="11" t="n">
        <v>6079</v>
      </c>
      <c r="G1037" s="11" t="n">
        <v>48318</v>
      </c>
      <c r="H1037" s="9">
        <f>COUNTIF($G$5:$G$1531,"&gt;"&amp;G1037)+1</f>
        <v/>
      </c>
      <c r="I1037" s="9" t="inlineStr"/>
      <c r="J1037" s="11">
        <f>IF(E1037="Private",F1037,"")</f>
        <v/>
      </c>
      <c r="K1037" s="11">
        <f>IF(E1037="Private",G1037,"")</f>
        <v/>
      </c>
    </row>
    <row r="1038">
      <c r="A1038" s="9" t="n">
        <v>191621</v>
      </c>
      <c r="B1038" s="9" t="inlineStr">
        <is>
          <t>Hilbert College</t>
        </is>
      </c>
      <c r="C1038" s="9" t="inlineStr">
        <is>
          <t>Hamburg</t>
        </is>
      </c>
      <c r="D1038" s="9" t="inlineStr">
        <is>
          <t>NY</t>
        </is>
      </c>
      <c r="E1038" s="9" t="inlineStr">
        <is>
          <t>Private</t>
        </is>
      </c>
      <c r="F1038" s="11" t="n">
        <v>22723</v>
      </c>
      <c r="G1038" s="11" t="n">
        <v>48309</v>
      </c>
      <c r="H1038" s="9">
        <f>COUNTIF($G$5:$G$1531,"&gt;"&amp;G1038)+1</f>
        <v/>
      </c>
      <c r="I1038" s="9" t="inlineStr"/>
      <c r="J1038" s="11">
        <f>IF(E1038="Private",F1038,"")</f>
        <v/>
      </c>
      <c r="K1038" s="11">
        <f>IF(E1038="Private",G1038,"")</f>
        <v/>
      </c>
    </row>
    <row r="1039">
      <c r="A1039" s="9" t="n">
        <v>180258</v>
      </c>
      <c r="B1039" s="9" t="inlineStr">
        <is>
          <t>University of Providence</t>
        </is>
      </c>
      <c r="C1039" s="9" t="inlineStr">
        <is>
          <t>Great Falls</t>
        </is>
      </c>
      <c r="D1039" s="9" t="inlineStr">
        <is>
          <t>MT</t>
        </is>
      </c>
      <c r="E1039" s="9" t="inlineStr">
        <is>
          <t>Private</t>
        </is>
      </c>
      <c r="F1039" s="11" t="n">
        <v>17649</v>
      </c>
      <c r="G1039" s="11" t="n">
        <v>48296</v>
      </c>
      <c r="H1039" s="9">
        <f>COUNTIF($G$5:$G$1531,"&gt;"&amp;G1039)+1</f>
        <v/>
      </c>
      <c r="I1039" s="9" t="inlineStr"/>
      <c r="J1039" s="11">
        <f>IF(E1039="Private",F1039,"")</f>
        <v/>
      </c>
      <c r="K1039" s="11">
        <f>IF(E1039="Private",G1039,"")</f>
        <v/>
      </c>
    </row>
    <row r="1040">
      <c r="A1040" s="9" t="n">
        <v>157535</v>
      </c>
      <c r="B1040" s="9" t="inlineStr">
        <is>
          <t>University of Pikeville</t>
        </is>
      </c>
      <c r="C1040" s="9" t="inlineStr">
        <is>
          <t>Pikeville</t>
        </is>
      </c>
      <c r="D1040" s="9" t="inlineStr">
        <is>
          <t>KY</t>
        </is>
      </c>
      <c r="E1040" s="9" t="inlineStr">
        <is>
          <t>Private</t>
        </is>
      </c>
      <c r="F1040" s="11" t="n">
        <v>20311</v>
      </c>
      <c r="G1040" s="11" t="n">
        <v>48231</v>
      </c>
      <c r="H1040" s="9">
        <f>COUNTIF($G$5:$G$1531,"&gt;"&amp;G1040)+1</f>
        <v/>
      </c>
      <c r="I1040" s="9" t="inlineStr"/>
      <c r="J1040" s="11">
        <f>IF(E1040="Private",F1040,"")</f>
        <v/>
      </c>
      <c r="K1040" s="11">
        <f>IF(E1040="Private",G1040,"")</f>
        <v/>
      </c>
    </row>
    <row r="1041">
      <c r="A1041" s="9" t="n">
        <v>219198</v>
      </c>
      <c r="B1041" s="9" t="inlineStr">
        <is>
          <t>Mount Marty University</t>
        </is>
      </c>
      <c r="C1041" s="9" t="inlineStr">
        <is>
          <t>Yankton</t>
        </is>
      </c>
      <c r="D1041" s="9" t="inlineStr">
        <is>
          <t>SD</t>
        </is>
      </c>
      <c r="E1041" s="9" t="inlineStr">
        <is>
          <t>Private</t>
        </is>
      </c>
      <c r="F1041" s="11" t="n">
        <v>22227</v>
      </c>
      <c r="G1041" s="11" t="n">
        <v>48179</v>
      </c>
      <c r="H1041" s="9">
        <f>COUNTIF($G$5:$G$1531,"&gt;"&amp;G1041)+1</f>
        <v/>
      </c>
      <c r="I1041" s="9" t="inlineStr"/>
      <c r="J1041" s="11">
        <f>IF(E1041="Private",F1041,"")</f>
        <v/>
      </c>
      <c r="K1041" s="11">
        <f>IF(E1041="Private",G1041,"")</f>
        <v/>
      </c>
    </row>
    <row r="1042">
      <c r="A1042" s="9" t="n">
        <v>199148</v>
      </c>
      <c r="B1042" s="9" t="inlineStr">
        <is>
          <t>University of North Carolina at Greensboro</t>
        </is>
      </c>
      <c r="C1042" s="9" t="inlineStr">
        <is>
          <t>Greensboro</t>
        </is>
      </c>
      <c r="D1042" s="9" t="inlineStr">
        <is>
          <t>NC</t>
        </is>
      </c>
      <c r="E1042" s="9" t="inlineStr">
        <is>
          <t>Public</t>
        </is>
      </c>
      <c r="F1042" s="11" t="n">
        <v>10965</v>
      </c>
      <c r="G1042" s="11" t="n">
        <v>48160</v>
      </c>
      <c r="H1042" s="9">
        <f>COUNTIF($G$5:$G$1531,"&gt;"&amp;G1042)+1</f>
        <v/>
      </c>
      <c r="I1042" s="9" t="inlineStr"/>
      <c r="J1042" s="11">
        <f>IF(E1042="Private",F1042,"")</f>
        <v/>
      </c>
      <c r="K1042" s="11">
        <f>IF(E1042="Private",G1042,"")</f>
        <v/>
      </c>
    </row>
    <row r="1043">
      <c r="A1043" s="9" t="n">
        <v>203757</v>
      </c>
      <c r="B1043" s="9" t="inlineStr">
        <is>
          <t>Lourdes University</t>
        </is>
      </c>
      <c r="C1043" s="9" t="inlineStr">
        <is>
          <t>Sylvania</t>
        </is>
      </c>
      <c r="D1043" s="9" t="inlineStr">
        <is>
          <t>OH</t>
        </is>
      </c>
      <c r="E1043" s="9" t="inlineStr">
        <is>
          <t>Private</t>
        </is>
      </c>
      <c r="F1043" s="11" t="n">
        <v>23206</v>
      </c>
      <c r="G1043" s="11" t="n">
        <v>48150</v>
      </c>
      <c r="H1043" s="9">
        <f>COUNTIF($G$5:$G$1531,"&gt;"&amp;G1043)+1</f>
        <v/>
      </c>
      <c r="I1043" s="9" t="inlineStr"/>
      <c r="J1043" s="11">
        <f>IF(E1043="Private",F1043,"")</f>
        <v/>
      </c>
      <c r="K1043" s="11">
        <f>IF(E1043="Private",G1043,"")</f>
        <v/>
      </c>
    </row>
    <row r="1044">
      <c r="A1044" s="9" t="n">
        <v>167288</v>
      </c>
      <c r="B1044" s="9" t="inlineStr">
        <is>
          <t>Massachusetts College of Liberal Arts</t>
        </is>
      </c>
      <c r="C1044" s="9" t="inlineStr">
        <is>
          <t>North Adams</t>
        </is>
      </c>
      <c r="D1044" s="9" t="inlineStr">
        <is>
          <t>MA</t>
        </is>
      </c>
      <c r="E1044" s="9" t="inlineStr">
        <is>
          <t>Public</t>
        </is>
      </c>
      <c r="F1044" s="11" t="n">
        <v>16068</v>
      </c>
      <c r="G1044" s="11" t="n">
        <v>48102</v>
      </c>
      <c r="H1044" s="9">
        <f>COUNTIF($G$5:$G$1531,"&gt;"&amp;G1044)+1</f>
        <v/>
      </c>
      <c r="I1044" s="9" t="inlineStr"/>
      <c r="J1044" s="11">
        <f>IF(E1044="Private",F1044,"")</f>
        <v/>
      </c>
      <c r="K1044" s="11">
        <f>IF(E1044="Private",G1044,"")</f>
        <v/>
      </c>
    </row>
    <row r="1045">
      <c r="A1045" s="9" t="n">
        <v>218654</v>
      </c>
      <c r="B1045" s="9" t="inlineStr">
        <is>
          <t>University of South Carolina Beaufort</t>
        </is>
      </c>
      <c r="C1045" s="9" t="inlineStr">
        <is>
          <t>Bluffton</t>
        </is>
      </c>
      <c r="D1045" s="9" t="inlineStr">
        <is>
          <t>SC</t>
        </is>
      </c>
      <c r="E1045" s="9" t="inlineStr">
        <is>
          <t>Public</t>
        </is>
      </c>
      <c r="F1045" s="11" t="n">
        <v>14656</v>
      </c>
      <c r="G1045" s="11" t="n">
        <v>48088</v>
      </c>
      <c r="H1045" s="9">
        <f>COUNTIF($G$5:$G$1531,"&gt;"&amp;G1045)+1</f>
        <v/>
      </c>
      <c r="I1045" s="9" t="inlineStr"/>
      <c r="J1045" s="11">
        <f>IF(E1045="Private",F1045,"")</f>
        <v/>
      </c>
      <c r="K1045" s="11">
        <f>IF(E1045="Private",G1045,"")</f>
        <v/>
      </c>
    </row>
    <row r="1046">
      <c r="A1046" s="9" t="n">
        <v>262129</v>
      </c>
      <c r="B1046" s="9" t="inlineStr">
        <is>
          <t>New College of Florida</t>
        </is>
      </c>
      <c r="C1046" s="9" t="inlineStr">
        <is>
          <t>Sarasota</t>
        </is>
      </c>
      <c r="D1046" s="9" t="inlineStr">
        <is>
          <t>FL</t>
        </is>
      </c>
      <c r="E1046" s="9" t="inlineStr">
        <is>
          <t>Public</t>
        </is>
      </c>
      <c r="F1046" s="11" t="n">
        <v>7195</v>
      </c>
      <c r="G1046" s="11" t="n">
        <v>48082</v>
      </c>
      <c r="H1046" s="9">
        <f>COUNTIF($G$5:$G$1531,"&gt;"&amp;G1046)+1</f>
        <v/>
      </c>
      <c r="I1046" s="9" t="inlineStr"/>
      <c r="J1046" s="11">
        <f>IF(E1046="Private",F1046,"")</f>
        <v/>
      </c>
      <c r="K1046" s="11">
        <f>IF(E1046="Private",G1046,"")</f>
        <v/>
      </c>
    </row>
    <row r="1047">
      <c r="A1047" s="9" t="n">
        <v>174862</v>
      </c>
      <c r="B1047" s="9" t="inlineStr">
        <is>
          <t>Crown College</t>
        </is>
      </c>
      <c r="C1047" s="9" t="inlineStr">
        <is>
          <t>Saint Bonifacius</t>
        </is>
      </c>
      <c r="D1047" s="9" t="inlineStr">
        <is>
          <t>MN</t>
        </is>
      </c>
      <c r="E1047" s="9" t="inlineStr">
        <is>
          <t>Private</t>
        </is>
      </c>
      <c r="F1047" s="11" t="n">
        <v>26672</v>
      </c>
      <c r="G1047" s="11" t="n">
        <v>48057</v>
      </c>
      <c r="H1047" s="9">
        <f>COUNTIF($G$5:$G$1531,"&gt;"&amp;G1047)+1</f>
        <v/>
      </c>
      <c r="I1047" s="9" t="inlineStr"/>
      <c r="J1047" s="11">
        <f>IF(E1047="Private",F1047,"")</f>
        <v/>
      </c>
      <c r="K1047" s="11">
        <f>IF(E1047="Private",G1047,"")</f>
        <v/>
      </c>
    </row>
    <row r="1048">
      <c r="A1048" s="9" t="n">
        <v>198969</v>
      </c>
      <c r="B1048" s="9" t="inlineStr">
        <is>
          <t>Methodist University</t>
        </is>
      </c>
      <c r="C1048" s="9" t="inlineStr">
        <is>
          <t>Fayetteville</t>
        </is>
      </c>
      <c r="D1048" s="9" t="inlineStr">
        <is>
          <t>NC</t>
        </is>
      </c>
      <c r="E1048" s="9" t="inlineStr">
        <is>
          <t>Private</t>
        </is>
      </c>
      <c r="F1048" s="11" t="n">
        <v>24704</v>
      </c>
      <c r="G1048" s="11" t="n">
        <v>48050</v>
      </c>
      <c r="H1048" s="9">
        <f>COUNTIF($G$5:$G$1531,"&gt;"&amp;G1048)+1</f>
        <v/>
      </c>
      <c r="I1048" s="9" t="inlineStr"/>
      <c r="J1048" s="11">
        <f>IF(E1048="Private",F1048,"")</f>
        <v/>
      </c>
      <c r="K1048" s="11">
        <f>IF(E1048="Private",G1048,"")</f>
        <v/>
      </c>
    </row>
    <row r="1049">
      <c r="A1049" s="9" t="n">
        <v>218414</v>
      </c>
      <c r="B1049" s="9" t="inlineStr">
        <is>
          <t>Newberry College</t>
        </is>
      </c>
      <c r="C1049" s="9" t="inlineStr">
        <is>
          <t>Newberry</t>
        </is>
      </c>
      <c r="D1049" s="9" t="inlineStr">
        <is>
          <t>SC</t>
        </is>
      </c>
      <c r="E1049" s="9" t="inlineStr">
        <is>
          <t>Private</t>
        </is>
      </c>
      <c r="F1049" s="11" t="n">
        <v>21656</v>
      </c>
      <c r="G1049" s="11" t="n">
        <v>48040</v>
      </c>
      <c r="H1049" s="9">
        <f>COUNTIF($G$5:$G$1531,"&gt;"&amp;G1049)+1</f>
        <v/>
      </c>
      <c r="I1049" s="9" t="inlineStr"/>
      <c r="J1049" s="11">
        <f>IF(E1049="Private",F1049,"")</f>
        <v/>
      </c>
      <c r="K1049" s="11">
        <f>IF(E1049="Private",G1049,"")</f>
        <v/>
      </c>
    </row>
    <row r="1050">
      <c r="A1050" s="9" t="n">
        <v>198561</v>
      </c>
      <c r="B1050" s="9" t="inlineStr">
        <is>
          <t>Gardner-Webb University</t>
        </is>
      </c>
      <c r="C1050" s="9" t="inlineStr">
        <is>
          <t>Boiling Springs</t>
        </is>
      </c>
      <c r="D1050" s="9" t="inlineStr">
        <is>
          <t>NC</t>
        </is>
      </c>
      <c r="E1050" s="9" t="inlineStr">
        <is>
          <t>Private</t>
        </is>
      </c>
      <c r="F1050" s="11" t="n">
        <v>17674</v>
      </c>
      <c r="G1050" s="11" t="n">
        <v>48039</v>
      </c>
      <c r="H1050" s="9">
        <f>COUNTIF($G$5:$G$1531,"&gt;"&amp;G1050)+1</f>
        <v/>
      </c>
      <c r="I1050" s="9" t="inlineStr"/>
      <c r="J1050" s="11">
        <f>IF(E1050="Private",F1050,"")</f>
        <v/>
      </c>
      <c r="K1050" s="11">
        <f>IF(E1050="Private",G1050,"")</f>
        <v/>
      </c>
    </row>
    <row r="1051">
      <c r="A1051" s="9" t="n">
        <v>167899</v>
      </c>
      <c r="B1051" s="9" t="inlineStr">
        <is>
          <t>Springfield College</t>
        </is>
      </c>
      <c r="C1051" s="9" t="inlineStr">
        <is>
          <t>Springfield</t>
        </is>
      </c>
      <c r="D1051" s="9" t="inlineStr">
        <is>
          <t>MA</t>
        </is>
      </c>
      <c r="E1051" s="9" t="inlineStr">
        <is>
          <t>Private</t>
        </is>
      </c>
      <c r="F1051" s="11" t="n">
        <v>30587</v>
      </c>
      <c r="G1051" s="11" t="n">
        <v>48036</v>
      </c>
      <c r="H1051" s="9">
        <f>COUNTIF($G$5:$G$1531,"&gt;"&amp;G1051)+1</f>
        <v/>
      </c>
      <c r="I1051" s="9" t="inlineStr"/>
      <c r="J1051" s="11">
        <f>IF(E1051="Private",F1051,"")</f>
        <v/>
      </c>
      <c r="K1051" s="11">
        <f>IF(E1051="Private",G1051,"")</f>
        <v/>
      </c>
    </row>
    <row r="1052">
      <c r="A1052" s="9" t="n">
        <v>197984</v>
      </c>
      <c r="B1052" s="9" t="inlineStr">
        <is>
          <t>Belmont Abbey College</t>
        </is>
      </c>
      <c r="C1052" s="9" t="inlineStr">
        <is>
          <t>Belmont</t>
        </is>
      </c>
      <c r="D1052" s="9" t="inlineStr">
        <is>
          <t>NC</t>
        </is>
      </c>
      <c r="E1052" s="9" t="inlineStr">
        <is>
          <t>Private</t>
        </is>
      </c>
      <c r="F1052" s="11" t="n">
        <v>24639</v>
      </c>
      <c r="G1052" s="11" t="n">
        <v>47937</v>
      </c>
      <c r="H1052" s="9">
        <f>COUNTIF($G$5:$G$1531,"&gt;"&amp;G1052)+1</f>
        <v/>
      </c>
      <c r="I1052" s="9" t="inlineStr"/>
      <c r="J1052" s="11">
        <f>IF(E1052="Private",F1052,"")</f>
        <v/>
      </c>
      <c r="K1052" s="11">
        <f>IF(E1052="Private",G1052,"")</f>
        <v/>
      </c>
    </row>
    <row r="1053">
      <c r="A1053" s="9" t="n">
        <v>197911</v>
      </c>
      <c r="B1053" s="9" t="inlineStr">
        <is>
          <t>Barton College</t>
        </is>
      </c>
      <c r="C1053" s="9" t="inlineStr">
        <is>
          <t>Wilson</t>
        </is>
      </c>
      <c r="D1053" s="9" t="inlineStr">
        <is>
          <t>NC</t>
        </is>
      </c>
      <c r="E1053" s="9" t="inlineStr">
        <is>
          <t>Private</t>
        </is>
      </c>
      <c r="F1053" s="11" t="n">
        <v>23626</v>
      </c>
      <c r="G1053" s="11" t="n">
        <v>47913</v>
      </c>
      <c r="H1053" s="9">
        <f>COUNTIF($G$5:$G$1531,"&gt;"&amp;G1053)+1</f>
        <v/>
      </c>
      <c r="I1053" s="9" t="inlineStr"/>
      <c r="J1053" s="11">
        <f>IF(E1053="Private",F1053,"")</f>
        <v/>
      </c>
      <c r="K1053" s="11">
        <f>IF(E1053="Private",G1053,"")</f>
        <v/>
      </c>
    </row>
    <row r="1054">
      <c r="A1054" s="9" t="n">
        <v>171599</v>
      </c>
      <c r="B1054" s="9" t="inlineStr">
        <is>
          <t>The University of Olivet</t>
        </is>
      </c>
      <c r="C1054" s="9" t="inlineStr">
        <is>
          <t>Olivet</t>
        </is>
      </c>
      <c r="D1054" s="9" t="inlineStr">
        <is>
          <t>MI</t>
        </is>
      </c>
      <c r="E1054" s="9" t="inlineStr">
        <is>
          <t>Private</t>
        </is>
      </c>
      <c r="F1054" s="11" t="n">
        <v>21393</v>
      </c>
      <c r="G1054" s="11" t="n">
        <v>47907</v>
      </c>
      <c r="H1054" s="9">
        <f>COUNTIF($G$5:$G$1531,"&gt;"&amp;G1054)+1</f>
        <v/>
      </c>
      <c r="I1054" s="9" t="inlineStr"/>
      <c r="J1054" s="11">
        <f>IF(E1054="Private",F1054,"")</f>
        <v/>
      </c>
      <c r="K1054" s="11">
        <f>IF(E1054="Private",G1054,"")</f>
        <v/>
      </c>
    </row>
    <row r="1055">
      <c r="A1055" s="9" t="n">
        <v>201441</v>
      </c>
      <c r="B1055" s="9" t="inlineStr">
        <is>
          <t>Bowling Green State University-Main Campus</t>
        </is>
      </c>
      <c r="C1055" s="9" t="inlineStr">
        <is>
          <t>Bowling Green</t>
        </is>
      </c>
      <c r="D1055" s="9" t="inlineStr">
        <is>
          <t>OH</t>
        </is>
      </c>
      <c r="E1055" s="9" t="inlineStr">
        <is>
          <t>Public</t>
        </is>
      </c>
      <c r="F1055" s="11" t="n">
        <v>24022</v>
      </c>
      <c r="G1055" s="11" t="n">
        <v>47896</v>
      </c>
      <c r="H1055" s="9">
        <f>COUNTIF($G$5:$G$1531,"&gt;"&amp;G1055)+1</f>
        <v/>
      </c>
      <c r="I1055" s="9" t="inlineStr"/>
      <c r="J1055" s="11">
        <f>IF(E1055="Private",F1055,"")</f>
        <v/>
      </c>
      <c r="K1055" s="11">
        <f>IF(E1055="Private",G1055,"")</f>
        <v/>
      </c>
    </row>
    <row r="1056">
      <c r="A1056" s="9" t="n">
        <v>178624</v>
      </c>
      <c r="B1056" s="9" t="inlineStr">
        <is>
          <t>Northwest Missouri State University</t>
        </is>
      </c>
      <c r="C1056" s="9" t="inlineStr">
        <is>
          <t>Maryville</t>
        </is>
      </c>
      <c r="D1056" s="9" t="inlineStr">
        <is>
          <t>MO</t>
        </is>
      </c>
      <c r="E1056" s="9" t="inlineStr">
        <is>
          <t>Public</t>
        </is>
      </c>
      <c r="F1056" s="11" t="n">
        <v>16244</v>
      </c>
      <c r="G1056" s="11" t="n">
        <v>47885</v>
      </c>
      <c r="H1056" s="9">
        <f>COUNTIF($G$5:$G$1531,"&gt;"&amp;G1056)+1</f>
        <v/>
      </c>
      <c r="I1056" s="9" t="inlineStr"/>
      <c r="J1056" s="11">
        <f>IF(E1056="Private",F1056,"")</f>
        <v/>
      </c>
      <c r="K1056" s="11">
        <f>IF(E1056="Private",G1056,"")</f>
        <v/>
      </c>
    </row>
    <row r="1057">
      <c r="A1057" s="9" t="n">
        <v>159939</v>
      </c>
      <c r="B1057" s="9" t="inlineStr">
        <is>
          <t>University of New Orleans</t>
        </is>
      </c>
      <c r="C1057" s="9" t="inlineStr">
        <is>
          <t>New Orleans</t>
        </is>
      </c>
      <c r="D1057" s="9" t="inlineStr">
        <is>
          <t>LA</t>
        </is>
      </c>
      <c r="E1057" s="9" t="inlineStr">
        <is>
          <t>Public</t>
        </is>
      </c>
      <c r="F1057" s="11" t="n">
        <v>12384</v>
      </c>
      <c r="G1057" s="11" t="n">
        <v>47872</v>
      </c>
      <c r="H1057" s="9">
        <f>COUNTIF($G$5:$G$1531,"&gt;"&amp;G1057)+1</f>
        <v/>
      </c>
      <c r="I1057" s="9" t="inlineStr"/>
      <c r="J1057" s="11">
        <f>IF(E1057="Private",F1057,"")</f>
        <v/>
      </c>
      <c r="K1057" s="11">
        <f>IF(E1057="Private",G1057,"")</f>
        <v/>
      </c>
    </row>
    <row r="1058">
      <c r="A1058" s="9" t="n">
        <v>196200</v>
      </c>
      <c r="B1058" s="9" t="inlineStr">
        <is>
          <t>SUNY College at Potsdam</t>
        </is>
      </c>
      <c r="C1058" s="9" t="inlineStr">
        <is>
          <t>Potsdam</t>
        </is>
      </c>
      <c r="D1058" s="9" t="inlineStr">
        <is>
          <t>NY</t>
        </is>
      </c>
      <c r="E1058" s="9" t="inlineStr">
        <is>
          <t>Public</t>
        </is>
      </c>
      <c r="F1058" s="11" t="n">
        <v>13624</v>
      </c>
      <c r="G1058" s="11" t="n">
        <v>47866</v>
      </c>
      <c r="H1058" s="9">
        <f>COUNTIF($G$5:$G$1531,"&gt;"&amp;G1058)+1</f>
        <v/>
      </c>
      <c r="I1058" s="9" t="inlineStr"/>
      <c r="J1058" s="11">
        <f>IF(E1058="Private",F1058,"")</f>
        <v/>
      </c>
      <c r="K1058" s="11">
        <f>IF(E1058="Private",G1058,"")</f>
        <v/>
      </c>
    </row>
    <row r="1059">
      <c r="A1059" s="9" t="n">
        <v>196015</v>
      </c>
      <c r="B1059" s="9" t="inlineStr">
        <is>
          <t>SUNY College of Technology at Canton</t>
        </is>
      </c>
      <c r="C1059" s="9" t="inlineStr">
        <is>
          <t>Canton</t>
        </is>
      </c>
      <c r="D1059" s="9" t="inlineStr">
        <is>
          <t>NY</t>
        </is>
      </c>
      <c r="E1059" s="9" t="inlineStr">
        <is>
          <t>Public</t>
        </is>
      </c>
      <c r="F1059" s="11" t="n">
        <v>15268</v>
      </c>
      <c r="G1059" s="11" t="n">
        <v>47860</v>
      </c>
      <c r="H1059" s="9">
        <f>COUNTIF($G$5:$G$1531,"&gt;"&amp;G1059)+1</f>
        <v/>
      </c>
      <c r="I1059" s="9" t="inlineStr"/>
      <c r="J1059" s="11">
        <f>IF(E1059="Private",F1059,"")</f>
        <v/>
      </c>
      <c r="K1059" s="11">
        <f>IF(E1059="Private",G1059,"")</f>
        <v/>
      </c>
    </row>
    <row r="1060">
      <c r="A1060" s="9" t="n">
        <v>141565</v>
      </c>
      <c r="B1060" s="9" t="inlineStr">
        <is>
          <t>University of Hawaii at Hilo</t>
        </is>
      </c>
      <c r="C1060" s="9" t="inlineStr">
        <is>
          <t>Hilo</t>
        </is>
      </c>
      <c r="D1060" s="9" t="inlineStr">
        <is>
          <t>HI</t>
        </is>
      </c>
      <c r="E1060" s="9" t="inlineStr">
        <is>
          <t>Public</t>
        </is>
      </c>
      <c r="F1060" s="11" t="n">
        <v>11856</v>
      </c>
      <c r="G1060" s="11" t="n">
        <v>47856</v>
      </c>
      <c r="H1060" s="9">
        <f>COUNTIF($G$5:$G$1531,"&gt;"&amp;G1060)+1</f>
        <v/>
      </c>
      <c r="I1060" s="9" t="inlineStr"/>
      <c r="J1060" s="11">
        <f>IF(E1060="Private",F1060,"")</f>
        <v/>
      </c>
      <c r="K1060" s="11">
        <f>IF(E1060="Private",G1060,"")</f>
        <v/>
      </c>
    </row>
    <row r="1061">
      <c r="A1061" s="9" t="n">
        <v>200226</v>
      </c>
      <c r="B1061" s="9" t="inlineStr">
        <is>
          <t>Mayville State University</t>
        </is>
      </c>
      <c r="C1061" s="9" t="inlineStr">
        <is>
          <t>Mayville</t>
        </is>
      </c>
      <c r="D1061" s="9" t="inlineStr">
        <is>
          <t>ND</t>
        </is>
      </c>
      <c r="E1061" s="9" t="inlineStr">
        <is>
          <t>Public</t>
        </is>
      </c>
      <c r="F1061" s="11" t="n">
        <v>11456</v>
      </c>
      <c r="G1061" s="11" t="n">
        <v>47828</v>
      </c>
      <c r="H1061" s="9">
        <f>COUNTIF($G$5:$G$1531,"&gt;"&amp;G1061)+1</f>
        <v/>
      </c>
      <c r="I1061" s="9" t="inlineStr"/>
      <c r="J1061" s="11">
        <f>IF(E1061="Private",F1061,"")</f>
        <v/>
      </c>
      <c r="K1061" s="11">
        <f>IF(E1061="Private",G1061,"")</f>
        <v/>
      </c>
    </row>
    <row r="1062">
      <c r="A1062" s="9" t="n">
        <v>217776</v>
      </c>
      <c r="B1062" s="9" t="inlineStr">
        <is>
          <t>Southern Wesleyan University</t>
        </is>
      </c>
      <c r="C1062" s="9" t="inlineStr">
        <is>
          <t>Central</t>
        </is>
      </c>
      <c r="D1062" s="9" t="inlineStr">
        <is>
          <t>SC</t>
        </is>
      </c>
      <c r="E1062" s="9" t="inlineStr">
        <is>
          <t>Private</t>
        </is>
      </c>
      <c r="F1062" s="11" t="n">
        <v>15464</v>
      </c>
      <c r="G1062" s="11" t="n">
        <v>47756</v>
      </c>
      <c r="H1062" s="9">
        <f>COUNTIF($G$5:$G$1531,"&gt;"&amp;G1062)+1</f>
        <v/>
      </c>
      <c r="I1062" s="9" t="inlineStr"/>
      <c r="J1062" s="11">
        <f>IF(E1062="Private",F1062,"")</f>
        <v/>
      </c>
      <c r="K1062" s="11">
        <f>IF(E1062="Private",G1062,"")</f>
        <v/>
      </c>
    </row>
    <row r="1063">
      <c r="A1063" s="9" t="n">
        <v>447689</v>
      </c>
      <c r="B1063" s="9" t="inlineStr">
        <is>
          <t>Georgia Gwinnett College</t>
        </is>
      </c>
      <c r="C1063" s="9" t="inlineStr">
        <is>
          <t>Lawrenceville</t>
        </is>
      </c>
      <c r="D1063" s="9" t="inlineStr">
        <is>
          <t>GA</t>
        </is>
      </c>
      <c r="E1063" s="9" t="inlineStr">
        <is>
          <t>Public</t>
        </is>
      </c>
      <c r="F1063" s="11" t="n">
        <v>15844</v>
      </c>
      <c r="G1063" s="11" t="n">
        <v>47730</v>
      </c>
      <c r="H1063" s="9">
        <f>COUNTIF($G$5:$G$1531,"&gt;"&amp;G1063)+1</f>
        <v/>
      </c>
      <c r="I1063" s="9" t="inlineStr"/>
      <c r="J1063" s="11">
        <f>IF(E1063="Private",F1063,"")</f>
        <v/>
      </c>
      <c r="K1063" s="11">
        <f>IF(E1063="Private",G1063,"")</f>
        <v/>
      </c>
    </row>
    <row r="1064">
      <c r="A1064" s="9" t="n">
        <v>236072</v>
      </c>
      <c r="B1064" s="9" t="inlineStr">
        <is>
          <t>North Seattle College</t>
        </is>
      </c>
      <c r="C1064" s="9" t="inlineStr">
        <is>
          <t>Seattle</t>
        </is>
      </c>
      <c r="D1064" s="9" t="inlineStr">
        <is>
          <t>WA</t>
        </is>
      </c>
      <c r="E1064" s="9" t="inlineStr">
        <is>
          <t>Public</t>
        </is>
      </c>
      <c r="F1064" s="11" t="n">
        <v>10740</v>
      </c>
      <c r="G1064" s="11" t="n">
        <v>47728</v>
      </c>
      <c r="H1064" s="9">
        <f>COUNTIF($G$5:$G$1531,"&gt;"&amp;G1064)+1</f>
        <v/>
      </c>
      <c r="I1064" s="9" t="inlineStr"/>
      <c r="J1064" s="11">
        <f>IF(E1064="Private",F1064,"")</f>
        <v/>
      </c>
      <c r="K1064" s="11">
        <f>IF(E1064="Private",G1064,"")</f>
        <v/>
      </c>
    </row>
    <row r="1065">
      <c r="A1065" s="9" t="n">
        <v>163338</v>
      </c>
      <c r="B1065" s="9" t="inlineStr">
        <is>
          <t>University of Maryland Eastern Shore</t>
        </is>
      </c>
      <c r="C1065" s="9" t="inlineStr">
        <is>
          <t>Princess Anne</t>
        </is>
      </c>
      <c r="D1065" s="9" t="inlineStr">
        <is>
          <t>MD</t>
        </is>
      </c>
      <c r="E1065" s="9" t="inlineStr">
        <is>
          <t>Public</t>
        </is>
      </c>
      <c r="F1065" s="11" t="n">
        <v>13338</v>
      </c>
      <c r="G1065" s="11" t="n">
        <v>47697</v>
      </c>
      <c r="H1065" s="9">
        <f>COUNTIF($G$5:$G$1531,"&gt;"&amp;G1065)+1</f>
        <v/>
      </c>
      <c r="I1065" s="9" t="inlineStr"/>
      <c r="J1065" s="11">
        <f>IF(E1065="Private",F1065,"")</f>
        <v/>
      </c>
      <c r="K1065" s="11">
        <f>IF(E1065="Private",G1065,"")</f>
        <v/>
      </c>
    </row>
    <row r="1066">
      <c r="A1066" s="9" t="n">
        <v>115755</v>
      </c>
      <c r="B1066" s="9" t="inlineStr">
        <is>
          <t>California State Polytechnic University-Humboldt</t>
        </is>
      </c>
      <c r="C1066" s="9" t="inlineStr">
        <is>
          <t>Arcata</t>
        </is>
      </c>
      <c r="D1066" s="9" t="inlineStr">
        <is>
          <t>CA</t>
        </is>
      </c>
      <c r="E1066" s="9" t="inlineStr">
        <is>
          <t>Public</t>
        </is>
      </c>
      <c r="F1066" s="11" t="n">
        <v>13171</v>
      </c>
      <c r="G1066" s="11" t="n">
        <v>47626</v>
      </c>
      <c r="H1066" s="9">
        <f>COUNTIF($G$5:$G$1531,"&gt;"&amp;G1066)+1</f>
        <v/>
      </c>
      <c r="I1066" s="9" t="inlineStr"/>
      <c r="J1066" s="11">
        <f>IF(E1066="Private",F1066,"")</f>
        <v/>
      </c>
      <c r="K1066" s="11">
        <f>IF(E1066="Private",G1066,"")</f>
        <v/>
      </c>
    </row>
    <row r="1067">
      <c r="A1067" s="9" t="n">
        <v>219259</v>
      </c>
      <c r="B1067" s="9" t="inlineStr">
        <is>
          <t>Northern State University</t>
        </is>
      </c>
      <c r="C1067" s="9" t="inlineStr">
        <is>
          <t>Aberdeen</t>
        </is>
      </c>
      <c r="D1067" s="9" t="inlineStr">
        <is>
          <t>SD</t>
        </is>
      </c>
      <c r="E1067" s="9" t="inlineStr">
        <is>
          <t>Public</t>
        </is>
      </c>
      <c r="F1067" s="11" t="n">
        <v>15812</v>
      </c>
      <c r="G1067" s="11" t="n">
        <v>47618</v>
      </c>
      <c r="H1067" s="9">
        <f>COUNTIF($G$5:$G$1531,"&gt;"&amp;G1067)+1</f>
        <v/>
      </c>
      <c r="I1067" s="9" t="inlineStr"/>
      <c r="J1067" s="11">
        <f>IF(E1067="Private",F1067,"")</f>
        <v/>
      </c>
      <c r="K1067" s="11">
        <f>IF(E1067="Private",G1067,"")</f>
        <v/>
      </c>
    </row>
    <row r="1068">
      <c r="A1068" s="9" t="n">
        <v>151306</v>
      </c>
      <c r="B1068" s="9" t="inlineStr">
        <is>
          <t>University of Southern Indiana</t>
        </is>
      </c>
      <c r="C1068" s="9" t="inlineStr">
        <is>
          <t>Evansville</t>
        </is>
      </c>
      <c r="D1068" s="9" t="inlineStr">
        <is>
          <t>IN</t>
        </is>
      </c>
      <c r="E1068" s="9" t="inlineStr">
        <is>
          <t>Public</t>
        </is>
      </c>
      <c r="F1068" s="11" t="n">
        <v>12923</v>
      </c>
      <c r="G1068" s="11" t="n">
        <v>47605</v>
      </c>
      <c r="H1068" s="9">
        <f>COUNTIF($G$5:$G$1531,"&gt;"&amp;G1068)+1</f>
        <v/>
      </c>
      <c r="I1068" s="9" t="inlineStr"/>
      <c r="J1068" s="11">
        <f>IF(E1068="Private",F1068,"")</f>
        <v/>
      </c>
      <c r="K1068" s="11">
        <f>IF(E1068="Private",G1068,"")</f>
        <v/>
      </c>
    </row>
    <row r="1069">
      <c r="A1069" s="9" t="n">
        <v>155025</v>
      </c>
      <c r="B1069" s="9" t="inlineStr">
        <is>
          <t>Emporia State University</t>
        </is>
      </c>
      <c r="C1069" s="9" t="inlineStr">
        <is>
          <t>Emporia</t>
        </is>
      </c>
      <c r="D1069" s="9" t="inlineStr">
        <is>
          <t>KS</t>
        </is>
      </c>
      <c r="E1069" s="9" t="inlineStr">
        <is>
          <t>Public</t>
        </is>
      </c>
      <c r="F1069" s="11" t="n">
        <v>16261</v>
      </c>
      <c r="G1069" s="11" t="n">
        <v>47601</v>
      </c>
      <c r="H1069" s="9">
        <f>COUNTIF($G$5:$G$1531,"&gt;"&amp;G1069)+1</f>
        <v/>
      </c>
      <c r="I1069" s="9" t="inlineStr"/>
      <c r="J1069" s="11">
        <f>IF(E1069="Private",F1069,"")</f>
        <v/>
      </c>
      <c r="K1069" s="11">
        <f>IF(E1069="Private",G1069,"")</f>
        <v/>
      </c>
    </row>
    <row r="1070">
      <c r="A1070" s="9" t="n">
        <v>385619</v>
      </c>
      <c r="B1070" s="9" t="inlineStr">
        <is>
          <t>Everglades University</t>
        </is>
      </c>
      <c r="C1070" s="9" t="inlineStr">
        <is>
          <t>Boca Raton</t>
        </is>
      </c>
      <c r="D1070" s="9" t="inlineStr">
        <is>
          <t>FL</t>
        </is>
      </c>
      <c r="E1070" s="9" t="inlineStr">
        <is>
          <t>Private</t>
        </is>
      </c>
      <c r="F1070" s="11" t="n">
        <v>27371</v>
      </c>
      <c r="G1070" s="11" t="n">
        <v>47597</v>
      </c>
      <c r="H1070" s="9">
        <f>COUNTIF($G$5:$G$1531,"&gt;"&amp;G1070)+1</f>
        <v/>
      </c>
      <c r="I1070" s="9" t="inlineStr"/>
      <c r="J1070" s="11">
        <f>IF(E1070="Private",F1070,"")</f>
        <v/>
      </c>
      <c r="K1070" s="11">
        <f>IF(E1070="Private",G1070,"")</f>
        <v/>
      </c>
    </row>
    <row r="1071">
      <c r="A1071" s="9" t="n">
        <v>151379</v>
      </c>
      <c r="B1071" s="9" t="inlineStr">
        <is>
          <t>Indiana University-Southeast</t>
        </is>
      </c>
      <c r="C1071" s="9" t="inlineStr">
        <is>
          <t>New Albany</t>
        </is>
      </c>
      <c r="D1071" s="9" t="inlineStr">
        <is>
          <t>IN</t>
        </is>
      </c>
      <c r="E1071" s="9" t="inlineStr">
        <is>
          <t>Public</t>
        </is>
      </c>
      <c r="F1071" s="11" t="n">
        <v>7888</v>
      </c>
      <c r="G1071" s="11" t="n">
        <v>47596</v>
      </c>
      <c r="H1071" s="9">
        <f>COUNTIF($G$5:$G$1531,"&gt;"&amp;G1071)+1</f>
        <v/>
      </c>
      <c r="I1071" s="9" t="inlineStr"/>
      <c r="J1071" s="11">
        <f>IF(E1071="Private",F1071,"")</f>
        <v/>
      </c>
      <c r="K1071" s="11">
        <f>IF(E1071="Private",G1071,"")</f>
        <v/>
      </c>
    </row>
    <row r="1072">
      <c r="A1072" s="9" t="n">
        <v>198613</v>
      </c>
      <c r="B1072" s="9" t="inlineStr">
        <is>
          <t>Guilford College</t>
        </is>
      </c>
      <c r="C1072" s="9" t="inlineStr">
        <is>
          <t>Greensboro</t>
        </is>
      </c>
      <c r="D1072" s="9" t="inlineStr">
        <is>
          <t>NC</t>
        </is>
      </c>
      <c r="E1072" s="9" t="inlineStr">
        <is>
          <t>Private</t>
        </is>
      </c>
      <c r="F1072" s="11" t="n">
        <v>22270</v>
      </c>
      <c r="G1072" s="11" t="n">
        <v>47590</v>
      </c>
      <c r="H1072" s="9">
        <f>COUNTIF($G$5:$G$1531,"&gt;"&amp;G1072)+1</f>
        <v/>
      </c>
      <c r="I1072" s="9" t="inlineStr"/>
      <c r="J1072" s="11">
        <f>IF(E1072="Private",F1072,"")</f>
        <v/>
      </c>
      <c r="K1072" s="11">
        <f>IF(E1072="Private",G1072,"")</f>
        <v/>
      </c>
    </row>
    <row r="1073">
      <c r="A1073" s="9" t="n">
        <v>456490</v>
      </c>
      <c r="B1073" s="9" t="inlineStr">
        <is>
          <t>Polytechnic University of Puerto Rico-Orlando</t>
        </is>
      </c>
      <c r="C1073" s="9" t="inlineStr">
        <is>
          <t>Orlando</t>
        </is>
      </c>
      <c r="D1073" s="9" t="inlineStr">
        <is>
          <t>FL</t>
        </is>
      </c>
      <c r="E1073" s="9" t="inlineStr">
        <is>
          <t>Private</t>
        </is>
      </c>
      <c r="F1073" s="11" t="n">
        <v>16577</v>
      </c>
      <c r="G1073" s="11" t="n">
        <v>47540</v>
      </c>
      <c r="H1073" s="9">
        <f>COUNTIF($G$5:$G$1531,"&gt;"&amp;G1073)+1</f>
        <v/>
      </c>
      <c r="I1073" s="9" t="inlineStr"/>
      <c r="J1073" s="11">
        <f>IF(E1073="Private",F1073,"")</f>
        <v/>
      </c>
      <c r="K1073" s="11">
        <f>IF(E1073="Private",G1073,"")</f>
        <v/>
      </c>
    </row>
    <row r="1074">
      <c r="A1074" s="9" t="n">
        <v>243577</v>
      </c>
      <c r="B1074" s="9" t="inlineStr">
        <is>
          <t>Universidad Politecnica de Puerto Rico</t>
        </is>
      </c>
      <c r="C1074" s="9" t="inlineStr">
        <is>
          <t>Hato Rey</t>
        </is>
      </c>
      <c r="D1074" s="9" t="inlineStr">
        <is>
          <t>PR</t>
        </is>
      </c>
      <c r="E1074" s="9" t="inlineStr">
        <is>
          <t>Private</t>
        </is>
      </c>
      <c r="F1074" s="11" t="n">
        <v>17540</v>
      </c>
      <c r="G1074" s="11" t="n">
        <v>47540</v>
      </c>
      <c r="H1074" s="9">
        <f>COUNTIF($G$5:$G$1531,"&gt;"&amp;G1074)+1</f>
        <v/>
      </c>
      <c r="I1074" s="9" t="inlineStr"/>
      <c r="J1074" s="11">
        <f>IF(E1074="Private",F1074,"")</f>
        <v/>
      </c>
      <c r="K1074" s="11">
        <f>IF(E1074="Private",G1074,"")</f>
        <v/>
      </c>
    </row>
    <row r="1075">
      <c r="A1075" s="9" t="n">
        <v>155177</v>
      </c>
      <c r="B1075" s="9" t="inlineStr">
        <is>
          <t>Hesston College</t>
        </is>
      </c>
      <c r="C1075" s="9" t="inlineStr">
        <is>
          <t>Hesston</t>
        </is>
      </c>
      <c r="D1075" s="9" t="inlineStr">
        <is>
          <t>KS</t>
        </is>
      </c>
      <c r="E1075" s="9" t="inlineStr">
        <is>
          <t>Private</t>
        </is>
      </c>
      <c r="F1075" s="11" t="n">
        <v>26299</v>
      </c>
      <c r="G1075" s="11" t="n">
        <v>47495</v>
      </c>
      <c r="H1075" s="9">
        <f>COUNTIF($G$5:$G$1531,"&gt;"&amp;G1075)+1</f>
        <v/>
      </c>
      <c r="I1075" s="9" t="inlineStr"/>
      <c r="J1075" s="11">
        <f>IF(E1075="Private",F1075,"")</f>
        <v/>
      </c>
      <c r="K1075" s="11">
        <f>IF(E1075="Private",G1075,"")</f>
        <v/>
      </c>
    </row>
    <row r="1076">
      <c r="A1076" s="9" t="n">
        <v>220215</v>
      </c>
      <c r="B1076" s="9" t="inlineStr">
        <is>
          <t>Freed-Hardeman University</t>
        </is>
      </c>
      <c r="C1076" s="9" t="inlineStr">
        <is>
          <t>Henderson</t>
        </is>
      </c>
      <c r="D1076" s="9" t="inlineStr">
        <is>
          <t>TN</t>
        </is>
      </c>
      <c r="E1076" s="9" t="inlineStr">
        <is>
          <t>Private</t>
        </is>
      </c>
      <c r="F1076" s="11" t="n">
        <v>21574</v>
      </c>
      <c r="G1076" s="11" t="n">
        <v>47485</v>
      </c>
      <c r="H1076" s="9">
        <f>COUNTIF($G$5:$G$1531,"&gt;"&amp;G1076)+1</f>
        <v/>
      </c>
      <c r="I1076" s="9" t="inlineStr"/>
      <c r="J1076" s="11">
        <f>IF(E1076="Private",F1076,"")</f>
        <v/>
      </c>
      <c r="K1076" s="11">
        <f>IF(E1076="Private",G1076,"")</f>
        <v/>
      </c>
    </row>
    <row r="1077">
      <c r="A1077" s="9" t="n">
        <v>176053</v>
      </c>
      <c r="B1077" s="9" t="inlineStr">
        <is>
          <t>Mississippi Christian University</t>
        </is>
      </c>
      <c r="C1077" s="9" t="inlineStr">
        <is>
          <t>Clinton</t>
        </is>
      </c>
      <c r="D1077" s="9" t="inlineStr">
        <is>
          <t>MS</t>
        </is>
      </c>
      <c r="E1077" s="9" t="inlineStr">
        <is>
          <t>Private</t>
        </is>
      </c>
      <c r="F1077" s="11" t="n">
        <v>27712</v>
      </c>
      <c r="G1077" s="11" t="n">
        <v>47485</v>
      </c>
      <c r="H1077" s="9">
        <f>COUNTIF($G$5:$G$1531,"&gt;"&amp;G1077)+1</f>
        <v/>
      </c>
      <c r="I1077" s="9" t="inlineStr"/>
      <c r="J1077" s="11">
        <f>IF(E1077="Private",F1077,"")</f>
        <v/>
      </c>
      <c r="K1077" s="11">
        <f>IF(E1077="Private",G1077,"")</f>
        <v/>
      </c>
    </row>
    <row r="1078">
      <c r="A1078" s="9" t="n">
        <v>219718</v>
      </c>
      <c r="B1078" s="9" t="inlineStr">
        <is>
          <t>Bethel University (McKenzie, TN)</t>
        </is>
      </c>
      <c r="C1078" s="9" t="inlineStr">
        <is>
          <t>McKenzie</t>
        </is>
      </c>
      <c r="D1078" s="9" t="inlineStr">
        <is>
          <t>TN</t>
        </is>
      </c>
      <c r="E1078" s="9" t="inlineStr">
        <is>
          <t>Private</t>
        </is>
      </c>
      <c r="F1078" s="11" t="n">
        <v>12595</v>
      </c>
      <c r="G1078" s="11" t="n">
        <v>47482</v>
      </c>
      <c r="H1078" s="9">
        <f>COUNTIF($G$5:$G$1531,"&gt;"&amp;G1078)+1</f>
        <v/>
      </c>
      <c r="I1078" s="9" t="inlineStr"/>
      <c r="J1078" s="11">
        <f>IF(E1078="Private",F1078,"")</f>
        <v/>
      </c>
      <c r="K1078" s="11">
        <f>IF(E1078="Private",G1078,"")</f>
        <v/>
      </c>
    </row>
    <row r="1079">
      <c r="A1079" s="9" t="n">
        <v>159416</v>
      </c>
      <c r="B1079" s="9" t="inlineStr">
        <is>
          <t>Louisiana State University-Shreveport</t>
        </is>
      </c>
      <c r="C1079" s="9" t="inlineStr">
        <is>
          <t>Shreveport</t>
        </is>
      </c>
      <c r="D1079" s="9" t="inlineStr">
        <is>
          <t>LA</t>
        </is>
      </c>
      <c r="E1079" s="9" t="inlineStr">
        <is>
          <t>Public</t>
        </is>
      </c>
      <c r="F1079" s="11" t="n">
        <v>7022</v>
      </c>
      <c r="G1079" s="11" t="n">
        <v>47477</v>
      </c>
      <c r="H1079" s="9">
        <f>COUNTIF($G$5:$G$1531,"&gt;"&amp;G1079)+1</f>
        <v/>
      </c>
      <c r="I1079" s="9" t="inlineStr"/>
      <c r="J1079" s="11">
        <f>IF(E1079="Private",F1079,"")</f>
        <v/>
      </c>
      <c r="K1079" s="11">
        <f>IF(E1079="Private",G1079,"")</f>
        <v/>
      </c>
    </row>
    <row r="1080">
      <c r="A1080" s="9" t="n">
        <v>213987</v>
      </c>
      <c r="B1080" s="9" t="inlineStr">
        <is>
          <t>Mercyhurst University</t>
        </is>
      </c>
      <c r="C1080" s="9" t="inlineStr">
        <is>
          <t>Erie</t>
        </is>
      </c>
      <c r="D1080" s="9" t="inlineStr">
        <is>
          <t>PA</t>
        </is>
      </c>
      <c r="E1080" s="9" t="inlineStr">
        <is>
          <t>Private</t>
        </is>
      </c>
      <c r="F1080" s="11" t="n">
        <v>19444</v>
      </c>
      <c r="G1080" s="11" t="n">
        <v>47452</v>
      </c>
      <c r="H1080" s="9">
        <f>COUNTIF($G$5:$G$1531,"&gt;"&amp;G1080)+1</f>
        <v/>
      </c>
      <c r="I1080" s="9" t="inlineStr"/>
      <c r="J1080" s="11">
        <f>IF(E1080="Private",F1080,"")</f>
        <v/>
      </c>
      <c r="K1080" s="11">
        <f>IF(E1080="Private",G1080,"")</f>
        <v/>
      </c>
    </row>
    <row r="1081">
      <c r="A1081" s="9" t="n">
        <v>140252</v>
      </c>
      <c r="B1081" s="9" t="inlineStr">
        <is>
          <t>Life University</t>
        </is>
      </c>
      <c r="C1081" s="9" t="inlineStr">
        <is>
          <t>Marietta</t>
        </is>
      </c>
      <c r="D1081" s="9" t="inlineStr">
        <is>
          <t>GA</t>
        </is>
      </c>
      <c r="E1081" s="9" t="inlineStr">
        <is>
          <t>Private</t>
        </is>
      </c>
      <c r="F1081" s="11" t="n">
        <v>29791</v>
      </c>
      <c r="G1081" s="11" t="n">
        <v>47397</v>
      </c>
      <c r="H1081" s="9">
        <f>COUNTIF($G$5:$G$1531,"&gt;"&amp;G1081)+1</f>
        <v/>
      </c>
      <c r="I1081" s="9" t="inlineStr"/>
      <c r="J1081" s="11">
        <f>IF(E1081="Private",F1081,"")</f>
        <v/>
      </c>
      <c r="K1081" s="11">
        <f>IF(E1081="Private",G1081,"")</f>
        <v/>
      </c>
    </row>
    <row r="1082">
      <c r="A1082" s="9" t="n">
        <v>232025</v>
      </c>
      <c r="B1082" s="9" t="inlineStr">
        <is>
          <t>Emory &amp; Henry University</t>
        </is>
      </c>
      <c r="C1082" s="9" t="inlineStr">
        <is>
          <t>Emory</t>
        </is>
      </c>
      <c r="D1082" s="9" t="inlineStr">
        <is>
          <t>VA</t>
        </is>
      </c>
      <c r="E1082" s="9" t="inlineStr">
        <is>
          <t>Private</t>
        </is>
      </c>
      <c r="F1082" s="11" t="n">
        <v>19061</v>
      </c>
      <c r="G1082" s="11" t="n">
        <v>47385</v>
      </c>
      <c r="H1082" s="9">
        <f>COUNTIF($G$5:$G$1531,"&gt;"&amp;G1082)+1</f>
        <v/>
      </c>
      <c r="I1082" s="9" t="inlineStr"/>
      <c r="J1082" s="11">
        <f>IF(E1082="Private",F1082,"")</f>
        <v/>
      </c>
      <c r="K1082" s="11">
        <f>IF(E1082="Private",G1082,"")</f>
        <v/>
      </c>
    </row>
    <row r="1083">
      <c r="A1083" s="9" t="n">
        <v>139940</v>
      </c>
      <c r="B1083" s="9" t="inlineStr">
        <is>
          <t>Georgia State University</t>
        </is>
      </c>
      <c r="C1083" s="9" t="inlineStr">
        <is>
          <t>Atlanta</t>
        </is>
      </c>
      <c r="D1083" s="9" t="inlineStr">
        <is>
          <t>GA</t>
        </is>
      </c>
      <c r="E1083" s="9" t="inlineStr">
        <is>
          <t>Public</t>
        </is>
      </c>
      <c r="F1083" s="11" t="n">
        <v>15931</v>
      </c>
      <c r="G1083" s="11" t="n">
        <v>47384</v>
      </c>
      <c r="H1083" s="9">
        <f>COUNTIF($G$5:$G$1531,"&gt;"&amp;G1083)+1</f>
        <v/>
      </c>
      <c r="I1083" s="9" t="inlineStr"/>
      <c r="J1083" s="11">
        <f>IF(E1083="Private",F1083,"")</f>
        <v/>
      </c>
      <c r="K1083" s="11">
        <f>IF(E1083="Private",G1083,"")</f>
        <v/>
      </c>
    </row>
    <row r="1084">
      <c r="A1084" s="9" t="n">
        <v>153366</v>
      </c>
      <c r="B1084" s="9" t="inlineStr">
        <is>
          <t>Graceland University-Lamoni</t>
        </is>
      </c>
      <c r="C1084" s="9" t="inlineStr">
        <is>
          <t>Lamoni</t>
        </is>
      </c>
      <c r="D1084" s="9" t="inlineStr">
        <is>
          <t>IA</t>
        </is>
      </c>
      <c r="E1084" s="9" t="inlineStr">
        <is>
          <t>Private</t>
        </is>
      </c>
      <c r="F1084" s="11" t="n">
        <v>18504</v>
      </c>
      <c r="G1084" s="11" t="n">
        <v>47361</v>
      </c>
      <c r="H1084" s="9">
        <f>COUNTIF($G$5:$G$1531,"&gt;"&amp;G1084)+1</f>
        <v/>
      </c>
      <c r="I1084" s="9" t="inlineStr"/>
      <c r="J1084" s="11">
        <f>IF(E1084="Private",F1084,"")</f>
        <v/>
      </c>
      <c r="K1084" s="11">
        <f>IF(E1084="Private",G1084,"")</f>
        <v/>
      </c>
    </row>
    <row r="1085">
      <c r="A1085" s="9" t="n">
        <v>151290</v>
      </c>
      <c r="B1085" s="9" t="inlineStr">
        <is>
          <t>Indiana Institute of Technology</t>
        </is>
      </c>
      <c r="C1085" s="9" t="inlineStr">
        <is>
          <t>Fort Wayne</t>
        </is>
      </c>
      <c r="D1085" s="9" t="inlineStr">
        <is>
          <t>IN</t>
        </is>
      </c>
      <c r="E1085" s="9" t="inlineStr">
        <is>
          <t>Private</t>
        </is>
      </c>
      <c r="F1085" s="11" t="n">
        <v>23206</v>
      </c>
      <c r="G1085" s="11" t="n">
        <v>47327</v>
      </c>
      <c r="H1085" s="9">
        <f>COUNTIF($G$5:$G$1531,"&gt;"&amp;G1085)+1</f>
        <v/>
      </c>
      <c r="I1085" s="9" t="inlineStr"/>
      <c r="J1085" s="11">
        <f>IF(E1085="Private",F1085,"")</f>
        <v/>
      </c>
      <c r="K1085" s="11">
        <f>IF(E1085="Private",G1085,"")</f>
        <v/>
      </c>
    </row>
    <row r="1086">
      <c r="A1086" s="9" t="n">
        <v>492962</v>
      </c>
      <c r="B1086" s="9" t="inlineStr">
        <is>
          <t>Indiana Institute of Technology-College of Professional Studies</t>
        </is>
      </c>
      <c r="C1086" s="9" t="inlineStr">
        <is>
          <t>Fort Wayne</t>
        </is>
      </c>
      <c r="D1086" s="9" t="inlineStr">
        <is>
          <t>IN</t>
        </is>
      </c>
      <c r="E1086" s="9" t="inlineStr">
        <is>
          <t>Private</t>
        </is>
      </c>
      <c r="F1086" s="11" t="n">
        <v>20473</v>
      </c>
      <c r="G1086" s="11" t="n">
        <v>47327</v>
      </c>
      <c r="H1086" s="9">
        <f>COUNTIF($G$5:$G$1531,"&gt;"&amp;G1086)+1</f>
        <v/>
      </c>
      <c r="I1086" s="9" t="inlineStr"/>
      <c r="J1086" s="11">
        <f>IF(E1086="Private",F1086,"")</f>
        <v/>
      </c>
      <c r="K1086" s="11">
        <f>IF(E1086="Private",G1086,"")</f>
        <v/>
      </c>
    </row>
    <row r="1087">
      <c r="A1087" s="9" t="n">
        <v>170037</v>
      </c>
      <c r="B1087" s="9" t="inlineStr">
        <is>
          <t>Cornerstone University</t>
        </is>
      </c>
      <c r="C1087" s="9" t="inlineStr">
        <is>
          <t>Grand Rapids</t>
        </is>
      </c>
      <c r="D1087" s="9" t="inlineStr">
        <is>
          <t>MI</t>
        </is>
      </c>
      <c r="E1087" s="9" t="inlineStr">
        <is>
          <t>Private</t>
        </is>
      </c>
      <c r="F1087" s="11" t="n">
        <v>20301</v>
      </c>
      <c r="G1087" s="11" t="n">
        <v>47314</v>
      </c>
      <c r="H1087" s="9">
        <f>COUNTIF($G$5:$G$1531,"&gt;"&amp;G1087)+1</f>
        <v/>
      </c>
      <c r="I1087" s="9" t="inlineStr"/>
      <c r="J1087" s="11">
        <f>IF(E1087="Private",F1087,"")</f>
        <v/>
      </c>
      <c r="K1087" s="11">
        <f>IF(E1087="Private",G1087,"")</f>
        <v/>
      </c>
    </row>
    <row r="1088">
      <c r="A1088" s="9" t="n">
        <v>218724</v>
      </c>
      <c r="B1088" s="9" t="inlineStr">
        <is>
          <t>Coastal Carolina University</t>
        </is>
      </c>
      <c r="C1088" s="9" t="inlineStr">
        <is>
          <t>Conway</t>
        </is>
      </c>
      <c r="D1088" s="9" t="inlineStr">
        <is>
          <t>SC</t>
        </is>
      </c>
      <c r="E1088" s="9" t="inlineStr">
        <is>
          <t>Public</t>
        </is>
      </c>
      <c r="F1088" s="11" t="n">
        <v>13966</v>
      </c>
      <c r="G1088" s="11" t="n">
        <v>47258</v>
      </c>
      <c r="H1088" s="9">
        <f>COUNTIF($G$5:$G$1531,"&gt;"&amp;G1088)+1</f>
        <v/>
      </c>
      <c r="I1088" s="9" t="inlineStr"/>
      <c r="J1088" s="11">
        <f>IF(E1088="Private",F1088,"")</f>
        <v/>
      </c>
      <c r="K1088" s="11">
        <f>IF(E1088="Private",G1088,"")</f>
        <v/>
      </c>
    </row>
    <row r="1089">
      <c r="A1089" s="9" t="n">
        <v>141361</v>
      </c>
      <c r="B1089" s="9" t="inlineStr">
        <is>
          <t>Young Harris College</t>
        </is>
      </c>
      <c r="C1089" s="9" t="inlineStr">
        <is>
          <t>Young Harris</t>
        </is>
      </c>
      <c r="D1089" s="9" t="inlineStr">
        <is>
          <t>GA</t>
        </is>
      </c>
      <c r="E1089" s="9" t="inlineStr">
        <is>
          <t>Private</t>
        </is>
      </c>
      <c r="F1089" s="11" t="n">
        <v>22034</v>
      </c>
      <c r="G1089" s="11" t="n">
        <v>47195</v>
      </c>
      <c r="H1089" s="9">
        <f>COUNTIF($G$5:$G$1531,"&gt;"&amp;G1089)+1</f>
        <v/>
      </c>
      <c r="I1089" s="9" t="inlineStr"/>
      <c r="J1089" s="11">
        <f>IF(E1089="Private",F1089,"")</f>
        <v/>
      </c>
      <c r="K1089" s="11">
        <f>IF(E1089="Private",G1089,"")</f>
        <v/>
      </c>
    </row>
    <row r="1090">
      <c r="A1090" s="9" t="n">
        <v>218964</v>
      </c>
      <c r="B1090" s="9" t="inlineStr">
        <is>
          <t>Winthrop University</t>
        </is>
      </c>
      <c r="C1090" s="9" t="inlineStr">
        <is>
          <t>Rock Hill</t>
        </is>
      </c>
      <c r="D1090" s="9" t="inlineStr">
        <is>
          <t>SC</t>
        </is>
      </c>
      <c r="E1090" s="9" t="inlineStr">
        <is>
          <t>Public</t>
        </is>
      </c>
      <c r="F1090" s="11" t="n">
        <v>15343</v>
      </c>
      <c r="G1090" s="11" t="n">
        <v>47185</v>
      </c>
      <c r="H1090" s="9">
        <f>COUNTIF($G$5:$G$1531,"&gt;"&amp;G1090)+1</f>
        <v/>
      </c>
      <c r="I1090" s="9" t="inlineStr"/>
      <c r="J1090" s="11">
        <f>IF(E1090="Private",F1090,"")</f>
        <v/>
      </c>
      <c r="K1090" s="11">
        <f>IF(E1090="Private",G1090,"")</f>
        <v/>
      </c>
    </row>
    <row r="1091">
      <c r="A1091" s="9" t="n">
        <v>151388</v>
      </c>
      <c r="B1091" s="9" t="inlineStr">
        <is>
          <t>Indiana University-East</t>
        </is>
      </c>
      <c r="C1091" s="9" t="inlineStr">
        <is>
          <t>Richmond</t>
        </is>
      </c>
      <c r="D1091" s="9" t="inlineStr">
        <is>
          <t>IN</t>
        </is>
      </c>
      <c r="E1091" s="9" t="inlineStr">
        <is>
          <t>Public</t>
        </is>
      </c>
      <c r="F1091" s="11" t="n">
        <v>8134</v>
      </c>
      <c r="G1091" s="11" t="n">
        <v>47156</v>
      </c>
      <c r="H1091" s="9">
        <f>COUNTIF($G$5:$G$1531,"&gt;"&amp;G1091)+1</f>
        <v/>
      </c>
      <c r="I1091" s="9" t="inlineStr"/>
      <c r="J1091" s="11">
        <f>IF(E1091="Private",F1091,"")</f>
        <v/>
      </c>
      <c r="K1091" s="11">
        <f>IF(E1091="Private",G1091,"")</f>
        <v/>
      </c>
    </row>
    <row r="1092">
      <c r="A1092" s="9" t="n">
        <v>199069</v>
      </c>
      <c r="B1092" s="9" t="inlineStr">
        <is>
          <t>University of Mount Olive</t>
        </is>
      </c>
      <c r="C1092" s="9" t="inlineStr">
        <is>
          <t>Mount Olive</t>
        </is>
      </c>
      <c r="D1092" s="9" t="inlineStr">
        <is>
          <t>NC</t>
        </is>
      </c>
      <c r="E1092" s="9" t="inlineStr">
        <is>
          <t>Private</t>
        </is>
      </c>
      <c r="F1092" s="11" t="n">
        <v>18853</v>
      </c>
      <c r="G1092" s="11" t="n">
        <v>47139</v>
      </c>
      <c r="H1092" s="9">
        <f>COUNTIF($G$5:$G$1531,"&gt;"&amp;G1092)+1</f>
        <v/>
      </c>
      <c r="I1092" s="9" t="inlineStr"/>
      <c r="J1092" s="11">
        <f>IF(E1092="Private",F1092,"")</f>
        <v/>
      </c>
      <c r="K1092" s="11">
        <f>IF(E1092="Private",G1092,"")</f>
        <v/>
      </c>
    </row>
    <row r="1093">
      <c r="A1093" s="9" t="n">
        <v>171456</v>
      </c>
      <c r="B1093" s="9" t="inlineStr">
        <is>
          <t>Northern Michigan University</t>
        </is>
      </c>
      <c r="C1093" s="9" t="inlineStr">
        <is>
          <t>Marquette</t>
        </is>
      </c>
      <c r="D1093" s="9" t="inlineStr">
        <is>
          <t>MI</t>
        </is>
      </c>
      <c r="E1093" s="9" t="inlineStr">
        <is>
          <t>Public</t>
        </is>
      </c>
      <c r="F1093" s="11" t="n">
        <v>14085</v>
      </c>
      <c r="G1093" s="11" t="n">
        <v>47107</v>
      </c>
      <c r="H1093" s="9">
        <f>COUNTIF($G$5:$G$1531,"&gt;"&amp;G1093)+1</f>
        <v/>
      </c>
      <c r="I1093" s="9" t="inlineStr"/>
      <c r="J1093" s="11">
        <f>IF(E1093="Private",F1093,"")</f>
        <v/>
      </c>
      <c r="K1093" s="11">
        <f>IF(E1093="Private",G1093,"")</f>
        <v/>
      </c>
    </row>
    <row r="1094">
      <c r="A1094" s="9" t="n">
        <v>160658</v>
      </c>
      <c r="B1094" s="9" t="inlineStr">
        <is>
          <t>University of Louisiana at Lafayette</t>
        </is>
      </c>
      <c r="C1094" s="9" t="inlineStr">
        <is>
          <t>Lafayette</t>
        </is>
      </c>
      <c r="D1094" s="9" t="inlineStr">
        <is>
          <t>LA</t>
        </is>
      </c>
      <c r="E1094" s="9" t="inlineStr">
        <is>
          <t>Public</t>
        </is>
      </c>
      <c r="F1094" s="11" t="n">
        <v>13530</v>
      </c>
      <c r="G1094" s="11" t="n">
        <v>47089</v>
      </c>
      <c r="H1094" s="9">
        <f>COUNTIF($G$5:$G$1531,"&gt;"&amp;G1094)+1</f>
        <v/>
      </c>
      <c r="I1094" s="9" t="inlineStr"/>
      <c r="J1094" s="11">
        <f>IF(E1094="Private",F1094,"")</f>
        <v/>
      </c>
      <c r="K1094" s="11">
        <f>IF(E1094="Private",G1094,"")</f>
        <v/>
      </c>
    </row>
    <row r="1095">
      <c r="A1095" s="9" t="n">
        <v>181783</v>
      </c>
      <c r="B1095" s="9" t="inlineStr">
        <is>
          <t>Wayne State College</t>
        </is>
      </c>
      <c r="C1095" s="9" t="inlineStr">
        <is>
          <t>Wayne</t>
        </is>
      </c>
      <c r="D1095" s="9" t="inlineStr">
        <is>
          <t>NE</t>
        </is>
      </c>
      <c r="E1095" s="9" t="inlineStr">
        <is>
          <t>Public</t>
        </is>
      </c>
      <c r="F1095" s="11" t="n">
        <v>15360</v>
      </c>
      <c r="G1095" s="11" t="n">
        <v>47075</v>
      </c>
      <c r="H1095" s="9">
        <f>COUNTIF($G$5:$G$1531,"&gt;"&amp;G1095)+1</f>
        <v/>
      </c>
      <c r="I1095" s="9" t="inlineStr"/>
      <c r="J1095" s="11">
        <f>IF(E1095="Private",F1095,"")</f>
        <v/>
      </c>
      <c r="K1095" s="11">
        <f>IF(E1095="Private",G1095,"")</f>
        <v/>
      </c>
    </row>
    <row r="1096">
      <c r="A1096" s="9" t="n">
        <v>181534</v>
      </c>
      <c r="B1096" s="9" t="inlineStr">
        <is>
          <t>Peru State College</t>
        </is>
      </c>
      <c r="C1096" s="9" t="inlineStr">
        <is>
          <t>Peru</t>
        </is>
      </c>
      <c r="D1096" s="9" t="inlineStr">
        <is>
          <t>NE</t>
        </is>
      </c>
      <c r="E1096" s="9" t="inlineStr">
        <is>
          <t>Public</t>
        </is>
      </c>
      <c r="F1096" s="11" t="n">
        <v>11632</v>
      </c>
      <c r="G1096" s="11" t="n">
        <v>47071</v>
      </c>
      <c r="H1096" s="9">
        <f>COUNTIF($G$5:$G$1531,"&gt;"&amp;G1096)+1</f>
        <v/>
      </c>
      <c r="I1096" s="9" t="inlineStr"/>
      <c r="J1096" s="11">
        <f>IF(E1096="Private",F1096,"")</f>
        <v/>
      </c>
      <c r="K1096" s="11">
        <f>IF(E1096="Private",G1096,"")</f>
        <v/>
      </c>
    </row>
    <row r="1097">
      <c r="A1097" s="9" t="n">
        <v>160038</v>
      </c>
      <c r="B1097" s="9" t="inlineStr">
        <is>
          <t>Northwestern State University of Louisiana</t>
        </is>
      </c>
      <c r="C1097" s="9" t="inlineStr">
        <is>
          <t>Natchitoches</t>
        </is>
      </c>
      <c r="D1097" s="9" t="inlineStr">
        <is>
          <t>LA</t>
        </is>
      </c>
      <c r="E1097" s="9" t="inlineStr">
        <is>
          <t>Public</t>
        </is>
      </c>
      <c r="F1097" s="11" t="n">
        <v>13606</v>
      </c>
      <c r="G1097" s="11" t="n">
        <v>47021</v>
      </c>
      <c r="H1097" s="9">
        <f>COUNTIF($G$5:$G$1531,"&gt;"&amp;G1097)+1</f>
        <v/>
      </c>
      <c r="I1097" s="9" t="inlineStr"/>
      <c r="J1097" s="11">
        <f>IF(E1097="Private",F1097,"")</f>
        <v/>
      </c>
      <c r="K1097" s="11">
        <f>IF(E1097="Private",G1097,"")</f>
        <v/>
      </c>
    </row>
    <row r="1098">
      <c r="A1098" s="9" t="n">
        <v>180948</v>
      </c>
      <c r="B1098" s="9" t="inlineStr">
        <is>
          <t>Chadron State College</t>
        </is>
      </c>
      <c r="C1098" s="9" t="inlineStr">
        <is>
          <t>Chadron</t>
        </is>
      </c>
      <c r="D1098" s="9" t="inlineStr">
        <is>
          <t>NE</t>
        </is>
      </c>
      <c r="E1098" s="9" t="inlineStr">
        <is>
          <t>Public</t>
        </is>
      </c>
      <c r="F1098" s="11" t="n">
        <v>12549</v>
      </c>
      <c r="G1098" s="11" t="n">
        <v>47002</v>
      </c>
      <c r="H1098" s="9">
        <f>COUNTIF($G$5:$G$1531,"&gt;"&amp;G1098)+1</f>
        <v/>
      </c>
      <c r="I1098" s="9" t="inlineStr"/>
      <c r="J1098" s="11">
        <f>IF(E1098="Private",F1098,"")</f>
        <v/>
      </c>
      <c r="K1098" s="11">
        <f>IF(E1098="Private",G1098,"")</f>
        <v/>
      </c>
    </row>
    <row r="1099">
      <c r="A1099" s="9" t="n">
        <v>149514</v>
      </c>
      <c r="B1099" s="9" t="inlineStr">
        <is>
          <t>Trinity International University-Illinois</t>
        </is>
      </c>
      <c r="C1099" s="9" t="inlineStr">
        <is>
          <t>Deerfield</t>
        </is>
      </c>
      <c r="D1099" s="9" t="inlineStr">
        <is>
          <t>IL</t>
        </is>
      </c>
      <c r="E1099" s="9" t="inlineStr">
        <is>
          <t>Private</t>
        </is>
      </c>
      <c r="F1099" s="11" t="n">
        <v>2835</v>
      </c>
      <c r="G1099" s="11" t="n">
        <v>46989</v>
      </c>
      <c r="H1099" s="9">
        <f>COUNTIF($G$5:$G$1531,"&gt;"&amp;G1099)+1</f>
        <v/>
      </c>
      <c r="I1099" s="9" t="inlineStr"/>
      <c r="J1099" s="11">
        <f>IF(E1099="Private",F1099,"")</f>
        <v/>
      </c>
      <c r="K1099" s="11">
        <f>IF(E1099="Private",G1099,"")</f>
        <v/>
      </c>
    </row>
    <row r="1100">
      <c r="A1100" s="9" t="n">
        <v>150172</v>
      </c>
      <c r="B1100" s="9" t="inlineStr">
        <is>
          <t>Calumet College of Saint Joseph</t>
        </is>
      </c>
      <c r="C1100" s="9" t="inlineStr">
        <is>
          <t>Whiting</t>
        </is>
      </c>
      <c r="D1100" s="9" t="inlineStr">
        <is>
          <t>IN</t>
        </is>
      </c>
      <c r="E1100" s="9" t="inlineStr">
        <is>
          <t>Private</t>
        </is>
      </c>
      <c r="F1100" s="11" t="n">
        <v>22451</v>
      </c>
      <c r="G1100" s="11" t="n">
        <v>46945</v>
      </c>
      <c r="H1100" s="9">
        <f>COUNTIF($G$5:$G$1531,"&gt;"&amp;G1100)+1</f>
        <v/>
      </c>
      <c r="I1100" s="9" t="inlineStr"/>
      <c r="J1100" s="11">
        <f>IF(E1100="Private",F1100,"")</f>
        <v/>
      </c>
      <c r="K1100" s="11">
        <f>IF(E1100="Private",G1100,"")</f>
        <v/>
      </c>
    </row>
    <row r="1101">
      <c r="A1101" s="9" t="n">
        <v>166018</v>
      </c>
      <c r="B1101" s="9" t="inlineStr">
        <is>
          <t>Hampshire College</t>
        </is>
      </c>
      <c r="C1101" s="9" t="inlineStr">
        <is>
          <t>Amherst</t>
        </is>
      </c>
      <c r="D1101" s="9" t="inlineStr">
        <is>
          <t>MA</t>
        </is>
      </c>
      <c r="E1101" s="9" t="inlineStr">
        <is>
          <t>Private</t>
        </is>
      </c>
      <c r="F1101" s="11" t="n">
        <v>24034</v>
      </c>
      <c r="G1101" s="11" t="n">
        <v>46938</v>
      </c>
      <c r="H1101" s="9">
        <f>COUNTIF($G$5:$G$1531,"&gt;"&amp;G1101)+1</f>
        <v/>
      </c>
      <c r="I1101" s="9" t="inlineStr"/>
      <c r="J1101" s="11">
        <f>IF(E1101="Private",F1101,"")</f>
        <v/>
      </c>
      <c r="K1101" s="11">
        <f>IF(E1101="Private",G1101,"")</f>
        <v/>
      </c>
    </row>
    <row r="1102">
      <c r="A1102" s="9" t="n">
        <v>207582</v>
      </c>
      <c r="B1102" s="9" t="inlineStr">
        <is>
          <t>Oral Roberts University</t>
        </is>
      </c>
      <c r="C1102" s="9" t="inlineStr">
        <is>
          <t>Tulsa</t>
        </is>
      </c>
      <c r="D1102" s="9" t="inlineStr">
        <is>
          <t>OK</t>
        </is>
      </c>
      <c r="E1102" s="9" t="inlineStr">
        <is>
          <t>Private</t>
        </is>
      </c>
      <c r="F1102" s="11" t="n">
        <v>25365</v>
      </c>
      <c r="G1102" s="11" t="n">
        <v>46885</v>
      </c>
      <c r="H1102" s="9">
        <f>COUNTIF($G$5:$G$1531,"&gt;"&amp;G1102)+1</f>
        <v/>
      </c>
      <c r="I1102" s="9" t="inlineStr"/>
      <c r="J1102" s="11">
        <f>IF(E1102="Private",F1102,"")</f>
        <v/>
      </c>
      <c r="K1102" s="11">
        <f>IF(E1102="Private",G1102,"")</f>
        <v/>
      </c>
    </row>
    <row r="1103">
      <c r="A1103" s="9" t="n">
        <v>237367</v>
      </c>
      <c r="B1103" s="9" t="inlineStr">
        <is>
          <t>Fairmont State University</t>
        </is>
      </c>
      <c r="C1103" s="9" t="inlineStr">
        <is>
          <t>Fairmont</t>
        </is>
      </c>
      <c r="D1103" s="9" t="inlineStr">
        <is>
          <t>WV</t>
        </is>
      </c>
      <c r="E1103" s="9" t="inlineStr">
        <is>
          <t>Public</t>
        </is>
      </c>
      <c r="F1103" s="11" t="n">
        <v>9032</v>
      </c>
      <c r="G1103" s="11" t="n">
        <v>46857</v>
      </c>
      <c r="H1103" s="9">
        <f>COUNTIF($G$5:$G$1531,"&gt;"&amp;G1103)+1</f>
        <v/>
      </c>
      <c r="I1103" s="9" t="inlineStr"/>
      <c r="J1103" s="11">
        <f>IF(E1103="Private",F1103,"")</f>
        <v/>
      </c>
      <c r="K1103" s="11">
        <f>IF(E1103="Private",G1103,"")</f>
        <v/>
      </c>
    </row>
    <row r="1104">
      <c r="A1104" s="9" t="n">
        <v>128391</v>
      </c>
      <c r="B1104" s="9" t="inlineStr">
        <is>
          <t>Western Colorado University</t>
        </is>
      </c>
      <c r="C1104" s="9" t="inlineStr">
        <is>
          <t>Gunnison</t>
        </is>
      </c>
      <c r="D1104" s="9" t="inlineStr">
        <is>
          <t>CO</t>
        </is>
      </c>
      <c r="E1104" s="9" t="inlineStr">
        <is>
          <t>Public</t>
        </is>
      </c>
      <c r="F1104" s="11" t="n">
        <v>16425</v>
      </c>
      <c r="G1104" s="11" t="n">
        <v>46833</v>
      </c>
      <c r="H1104" s="9">
        <f>COUNTIF($G$5:$G$1531,"&gt;"&amp;G1104)+1</f>
        <v/>
      </c>
      <c r="I1104" s="9" t="inlineStr"/>
      <c r="J1104" s="11">
        <f>IF(E1104="Private",F1104,"")</f>
        <v/>
      </c>
      <c r="K1104" s="11">
        <f>IF(E1104="Private",G1104,"")</f>
        <v/>
      </c>
    </row>
    <row r="1105">
      <c r="A1105" s="9" t="n">
        <v>145372</v>
      </c>
      <c r="B1105" s="9" t="inlineStr">
        <is>
          <t>Greenville University</t>
        </is>
      </c>
      <c r="C1105" s="9" t="inlineStr">
        <is>
          <t>Greenville</t>
        </is>
      </c>
      <c r="D1105" s="9" t="inlineStr">
        <is>
          <t>IL</t>
        </is>
      </c>
      <c r="E1105" s="9" t="inlineStr">
        <is>
          <t>Private</t>
        </is>
      </c>
      <c r="F1105" s="11" t="n">
        <v>19533</v>
      </c>
      <c r="G1105" s="11" t="n">
        <v>46827</v>
      </c>
      <c r="H1105" s="9">
        <f>COUNTIF($G$5:$G$1531,"&gt;"&amp;G1105)+1</f>
        <v/>
      </c>
      <c r="I1105" s="9" t="inlineStr"/>
      <c r="J1105" s="11">
        <f>IF(E1105="Private",F1105,"")</f>
        <v/>
      </c>
      <c r="K1105" s="11">
        <f>IF(E1105="Private",G1105,"")</f>
        <v/>
      </c>
    </row>
    <row r="1106">
      <c r="A1106" s="9" t="n">
        <v>143288</v>
      </c>
      <c r="B1106" s="9" t="inlineStr">
        <is>
          <t>Blackburn College</t>
        </is>
      </c>
      <c r="C1106" s="9" t="inlineStr">
        <is>
          <t>Carlinville</t>
        </is>
      </c>
      <c r="D1106" s="9" t="inlineStr">
        <is>
          <t>IL</t>
        </is>
      </c>
      <c r="E1106" s="9" t="inlineStr">
        <is>
          <t>Private</t>
        </is>
      </c>
      <c r="F1106" s="11" t="n">
        <v>18460</v>
      </c>
      <c r="G1106" s="11" t="n">
        <v>46802</v>
      </c>
      <c r="H1106" s="9">
        <f>COUNTIF($G$5:$G$1531,"&gt;"&amp;G1106)+1</f>
        <v/>
      </c>
      <c r="I1106" s="9" t="inlineStr"/>
      <c r="J1106" s="11">
        <f>IF(E1106="Private",F1106,"")</f>
        <v/>
      </c>
      <c r="K1106" s="11">
        <f>IF(E1106="Private",G1106,"")</f>
        <v/>
      </c>
    </row>
    <row r="1107">
      <c r="A1107" s="9" t="n">
        <v>106713</v>
      </c>
      <c r="B1107" s="9" t="inlineStr">
        <is>
          <t>Central Baptist College</t>
        </is>
      </c>
      <c r="C1107" s="9" t="inlineStr">
        <is>
          <t>Conway</t>
        </is>
      </c>
      <c r="D1107" s="9" t="inlineStr">
        <is>
          <t>AR</t>
        </is>
      </c>
      <c r="E1107" s="9" t="inlineStr">
        <is>
          <t>Private</t>
        </is>
      </c>
      <c r="F1107" s="11" t="n">
        <v>12287</v>
      </c>
      <c r="G1107" s="11" t="n">
        <v>46789</v>
      </c>
      <c r="H1107" s="9">
        <f>COUNTIF($G$5:$G$1531,"&gt;"&amp;G1107)+1</f>
        <v/>
      </c>
      <c r="I1107" s="9" t="inlineStr"/>
      <c r="J1107" s="11">
        <f>IF(E1107="Private",F1107,"")</f>
        <v/>
      </c>
      <c r="K1107" s="11">
        <f>IF(E1107="Private",G1107,"")</f>
        <v/>
      </c>
    </row>
    <row r="1108">
      <c r="A1108" s="9" t="n">
        <v>159993</v>
      </c>
      <c r="B1108" s="9" t="inlineStr">
        <is>
          <t>University of Louisiana at Monroe</t>
        </is>
      </c>
      <c r="C1108" s="9" t="inlineStr">
        <is>
          <t>Monroe</t>
        </is>
      </c>
      <c r="D1108" s="9" t="inlineStr">
        <is>
          <t>LA</t>
        </is>
      </c>
      <c r="E1108" s="9" t="inlineStr">
        <is>
          <t>Public</t>
        </is>
      </c>
      <c r="F1108" s="11" t="n">
        <v>13466</v>
      </c>
      <c r="G1108" s="11" t="n">
        <v>46769</v>
      </c>
      <c r="H1108" s="9">
        <f>COUNTIF($G$5:$G$1531,"&gt;"&amp;G1108)+1</f>
        <v/>
      </c>
      <c r="I1108" s="9" t="inlineStr"/>
      <c r="J1108" s="11">
        <f>IF(E1108="Private",F1108,"")</f>
        <v/>
      </c>
      <c r="K1108" s="11">
        <f>IF(E1108="Private",G1108,"")</f>
        <v/>
      </c>
    </row>
    <row r="1109">
      <c r="A1109" s="9" t="n">
        <v>157076</v>
      </c>
      <c r="B1109" s="9" t="inlineStr">
        <is>
          <t>Kentucky Wesleyan College</t>
        </is>
      </c>
      <c r="C1109" s="9" t="inlineStr">
        <is>
          <t>Owensboro</t>
        </is>
      </c>
      <c r="D1109" s="9" t="inlineStr">
        <is>
          <t>KY</t>
        </is>
      </c>
      <c r="E1109" s="9" t="inlineStr">
        <is>
          <t>Private</t>
        </is>
      </c>
      <c r="F1109" s="11" t="n">
        <v>17131</v>
      </c>
      <c r="G1109" s="11" t="n">
        <v>46747</v>
      </c>
      <c r="H1109" s="9">
        <f>COUNTIF($G$5:$G$1531,"&gt;"&amp;G1109)+1</f>
        <v/>
      </c>
      <c r="I1109" s="9" t="inlineStr"/>
      <c r="J1109" s="11">
        <f>IF(E1109="Private",F1109,"")</f>
        <v/>
      </c>
      <c r="K1109" s="11">
        <f>IF(E1109="Private",G1109,"")</f>
        <v/>
      </c>
    </row>
    <row r="1110">
      <c r="A1110" s="9" t="n">
        <v>137564</v>
      </c>
      <c r="B1110" s="9" t="inlineStr">
        <is>
          <t>Southeastern University</t>
        </is>
      </c>
      <c r="C1110" s="9" t="inlineStr">
        <is>
          <t>Lakeland</t>
        </is>
      </c>
      <c r="D1110" s="9" t="inlineStr">
        <is>
          <t>FL</t>
        </is>
      </c>
      <c r="E1110" s="9" t="inlineStr">
        <is>
          <t>Private</t>
        </is>
      </c>
      <c r="F1110" s="11" t="n">
        <v>31942</v>
      </c>
      <c r="G1110" s="11" t="n">
        <v>46744</v>
      </c>
      <c r="H1110" s="9">
        <f>COUNTIF($G$5:$G$1531,"&gt;"&amp;G1110)+1</f>
        <v/>
      </c>
      <c r="I1110" s="9" t="inlineStr"/>
      <c r="J1110" s="11">
        <f>IF(E1110="Private",F1110,"")</f>
        <v/>
      </c>
      <c r="K1110" s="11">
        <f>IF(E1110="Private",G1110,"")</f>
        <v/>
      </c>
    </row>
    <row r="1111">
      <c r="A1111" s="9" t="n">
        <v>191676</v>
      </c>
      <c r="B1111" s="9" t="inlineStr">
        <is>
          <t>Houghton University</t>
        </is>
      </c>
      <c r="C1111" s="9" t="inlineStr">
        <is>
          <t>Houghton</t>
        </is>
      </c>
      <c r="D1111" s="9" t="inlineStr">
        <is>
          <t>NY</t>
        </is>
      </c>
      <c r="E1111" s="9" t="inlineStr">
        <is>
          <t>Private</t>
        </is>
      </c>
      <c r="F1111" s="11" t="n">
        <v>20519</v>
      </c>
      <c r="G1111" s="11" t="n">
        <v>46721</v>
      </c>
      <c r="H1111" s="9">
        <f>COUNTIF($G$5:$G$1531,"&gt;"&amp;G1111)+1</f>
        <v/>
      </c>
      <c r="I1111" s="9" t="inlineStr"/>
      <c r="J1111" s="11">
        <f>IF(E1111="Private",F1111,"")</f>
        <v/>
      </c>
      <c r="K1111" s="11">
        <f>IF(E1111="Private",G1111,"")</f>
        <v/>
      </c>
    </row>
    <row r="1112">
      <c r="A1112" s="9" t="n">
        <v>141237</v>
      </c>
      <c r="B1112" s="9" t="inlineStr">
        <is>
          <t>Truett McConnell University</t>
        </is>
      </c>
      <c r="C1112" s="9" t="inlineStr">
        <is>
          <t>Cleveland</t>
        </is>
      </c>
      <c r="D1112" s="9" t="inlineStr">
        <is>
          <t>GA</t>
        </is>
      </c>
      <c r="E1112" s="9" t="inlineStr">
        <is>
          <t>Private</t>
        </is>
      </c>
      <c r="F1112" s="11" t="n">
        <v>22227</v>
      </c>
      <c r="G1112" s="11" t="n">
        <v>46700</v>
      </c>
      <c r="H1112" s="9">
        <f>COUNTIF($G$5:$G$1531,"&gt;"&amp;G1112)+1</f>
        <v/>
      </c>
      <c r="I1112" s="9" t="inlineStr"/>
      <c r="J1112" s="11">
        <f>IF(E1112="Private",F1112,"")</f>
        <v/>
      </c>
      <c r="K1112" s="11">
        <f>IF(E1112="Private",G1112,"")</f>
        <v/>
      </c>
    </row>
    <row r="1113">
      <c r="A1113" s="9" t="n">
        <v>234979</v>
      </c>
      <c r="B1113" s="9" t="inlineStr">
        <is>
          <t>Columbia Basin College</t>
        </is>
      </c>
      <c r="C1113" s="9" t="inlineStr">
        <is>
          <t>Pasco</t>
        </is>
      </c>
      <c r="D1113" s="9" t="inlineStr">
        <is>
          <t>WA</t>
        </is>
      </c>
      <c r="E1113" s="9" t="inlineStr">
        <is>
          <t>Public</t>
        </is>
      </c>
      <c r="F1113" s="11" t="n">
        <v>8317</v>
      </c>
      <c r="G1113" s="11" t="n">
        <v>46680</v>
      </c>
      <c r="H1113" s="9">
        <f>COUNTIF($G$5:$G$1531,"&gt;"&amp;G1113)+1</f>
        <v/>
      </c>
      <c r="I1113" s="9" t="inlineStr"/>
      <c r="J1113" s="11">
        <f>IF(E1113="Private",F1113,"")</f>
        <v/>
      </c>
      <c r="K1113" s="11">
        <f>IF(E1113="Private",G1113,"")</f>
        <v/>
      </c>
    </row>
    <row r="1114">
      <c r="A1114" s="9" t="n">
        <v>219046</v>
      </c>
      <c r="B1114" s="9" t="inlineStr">
        <is>
          <t>Black Hills State University</t>
        </is>
      </c>
      <c r="C1114" s="9" t="inlineStr">
        <is>
          <t>Spearfish</t>
        </is>
      </c>
      <c r="D1114" s="9" t="inlineStr">
        <is>
          <t>SD</t>
        </is>
      </c>
      <c r="E1114" s="9" t="inlineStr">
        <is>
          <t>Public</t>
        </is>
      </c>
      <c r="F1114" s="11" t="n">
        <v>15911</v>
      </c>
      <c r="G1114" s="11" t="n">
        <v>46674</v>
      </c>
      <c r="H1114" s="9">
        <f>COUNTIF($G$5:$G$1531,"&gt;"&amp;G1114)+1</f>
        <v/>
      </c>
      <c r="I1114" s="9" t="inlineStr"/>
      <c r="J1114" s="11">
        <f>IF(E1114="Private",F1114,"")</f>
        <v/>
      </c>
      <c r="K1114" s="11">
        <f>IF(E1114="Private",G1114,"")</f>
        <v/>
      </c>
    </row>
    <row r="1115">
      <c r="A1115" s="9" t="n">
        <v>150941</v>
      </c>
      <c r="B1115" s="9" t="inlineStr">
        <is>
          <t>Huntington University</t>
        </is>
      </c>
      <c r="C1115" s="9" t="inlineStr">
        <is>
          <t>Huntington</t>
        </is>
      </c>
      <c r="D1115" s="9" t="inlineStr">
        <is>
          <t>IN</t>
        </is>
      </c>
      <c r="E1115" s="9" t="inlineStr">
        <is>
          <t>Private</t>
        </is>
      </c>
      <c r="F1115" s="11" t="n">
        <v>19310</v>
      </c>
      <c r="G1115" s="11" t="n">
        <v>46672</v>
      </c>
      <c r="H1115" s="9">
        <f>COUNTIF($G$5:$G$1531,"&gt;"&amp;G1115)+1</f>
        <v/>
      </c>
      <c r="I1115" s="9" t="inlineStr"/>
      <c r="J1115" s="11">
        <f>IF(E1115="Private",F1115,"")</f>
        <v/>
      </c>
      <c r="K1115" s="11">
        <f>IF(E1115="Private",G1115,"")</f>
        <v/>
      </c>
    </row>
    <row r="1116">
      <c r="A1116" s="9" t="n">
        <v>178244</v>
      </c>
      <c r="B1116" s="9" t="inlineStr">
        <is>
          <t>Missouri Baptist University</t>
        </is>
      </c>
      <c r="C1116" s="9" t="inlineStr">
        <is>
          <t>Saint Louis</t>
        </is>
      </c>
      <c r="D1116" s="9" t="inlineStr">
        <is>
          <t>MO</t>
        </is>
      </c>
      <c r="E1116" s="9" t="inlineStr">
        <is>
          <t>Private</t>
        </is>
      </c>
      <c r="F1116" s="11" t="n">
        <v>27006</v>
      </c>
      <c r="G1116" s="11" t="n">
        <v>46660</v>
      </c>
      <c r="H1116" s="9">
        <f>COUNTIF($G$5:$G$1531,"&gt;"&amp;G1116)+1</f>
        <v/>
      </c>
      <c r="I1116" s="9" t="inlineStr"/>
      <c r="J1116" s="11">
        <f>IF(E1116="Private",F1116,"")</f>
        <v/>
      </c>
      <c r="K1116" s="11">
        <f>IF(E1116="Private",G1116,"")</f>
        <v/>
      </c>
    </row>
    <row r="1117">
      <c r="A1117" s="9" t="n">
        <v>164492</v>
      </c>
      <c r="B1117" s="9" t="inlineStr">
        <is>
          <t>Anna Maria College</t>
        </is>
      </c>
      <c r="C1117" s="9" t="inlineStr">
        <is>
          <t>Paxton</t>
        </is>
      </c>
      <c r="D1117" s="9" t="inlineStr">
        <is>
          <t>MA</t>
        </is>
      </c>
      <c r="E1117" s="9" t="inlineStr">
        <is>
          <t>Private</t>
        </is>
      </c>
      <c r="F1117" s="11" t="n">
        <v>28333</v>
      </c>
      <c r="G1117" s="11" t="n">
        <v>46651</v>
      </c>
      <c r="H1117" s="9">
        <f>COUNTIF($G$5:$G$1531,"&gt;"&amp;G1117)+1</f>
        <v/>
      </c>
      <c r="I1117" s="9" t="inlineStr"/>
      <c r="J1117" s="11">
        <f>IF(E1117="Private",F1117,"")</f>
        <v/>
      </c>
      <c r="K1117" s="11">
        <f>IF(E1117="Private",G1117,"")</f>
        <v/>
      </c>
    </row>
    <row r="1118">
      <c r="A1118" s="9" t="n">
        <v>199272</v>
      </c>
      <c r="B1118" s="9" t="inlineStr">
        <is>
          <t>William Peace University</t>
        </is>
      </c>
      <c r="C1118" s="9" t="inlineStr">
        <is>
          <t>Raleigh</t>
        </is>
      </c>
      <c r="D1118" s="9" t="inlineStr">
        <is>
          <t>NC</t>
        </is>
      </c>
      <c r="E1118" s="9" t="inlineStr">
        <is>
          <t>Private</t>
        </is>
      </c>
      <c r="F1118" s="11" t="n">
        <v>21649</v>
      </c>
      <c r="G1118" s="11" t="n">
        <v>46643</v>
      </c>
      <c r="H1118" s="9">
        <f>COUNTIF($G$5:$G$1531,"&gt;"&amp;G1118)+1</f>
        <v/>
      </c>
      <c r="I1118" s="9" t="inlineStr"/>
      <c r="J1118" s="11">
        <f>IF(E1118="Private",F1118,"")</f>
        <v/>
      </c>
      <c r="K1118" s="11">
        <f>IF(E1118="Private",G1118,"")</f>
        <v/>
      </c>
    </row>
    <row r="1119">
      <c r="A1119" s="9" t="n">
        <v>486901</v>
      </c>
      <c r="B1119" s="9" t="inlineStr">
        <is>
          <t>Milligan University</t>
        </is>
      </c>
      <c r="C1119" s="9" t="inlineStr">
        <is>
          <t>Milligan</t>
        </is>
      </c>
      <c r="D1119" s="9" t="inlineStr">
        <is>
          <t>TN</t>
        </is>
      </c>
      <c r="E1119" s="9" t="inlineStr">
        <is>
          <t>Private</t>
        </is>
      </c>
      <c r="F1119" s="11" t="n">
        <v>21365</v>
      </c>
      <c r="G1119" s="11" t="n">
        <v>46641</v>
      </c>
      <c r="H1119" s="9">
        <f>COUNTIF($G$5:$G$1531,"&gt;"&amp;G1119)+1</f>
        <v/>
      </c>
      <c r="I1119" s="9" t="inlineStr"/>
      <c r="J1119" s="11">
        <f>IF(E1119="Private",F1119,"")</f>
        <v/>
      </c>
      <c r="K1119" s="11">
        <f>IF(E1119="Private",G1119,"")</f>
        <v/>
      </c>
    </row>
    <row r="1120">
      <c r="A1120" s="9" t="n">
        <v>200800</v>
      </c>
      <c r="B1120" s="9" t="inlineStr">
        <is>
          <t>University of Akron Main Campus</t>
        </is>
      </c>
      <c r="C1120" s="9" t="inlineStr">
        <is>
          <t>Akron</t>
        </is>
      </c>
      <c r="D1120" s="9" t="inlineStr">
        <is>
          <t>OH</t>
        </is>
      </c>
      <c r="E1120" s="9" t="inlineStr">
        <is>
          <t>Public</t>
        </is>
      </c>
      <c r="F1120" s="11" t="n">
        <v>13946</v>
      </c>
      <c r="G1120" s="11" t="n">
        <v>46600</v>
      </c>
      <c r="H1120" s="9">
        <f>COUNTIF($G$5:$G$1531,"&gt;"&amp;G1120)+1</f>
        <v/>
      </c>
      <c r="I1120" s="9" t="inlineStr"/>
      <c r="J1120" s="11">
        <f>IF(E1120="Private",F1120,"")</f>
        <v/>
      </c>
      <c r="K1120" s="11">
        <f>IF(E1120="Private",G1120,"")</f>
        <v/>
      </c>
    </row>
    <row r="1121">
      <c r="A1121" s="9" t="n">
        <v>177339</v>
      </c>
      <c r="B1121" s="9" t="inlineStr">
        <is>
          <t>Evangel University</t>
        </is>
      </c>
      <c r="C1121" s="9" t="inlineStr">
        <is>
          <t>Springfield</t>
        </is>
      </c>
      <c r="D1121" s="9" t="inlineStr">
        <is>
          <t>MO</t>
        </is>
      </c>
      <c r="E1121" s="9" t="inlineStr">
        <is>
          <t>Private</t>
        </is>
      </c>
      <c r="F1121" s="11" t="n">
        <v>18669</v>
      </c>
      <c r="G1121" s="11" t="n">
        <v>46573</v>
      </c>
      <c r="H1121" s="9">
        <f>COUNTIF($G$5:$G$1531,"&gt;"&amp;G1121)+1</f>
        <v/>
      </c>
      <c r="I1121" s="9" t="inlineStr"/>
      <c r="J1121" s="11">
        <f>IF(E1121="Private",F1121,"")</f>
        <v/>
      </c>
      <c r="K1121" s="11">
        <f>IF(E1121="Private",G1121,"")</f>
        <v/>
      </c>
    </row>
    <row r="1122">
      <c r="A1122" s="9" t="n">
        <v>198598</v>
      </c>
      <c r="B1122" s="9" t="inlineStr">
        <is>
          <t>Greensboro College</t>
        </is>
      </c>
      <c r="C1122" s="9" t="inlineStr">
        <is>
          <t>Greensboro</t>
        </is>
      </c>
      <c r="D1122" s="9" t="inlineStr">
        <is>
          <t>NC</t>
        </is>
      </c>
      <c r="E1122" s="9" t="inlineStr">
        <is>
          <t>Private</t>
        </is>
      </c>
      <c r="F1122" s="11" t="n">
        <v>17882</v>
      </c>
      <c r="G1122" s="11" t="n">
        <v>46566</v>
      </c>
      <c r="H1122" s="9">
        <f>COUNTIF($G$5:$G$1531,"&gt;"&amp;G1122)+1</f>
        <v/>
      </c>
      <c r="I1122" s="9" t="inlineStr"/>
      <c r="J1122" s="11">
        <f>IF(E1122="Private",F1122,"")</f>
        <v/>
      </c>
      <c r="K1122" s="11">
        <f>IF(E1122="Private",G1122,"")</f>
        <v/>
      </c>
    </row>
    <row r="1123">
      <c r="A1123" s="9" t="n">
        <v>167792</v>
      </c>
      <c r="B1123" s="9" t="inlineStr">
        <is>
          <t>Simon's Rock at Bard College</t>
        </is>
      </c>
      <c r="C1123" s="9" t="inlineStr">
        <is>
          <t>Barrytown</t>
        </is>
      </c>
      <c r="D1123" s="9" t="inlineStr">
        <is>
          <t>NY</t>
        </is>
      </c>
      <c r="E1123" s="9" t="inlineStr">
        <is>
          <t>Private</t>
        </is>
      </c>
      <c r="F1123" s="11" t="n">
        <v>31625</v>
      </c>
      <c r="G1123" s="11" t="n">
        <v>46543</v>
      </c>
      <c r="H1123" s="9">
        <f>COUNTIF($G$5:$G$1531,"&gt;"&amp;G1123)+1</f>
        <v/>
      </c>
      <c r="I1123" s="9" t="inlineStr"/>
      <c r="J1123" s="11">
        <f>IF(E1123="Private",F1123,"")</f>
        <v/>
      </c>
      <c r="K1123" s="11">
        <f>IF(E1123="Private",G1123,"")</f>
        <v/>
      </c>
    </row>
    <row r="1124">
      <c r="A1124" s="9" t="n">
        <v>189088</v>
      </c>
      <c r="B1124" s="9" t="inlineStr">
        <is>
          <t>Bard College</t>
        </is>
      </c>
      <c r="C1124" s="9" t="inlineStr">
        <is>
          <t>Annandale-On-Hudson</t>
        </is>
      </c>
      <c r="D1124" s="9" t="inlineStr">
        <is>
          <t>NY</t>
        </is>
      </c>
      <c r="E1124" s="9" t="inlineStr">
        <is>
          <t>Private</t>
        </is>
      </c>
      <c r="F1124" s="11" t="n">
        <v>34649</v>
      </c>
      <c r="G1124" s="11" t="n">
        <v>46543</v>
      </c>
      <c r="H1124" s="9">
        <f>COUNTIF($G$5:$G$1531,"&gt;"&amp;G1124)+1</f>
        <v/>
      </c>
      <c r="I1124" s="9" t="inlineStr"/>
      <c r="J1124" s="11">
        <f>IF(E1124="Private",F1124,"")</f>
        <v/>
      </c>
      <c r="K1124" s="11">
        <f>IF(E1124="Private",G1124,"")</f>
        <v/>
      </c>
    </row>
    <row r="1125">
      <c r="A1125" s="9" t="n">
        <v>140872</v>
      </c>
      <c r="B1125" s="9" t="inlineStr">
        <is>
          <t>Reinhardt University</t>
        </is>
      </c>
      <c r="C1125" s="9" t="inlineStr">
        <is>
          <t>Waleska</t>
        </is>
      </c>
      <c r="D1125" s="9" t="inlineStr">
        <is>
          <t>GA</t>
        </is>
      </c>
      <c r="E1125" s="9" t="inlineStr">
        <is>
          <t>Private</t>
        </is>
      </c>
      <c r="F1125" s="11" t="n">
        <v>24425</v>
      </c>
      <c r="G1125" s="11" t="n">
        <v>46541</v>
      </c>
      <c r="H1125" s="9">
        <f>COUNTIF($G$5:$G$1531,"&gt;"&amp;G1125)+1</f>
        <v/>
      </c>
      <c r="I1125" s="9" t="inlineStr"/>
      <c r="J1125" s="11">
        <f>IF(E1125="Private",F1125,"")</f>
        <v/>
      </c>
      <c r="K1125" s="11">
        <f>IF(E1125="Private",G1125,"")</f>
        <v/>
      </c>
    </row>
    <row r="1126">
      <c r="A1126" s="9" t="n">
        <v>190646</v>
      </c>
      <c r="B1126" s="9" t="inlineStr">
        <is>
          <t>CUNY Medgar Evers College</t>
        </is>
      </c>
      <c r="C1126" s="9" t="inlineStr">
        <is>
          <t>Brooklyn</t>
        </is>
      </c>
      <c r="D1126" s="9" t="inlineStr">
        <is>
          <t>NY</t>
        </is>
      </c>
      <c r="E1126" s="9" t="inlineStr">
        <is>
          <t>Public</t>
        </is>
      </c>
      <c r="F1126" s="11" t="n">
        <v>5718</v>
      </c>
      <c r="G1126" s="11" t="n">
        <v>46498</v>
      </c>
      <c r="H1126" s="9">
        <f>COUNTIF($G$5:$G$1531,"&gt;"&amp;G1126)+1</f>
        <v/>
      </c>
      <c r="I1126" s="9" t="inlineStr"/>
      <c r="J1126" s="11">
        <f>IF(E1126="Private",F1126,"")</f>
        <v/>
      </c>
      <c r="K1126" s="11">
        <f>IF(E1126="Private",G1126,"")</f>
        <v/>
      </c>
    </row>
    <row r="1127">
      <c r="A1127" s="9" t="n">
        <v>162283</v>
      </c>
      <c r="B1127" s="9" t="inlineStr">
        <is>
          <t>Coppin State University</t>
        </is>
      </c>
      <c r="C1127" s="9" t="inlineStr">
        <is>
          <t>Baltimore</t>
        </is>
      </c>
      <c r="D1127" s="9" t="inlineStr">
        <is>
          <t>MD</t>
        </is>
      </c>
      <c r="E1127" s="9" t="inlineStr">
        <is>
          <t>Public</t>
        </is>
      </c>
      <c r="F1127" s="11" t="n">
        <v>9977</v>
      </c>
      <c r="G1127" s="11" t="n">
        <v>46490</v>
      </c>
      <c r="H1127" s="9">
        <f>COUNTIF($G$5:$G$1531,"&gt;"&amp;G1127)+1</f>
        <v/>
      </c>
      <c r="I1127" s="9" t="inlineStr"/>
      <c r="J1127" s="11">
        <f>IF(E1127="Private",F1127,"")</f>
        <v/>
      </c>
      <c r="K1127" s="11">
        <f>IF(E1127="Private",G1127,"")</f>
        <v/>
      </c>
    </row>
    <row r="1128">
      <c r="A1128" s="9" t="n">
        <v>160612</v>
      </c>
      <c r="B1128" s="9" t="inlineStr">
        <is>
          <t>Southeastern Louisiana University</t>
        </is>
      </c>
      <c r="C1128" s="9" t="inlineStr">
        <is>
          <t>Hammond</t>
        </is>
      </c>
      <c r="D1128" s="9" t="inlineStr">
        <is>
          <t>LA</t>
        </is>
      </c>
      <c r="E1128" s="9" t="inlineStr">
        <is>
          <t>Public</t>
        </is>
      </c>
      <c r="F1128" s="11" t="n">
        <v>13154</v>
      </c>
      <c r="G1128" s="11" t="n">
        <v>46482</v>
      </c>
      <c r="H1128" s="9">
        <f>COUNTIF($G$5:$G$1531,"&gt;"&amp;G1128)+1</f>
        <v/>
      </c>
      <c r="I1128" s="9" t="inlineStr"/>
      <c r="J1128" s="11">
        <f>IF(E1128="Private",F1128,"")</f>
        <v/>
      </c>
      <c r="K1128" s="11">
        <f>IF(E1128="Private",G1128,"")</f>
        <v/>
      </c>
    </row>
    <row r="1129">
      <c r="A1129" s="9" t="n">
        <v>182634</v>
      </c>
      <c r="B1129" s="9" t="inlineStr">
        <is>
          <t>Colby-Sawyer College</t>
        </is>
      </c>
      <c r="C1129" s="9" t="inlineStr">
        <is>
          <t>New London</t>
        </is>
      </c>
      <c r="D1129" s="9" t="inlineStr">
        <is>
          <t>NH</t>
        </is>
      </c>
      <c r="E1129" s="9" t="inlineStr">
        <is>
          <t>Private</t>
        </is>
      </c>
      <c r="F1129" s="11" t="n">
        <v>27431</v>
      </c>
      <c r="G1129" s="11" t="n">
        <v>46474</v>
      </c>
      <c r="H1129" s="9">
        <f>COUNTIF($G$5:$G$1531,"&gt;"&amp;G1129)+1</f>
        <v/>
      </c>
      <c r="I1129" s="9" t="inlineStr"/>
      <c r="J1129" s="11">
        <f>IF(E1129="Private",F1129,"")</f>
        <v/>
      </c>
      <c r="K1129" s="11">
        <f>IF(E1129="Private",G1129,"")</f>
        <v/>
      </c>
    </row>
    <row r="1130">
      <c r="A1130" s="9" t="n">
        <v>159717</v>
      </c>
      <c r="B1130" s="9" t="inlineStr">
        <is>
          <t>McNeese State University</t>
        </is>
      </c>
      <c r="C1130" s="9" t="inlineStr">
        <is>
          <t>Lake Charles</t>
        </is>
      </c>
      <c r="D1130" s="9" t="inlineStr">
        <is>
          <t>LA</t>
        </is>
      </c>
      <c r="E1130" s="9" t="inlineStr">
        <is>
          <t>Public</t>
        </is>
      </c>
      <c r="F1130" s="11" t="n">
        <v>12493</v>
      </c>
      <c r="G1130" s="11" t="n">
        <v>46453</v>
      </c>
      <c r="H1130" s="9">
        <f>COUNTIF($G$5:$G$1531,"&gt;"&amp;G1130)+1</f>
        <v/>
      </c>
      <c r="I1130" s="9" t="inlineStr"/>
      <c r="J1130" s="11">
        <f>IF(E1130="Private",F1130,"")</f>
        <v/>
      </c>
      <c r="K1130" s="11">
        <f>IF(E1130="Private",G1130,"")</f>
        <v/>
      </c>
    </row>
    <row r="1131">
      <c r="A1131" s="9" t="n">
        <v>175421</v>
      </c>
      <c r="B1131" s="9" t="inlineStr">
        <is>
          <t>Belhaven University</t>
        </is>
      </c>
      <c r="C1131" s="9" t="inlineStr">
        <is>
          <t>Jackson</t>
        </is>
      </c>
      <c r="D1131" s="9" t="inlineStr">
        <is>
          <t>MS</t>
        </is>
      </c>
      <c r="E1131" s="9" t="inlineStr">
        <is>
          <t>Private</t>
        </is>
      </c>
      <c r="F1131" s="11" t="n">
        <v>15676</v>
      </c>
      <c r="G1131" s="11" t="n">
        <v>46440</v>
      </c>
      <c r="H1131" s="9">
        <f>COUNTIF($G$5:$G$1531,"&gt;"&amp;G1131)+1</f>
        <v/>
      </c>
      <c r="I1131" s="9" t="inlineStr"/>
      <c r="J1131" s="11">
        <f>IF(E1131="Private",F1131,"")</f>
        <v/>
      </c>
      <c r="K1131" s="11">
        <f>IF(E1131="Private",G1131,"")</f>
        <v/>
      </c>
    </row>
    <row r="1132">
      <c r="A1132" s="9" t="n">
        <v>237525</v>
      </c>
      <c r="B1132" s="9" t="inlineStr">
        <is>
          <t>Marshall University</t>
        </is>
      </c>
      <c r="C1132" s="9" t="inlineStr">
        <is>
          <t>Huntington</t>
        </is>
      </c>
      <c r="D1132" s="9" t="inlineStr">
        <is>
          <t>WV</t>
        </is>
      </c>
      <c r="E1132" s="9" t="inlineStr">
        <is>
          <t>Public</t>
        </is>
      </c>
      <c r="F1132" s="11" t="n">
        <v>7502</v>
      </c>
      <c r="G1132" s="11" t="n">
        <v>46354</v>
      </c>
      <c r="H1132" s="9">
        <f>COUNTIF($G$5:$G$1531,"&gt;"&amp;G1132)+1</f>
        <v/>
      </c>
      <c r="I1132" s="9" t="inlineStr"/>
      <c r="J1132" s="11">
        <f>IF(E1132="Private",F1132,"")</f>
        <v/>
      </c>
      <c r="K1132" s="11">
        <f>IF(E1132="Private",G1132,"")</f>
        <v/>
      </c>
    </row>
    <row r="1133">
      <c r="A1133" s="9" t="n">
        <v>127185</v>
      </c>
      <c r="B1133" s="9" t="inlineStr">
        <is>
          <t>Fort Lewis College</t>
        </is>
      </c>
      <c r="C1133" s="9" t="inlineStr">
        <is>
          <t>Durango</t>
        </is>
      </c>
      <c r="D1133" s="9" t="inlineStr">
        <is>
          <t>CO</t>
        </is>
      </c>
      <c r="E1133" s="9" t="inlineStr">
        <is>
          <t>Public</t>
        </is>
      </c>
      <c r="F1133" s="11" t="n">
        <v>17296</v>
      </c>
      <c r="G1133" s="11" t="n">
        <v>46349</v>
      </c>
      <c r="H1133" s="9">
        <f>COUNTIF($G$5:$G$1531,"&gt;"&amp;G1133)+1</f>
        <v/>
      </c>
      <c r="I1133" s="9" t="inlineStr"/>
      <c r="J1133" s="11">
        <f>IF(E1133="Private",F1133,"")</f>
        <v/>
      </c>
      <c r="K1133" s="11">
        <f>IF(E1133="Private",G1133,"")</f>
        <v/>
      </c>
    </row>
    <row r="1134">
      <c r="A1134" s="9" t="n">
        <v>455770</v>
      </c>
      <c r="B1134" s="9" t="inlineStr">
        <is>
          <t>Providence Christian College</t>
        </is>
      </c>
      <c r="C1134" s="9" t="inlineStr">
        <is>
          <t>Pasadena</t>
        </is>
      </c>
      <c r="D1134" s="9" t="inlineStr">
        <is>
          <t>CA</t>
        </is>
      </c>
      <c r="E1134" s="9" t="inlineStr">
        <is>
          <t>Private</t>
        </is>
      </c>
      <c r="F1134" s="11" t="n">
        <v>25163</v>
      </c>
      <c r="G1134" s="11" t="n">
        <v>46264</v>
      </c>
      <c r="H1134" s="9">
        <f>COUNTIF($G$5:$G$1531,"&gt;"&amp;G1134)+1</f>
        <v/>
      </c>
      <c r="I1134" s="9" t="inlineStr"/>
      <c r="J1134" s="11">
        <f>IF(E1134="Private",F1134,"")</f>
        <v/>
      </c>
      <c r="K1134" s="11">
        <f>IF(E1134="Private",G1134,"")</f>
        <v/>
      </c>
    </row>
    <row r="1135">
      <c r="A1135" s="9" t="n">
        <v>228325</v>
      </c>
      <c r="B1135" s="9" t="inlineStr">
        <is>
          <t>Nelson University</t>
        </is>
      </c>
      <c r="C1135" s="9" t="inlineStr">
        <is>
          <t>Waxahachie</t>
        </is>
      </c>
      <c r="D1135" s="9" t="inlineStr">
        <is>
          <t>TX</t>
        </is>
      </c>
      <c r="E1135" s="9" t="inlineStr">
        <is>
          <t>Private</t>
        </is>
      </c>
      <c r="F1135" s="11" t="n">
        <v>21662</v>
      </c>
      <c r="G1135" s="11" t="n">
        <v>46238</v>
      </c>
      <c r="H1135" s="9">
        <f>COUNTIF($G$5:$G$1531,"&gt;"&amp;G1135)+1</f>
        <v/>
      </c>
      <c r="I1135" s="9" t="inlineStr"/>
      <c r="J1135" s="11">
        <f>IF(E1135="Private",F1135,"")</f>
        <v/>
      </c>
      <c r="K1135" s="11">
        <f>IF(E1135="Private",G1135,"")</f>
        <v/>
      </c>
    </row>
    <row r="1136">
      <c r="A1136" s="9" t="n">
        <v>190114</v>
      </c>
      <c r="B1136" s="9" t="inlineStr">
        <is>
          <t>Metropolitan College of New York</t>
        </is>
      </c>
      <c r="C1136" s="9" t="inlineStr">
        <is>
          <t>New York</t>
        </is>
      </c>
      <c r="D1136" s="9" t="inlineStr">
        <is>
          <t>NY</t>
        </is>
      </c>
      <c r="E1136" s="9" t="inlineStr">
        <is>
          <t>Private</t>
        </is>
      </c>
      <c r="F1136" s="11" t="n">
        <v>28882</v>
      </c>
      <c r="G1136" s="11" t="n">
        <v>46236</v>
      </c>
      <c r="H1136" s="9">
        <f>COUNTIF($G$5:$G$1531,"&gt;"&amp;G1136)+1</f>
        <v/>
      </c>
      <c r="I1136" s="9" t="inlineStr"/>
      <c r="J1136" s="11">
        <f>IF(E1136="Private",F1136,"")</f>
        <v/>
      </c>
      <c r="K1136" s="11">
        <f>IF(E1136="Private",G1136,"")</f>
        <v/>
      </c>
    </row>
    <row r="1137">
      <c r="A1137" s="9" t="n">
        <v>214166</v>
      </c>
      <c r="B1137" s="9" t="inlineStr">
        <is>
          <t>Mount Aloysius College</t>
        </is>
      </c>
      <c r="C1137" s="9" t="inlineStr">
        <is>
          <t>Cresson</t>
        </is>
      </c>
      <c r="D1137" s="9" t="inlineStr">
        <is>
          <t>PA</t>
        </is>
      </c>
      <c r="E1137" s="9" t="inlineStr">
        <is>
          <t>Private</t>
        </is>
      </c>
      <c r="F1137" s="11" t="n">
        <v>22344</v>
      </c>
      <c r="G1137" s="11" t="n">
        <v>46165</v>
      </c>
      <c r="H1137" s="9">
        <f>COUNTIF($G$5:$G$1531,"&gt;"&amp;G1137)+1</f>
        <v/>
      </c>
      <c r="I1137" s="9" t="inlineStr"/>
      <c r="J1137" s="11">
        <f>IF(E1137="Private",F1137,"")</f>
        <v/>
      </c>
      <c r="K1137" s="11">
        <f>IF(E1137="Private",G1137,"")</f>
        <v/>
      </c>
    </row>
    <row r="1138">
      <c r="A1138" s="9" t="n">
        <v>194392</v>
      </c>
      <c r="B1138" s="9" t="inlineStr">
        <is>
          <t>Paul Smiths College of Arts and Science</t>
        </is>
      </c>
      <c r="C1138" s="9" t="inlineStr">
        <is>
          <t>Paul Smiths</t>
        </is>
      </c>
      <c r="D1138" s="9" t="inlineStr">
        <is>
          <t>NY</t>
        </is>
      </c>
      <c r="E1138" s="9" t="inlineStr">
        <is>
          <t>Private</t>
        </is>
      </c>
      <c r="F1138" s="11" t="n">
        <v>26683</v>
      </c>
      <c r="G1138" s="11" t="n">
        <v>46145</v>
      </c>
      <c r="H1138" s="9">
        <f>COUNTIF($G$5:$G$1531,"&gt;"&amp;G1138)+1</f>
        <v/>
      </c>
      <c r="I1138" s="9" t="inlineStr"/>
      <c r="J1138" s="11">
        <f>IF(E1138="Private",F1138,"")</f>
        <v/>
      </c>
      <c r="K1138" s="11">
        <f>IF(E1138="Private",G1138,"")</f>
        <v/>
      </c>
    </row>
    <row r="1139">
      <c r="A1139" s="9" t="n">
        <v>176035</v>
      </c>
      <c r="B1139" s="9" t="inlineStr">
        <is>
          <t>Mississippi University for Women</t>
        </is>
      </c>
      <c r="C1139" s="9" t="inlineStr">
        <is>
          <t>Columbus</t>
        </is>
      </c>
      <c r="D1139" s="9" t="inlineStr">
        <is>
          <t>MS</t>
        </is>
      </c>
      <c r="E1139" s="9" t="inlineStr">
        <is>
          <t>Public</t>
        </is>
      </c>
      <c r="F1139" s="11" t="n">
        <v>12411</v>
      </c>
      <c r="G1139" s="11" t="n">
        <v>46128</v>
      </c>
      <c r="H1139" s="9">
        <f>COUNTIF($G$5:$G$1531,"&gt;"&amp;G1139)+1</f>
        <v/>
      </c>
      <c r="I1139" s="9" t="inlineStr"/>
      <c r="J1139" s="11">
        <f>IF(E1139="Private",F1139,"")</f>
        <v/>
      </c>
      <c r="K1139" s="11">
        <f>IF(E1139="Private",G1139,"")</f>
        <v/>
      </c>
    </row>
    <row r="1140">
      <c r="A1140" s="9" t="n">
        <v>245953</v>
      </c>
      <c r="B1140" s="9" t="inlineStr">
        <is>
          <t>Mid-America Christian University</t>
        </is>
      </c>
      <c r="C1140" s="9" t="inlineStr">
        <is>
          <t>Oklahoma City</t>
        </is>
      </c>
      <c r="D1140" s="9" t="inlineStr">
        <is>
          <t>OK</t>
        </is>
      </c>
      <c r="E1140" s="9" t="inlineStr">
        <is>
          <t>Private</t>
        </is>
      </c>
      <c r="F1140" s="11" t="n">
        <v>16692</v>
      </c>
      <c r="G1140" s="11" t="n">
        <v>46116</v>
      </c>
      <c r="H1140" s="9">
        <f>COUNTIF($G$5:$G$1531,"&gt;"&amp;G1140)+1</f>
        <v/>
      </c>
      <c r="I1140" s="9" t="inlineStr"/>
      <c r="J1140" s="11">
        <f>IF(E1140="Private",F1140,"")</f>
        <v/>
      </c>
      <c r="K1140" s="11">
        <f>IF(E1140="Private",G1140,"")</f>
        <v/>
      </c>
    </row>
    <row r="1141">
      <c r="A1141" s="9" t="n">
        <v>173142</v>
      </c>
      <c r="B1141" s="9" t="inlineStr">
        <is>
          <t>Bethany Lutheran College</t>
        </is>
      </c>
      <c r="C1141" s="9" t="inlineStr">
        <is>
          <t>Mankato</t>
        </is>
      </c>
      <c r="D1141" s="9" t="inlineStr">
        <is>
          <t>MN</t>
        </is>
      </c>
      <c r="E1141" s="9" t="inlineStr">
        <is>
          <t>Private</t>
        </is>
      </c>
      <c r="F1141" s="11" t="n">
        <v>20148</v>
      </c>
      <c r="G1141" s="11" t="n">
        <v>46110</v>
      </c>
      <c r="H1141" s="9">
        <f>COUNTIF($G$5:$G$1531,"&gt;"&amp;G1141)+1</f>
        <v/>
      </c>
      <c r="I1141" s="9" t="inlineStr"/>
      <c r="J1141" s="11">
        <f>IF(E1141="Private",F1141,"")</f>
        <v/>
      </c>
      <c r="K1141" s="11">
        <f>IF(E1141="Private",G1141,"")</f>
        <v/>
      </c>
    </row>
    <row r="1142">
      <c r="A1142" s="9" t="n">
        <v>177144</v>
      </c>
      <c r="B1142" s="9" t="inlineStr">
        <is>
          <t>Culver-Stockton College</t>
        </is>
      </c>
      <c r="C1142" s="9" t="inlineStr">
        <is>
          <t>Canton</t>
        </is>
      </c>
      <c r="D1142" s="9" t="inlineStr">
        <is>
          <t>MO</t>
        </is>
      </c>
      <c r="E1142" s="9" t="inlineStr">
        <is>
          <t>Private</t>
        </is>
      </c>
      <c r="F1142" s="11" t="n">
        <v>21983</v>
      </c>
      <c r="G1142" s="11" t="n">
        <v>46092</v>
      </c>
      <c r="H1142" s="9">
        <f>COUNTIF($G$5:$G$1531,"&gt;"&amp;G1142)+1</f>
        <v/>
      </c>
      <c r="I1142" s="9" t="inlineStr"/>
      <c r="J1142" s="11">
        <f>IF(E1142="Private",F1142,"")</f>
        <v/>
      </c>
      <c r="K1142" s="11">
        <f>IF(E1142="Private",G1142,"")</f>
        <v/>
      </c>
    </row>
    <row r="1143">
      <c r="A1143" s="9" t="n">
        <v>138275</v>
      </c>
      <c r="B1143" s="9" t="inlineStr">
        <is>
          <t>Warner University</t>
        </is>
      </c>
      <c r="C1143" s="9" t="inlineStr">
        <is>
          <t>Lake Wales</t>
        </is>
      </c>
      <c r="D1143" s="9" t="inlineStr">
        <is>
          <t>FL</t>
        </is>
      </c>
      <c r="E1143" s="9" t="inlineStr">
        <is>
          <t>Private</t>
        </is>
      </c>
      <c r="F1143" s="11" t="n">
        <v>19748</v>
      </c>
      <c r="G1143" s="11" t="n">
        <v>46086</v>
      </c>
      <c r="H1143" s="9">
        <f>COUNTIF($G$5:$G$1531,"&gt;"&amp;G1143)+1</f>
        <v/>
      </c>
      <c r="I1143" s="9" t="inlineStr"/>
      <c r="J1143" s="11">
        <f>IF(E1143="Private",F1143,"")</f>
        <v/>
      </c>
      <c r="K1143" s="11">
        <f>IF(E1143="Private",G1143,"")</f>
        <v/>
      </c>
    </row>
    <row r="1144">
      <c r="A1144" s="9" t="n">
        <v>142328</v>
      </c>
      <c r="B1144" s="9" t="inlineStr">
        <is>
          <t>Lewis-Clark State College</t>
        </is>
      </c>
      <c r="C1144" s="9" t="inlineStr">
        <is>
          <t>Lewiston</t>
        </is>
      </c>
      <c r="D1144" s="9" t="inlineStr">
        <is>
          <t>ID</t>
        </is>
      </c>
      <c r="E1144" s="9" t="inlineStr">
        <is>
          <t>Public</t>
        </is>
      </c>
      <c r="F1144" s="11" t="n">
        <v>15635</v>
      </c>
      <c r="G1144" s="11" t="n">
        <v>46001</v>
      </c>
      <c r="H1144" s="9">
        <f>COUNTIF($G$5:$G$1531,"&gt;"&amp;G1144)+1</f>
        <v/>
      </c>
      <c r="I1144" s="9" t="inlineStr"/>
      <c r="J1144" s="11">
        <f>IF(E1144="Private",F1144,"")</f>
        <v/>
      </c>
      <c r="K1144" s="11">
        <f>IF(E1144="Private",G1144,"")</f>
        <v/>
      </c>
    </row>
    <row r="1145">
      <c r="A1145" s="9" t="n">
        <v>165167</v>
      </c>
      <c r="B1145" s="9" t="inlineStr">
        <is>
          <t>Cambridge College</t>
        </is>
      </c>
      <c r="C1145" s="9" t="inlineStr">
        <is>
          <t>Boston</t>
        </is>
      </c>
      <c r="D1145" s="9" t="inlineStr">
        <is>
          <t>MA</t>
        </is>
      </c>
      <c r="E1145" s="9" t="inlineStr">
        <is>
          <t>Private</t>
        </is>
      </c>
      <c r="F1145" s="11" t="n">
        <v>31072</v>
      </c>
      <c r="G1145" s="11" t="n">
        <v>45998</v>
      </c>
      <c r="H1145" s="9">
        <f>COUNTIF($G$5:$G$1531,"&gt;"&amp;G1145)+1</f>
        <v/>
      </c>
      <c r="I1145" s="9" t="inlineStr"/>
      <c r="J1145" s="11">
        <f>IF(E1145="Private",F1145,"")</f>
        <v/>
      </c>
      <c r="K1145" s="11">
        <f>IF(E1145="Private",G1145,"")</f>
        <v/>
      </c>
    </row>
    <row r="1146">
      <c r="A1146" s="9" t="n">
        <v>221731</v>
      </c>
      <c r="B1146" s="9" t="inlineStr">
        <is>
          <t>Tennessee Wesleyan University</t>
        </is>
      </c>
      <c r="C1146" s="9" t="inlineStr">
        <is>
          <t>Athens</t>
        </is>
      </c>
      <c r="D1146" s="9" t="inlineStr">
        <is>
          <t>TN</t>
        </is>
      </c>
      <c r="E1146" s="9" t="inlineStr">
        <is>
          <t>Private</t>
        </is>
      </c>
      <c r="F1146" s="11" t="n">
        <v>14836</v>
      </c>
      <c r="G1146" s="11" t="n">
        <v>45989</v>
      </c>
      <c r="H1146" s="9">
        <f>COUNTIF($G$5:$G$1531,"&gt;"&amp;G1146)+1</f>
        <v/>
      </c>
      <c r="I1146" s="9" t="inlineStr"/>
      <c r="J1146" s="11">
        <f>IF(E1146="Private",F1146,"")</f>
        <v/>
      </c>
      <c r="K1146" s="11">
        <f>IF(E1146="Private",G1146,"")</f>
        <v/>
      </c>
    </row>
    <row r="1147">
      <c r="A1147" s="9" t="n">
        <v>140951</v>
      </c>
      <c r="B1147" s="9" t="inlineStr">
        <is>
          <t>Savannah College of Art and Design</t>
        </is>
      </c>
      <c r="C1147" s="9" t="inlineStr">
        <is>
          <t>Savannah</t>
        </is>
      </c>
      <c r="D1147" s="9" t="inlineStr">
        <is>
          <t>GA</t>
        </is>
      </c>
      <c r="E1147" s="9" t="inlineStr">
        <is>
          <t>Private</t>
        </is>
      </c>
      <c r="F1147" s="11" t="n">
        <v>49430</v>
      </c>
      <c r="G1147" s="11" t="n">
        <v>45954</v>
      </c>
      <c r="H1147" s="9">
        <f>COUNTIF($G$5:$G$1531,"&gt;"&amp;G1147)+1</f>
        <v/>
      </c>
      <c r="I1147" s="9" t="inlineStr"/>
      <c r="J1147" s="11">
        <f>IF(E1147="Private",F1147,"")</f>
        <v/>
      </c>
      <c r="K1147" s="11">
        <f>IF(E1147="Private",G1147,"")</f>
        <v/>
      </c>
    </row>
    <row r="1148">
      <c r="A1148" s="9" t="n">
        <v>106704</v>
      </c>
      <c r="B1148" s="9" t="inlineStr">
        <is>
          <t>University of Central Arkansas</t>
        </is>
      </c>
      <c r="C1148" s="9" t="inlineStr">
        <is>
          <t>Conway</t>
        </is>
      </c>
      <c r="D1148" s="9" t="inlineStr">
        <is>
          <t>AR</t>
        </is>
      </c>
      <c r="E1148" s="9" t="inlineStr">
        <is>
          <t>Public</t>
        </is>
      </c>
      <c r="F1148" s="11" t="n">
        <v>16511</v>
      </c>
      <c r="G1148" s="11" t="n">
        <v>45938</v>
      </c>
      <c r="H1148" s="9">
        <f>COUNTIF($G$5:$G$1531,"&gt;"&amp;G1148)+1</f>
        <v/>
      </c>
      <c r="I1148" s="9" t="inlineStr"/>
      <c r="J1148" s="11">
        <f>IF(E1148="Private",F1148,"")</f>
        <v/>
      </c>
      <c r="K1148" s="11">
        <f>IF(E1148="Private",G1148,"")</f>
        <v/>
      </c>
    </row>
    <row r="1149">
      <c r="A1149" s="9" t="n">
        <v>187897</v>
      </c>
      <c r="B1149" s="9" t="inlineStr">
        <is>
          <t>New Mexico Highlands University</t>
        </is>
      </c>
      <c r="C1149" s="9" t="inlineStr">
        <is>
          <t>Las Vegas</t>
        </is>
      </c>
      <c r="D1149" s="9" t="inlineStr">
        <is>
          <t>NM</t>
        </is>
      </c>
      <c r="E1149" s="9" t="inlineStr">
        <is>
          <t>Public</t>
        </is>
      </c>
      <c r="F1149" s="11" t="n">
        <v>14838</v>
      </c>
      <c r="G1149" s="11" t="n">
        <v>45937</v>
      </c>
      <c r="H1149" s="9">
        <f>COUNTIF($G$5:$G$1531,"&gt;"&amp;G1149)+1</f>
        <v/>
      </c>
      <c r="I1149" s="9" t="inlineStr"/>
      <c r="J1149" s="11">
        <f>IF(E1149="Private",F1149,"")</f>
        <v/>
      </c>
      <c r="K1149" s="11">
        <f>IF(E1149="Private",G1149,"")</f>
        <v/>
      </c>
    </row>
    <row r="1150">
      <c r="A1150" s="9" t="n">
        <v>217688</v>
      </c>
      <c r="B1150" s="9" t="inlineStr">
        <is>
          <t>Charleston Southern University</t>
        </is>
      </c>
      <c r="C1150" s="9" t="inlineStr">
        <is>
          <t>Charleston</t>
        </is>
      </c>
      <c r="D1150" s="9" t="inlineStr">
        <is>
          <t>SC</t>
        </is>
      </c>
      <c r="E1150" s="9" t="inlineStr">
        <is>
          <t>Private</t>
        </is>
      </c>
      <c r="F1150" s="11" t="n">
        <v>21666</v>
      </c>
      <c r="G1150" s="11" t="n">
        <v>45898</v>
      </c>
      <c r="H1150" s="9">
        <f>COUNTIF($G$5:$G$1531,"&gt;"&amp;G1150)+1</f>
        <v/>
      </c>
      <c r="I1150" s="9" t="inlineStr"/>
      <c r="J1150" s="11">
        <f>IF(E1150="Private",F1150,"")</f>
        <v/>
      </c>
      <c r="K1150" s="11">
        <f>IF(E1150="Private",G1150,"")</f>
        <v/>
      </c>
    </row>
    <row r="1151">
      <c r="A1151" s="9" t="n">
        <v>199209</v>
      </c>
      <c r="B1151" s="9" t="inlineStr">
        <is>
          <t>North Carolina Wesleyan University</t>
        </is>
      </c>
      <c r="C1151" s="9" t="inlineStr">
        <is>
          <t>Rocky Mount</t>
        </is>
      </c>
      <c r="D1151" s="9" t="inlineStr">
        <is>
          <t>NC</t>
        </is>
      </c>
      <c r="E1151" s="9" t="inlineStr">
        <is>
          <t>Private</t>
        </is>
      </c>
      <c r="F1151" s="11" t="n">
        <v>17432</v>
      </c>
      <c r="G1151" s="11" t="n">
        <v>45873</v>
      </c>
      <c r="H1151" s="9">
        <f>COUNTIF($G$5:$G$1531,"&gt;"&amp;G1151)+1</f>
        <v/>
      </c>
      <c r="I1151" s="9" t="inlineStr"/>
      <c r="J1151" s="11">
        <f>IF(E1151="Private",F1151,"")</f>
        <v/>
      </c>
      <c r="K1151" s="11">
        <f>IF(E1151="Private",G1151,"")</f>
        <v/>
      </c>
    </row>
    <row r="1152">
      <c r="A1152" s="9" t="n">
        <v>151102</v>
      </c>
      <c r="B1152" s="9" t="inlineStr">
        <is>
          <t>Purdue University Fort Wayne</t>
        </is>
      </c>
      <c r="C1152" s="9" t="inlineStr">
        <is>
          <t>Fort Wayne</t>
        </is>
      </c>
      <c r="D1152" s="9" t="inlineStr">
        <is>
          <t>IN</t>
        </is>
      </c>
      <c r="E1152" s="9" t="inlineStr">
        <is>
          <t>Public</t>
        </is>
      </c>
      <c r="F1152" s="11" t="n">
        <v>13171</v>
      </c>
      <c r="G1152" s="11" t="n">
        <v>45872</v>
      </c>
      <c r="H1152" s="9">
        <f>COUNTIF($G$5:$G$1531,"&gt;"&amp;G1152)+1</f>
        <v/>
      </c>
      <c r="I1152" s="9" t="inlineStr"/>
      <c r="J1152" s="11">
        <f>IF(E1152="Private",F1152,"")</f>
        <v/>
      </c>
      <c r="K1152" s="11">
        <f>IF(E1152="Private",G1152,"")</f>
        <v/>
      </c>
    </row>
    <row r="1153">
      <c r="A1153" s="9" t="n">
        <v>215442</v>
      </c>
      <c r="B1153" s="9" t="inlineStr">
        <is>
          <t>Point Park University</t>
        </is>
      </c>
      <c r="C1153" s="9" t="inlineStr">
        <is>
          <t>Pittsburgh</t>
        </is>
      </c>
      <c r="D1153" s="9" t="inlineStr">
        <is>
          <t>PA</t>
        </is>
      </c>
      <c r="E1153" s="9" t="inlineStr">
        <is>
          <t>Private</t>
        </is>
      </c>
      <c r="F1153" s="11" t="n">
        <v>25942</v>
      </c>
      <c r="G1153" s="11" t="n">
        <v>45856</v>
      </c>
      <c r="H1153" s="9">
        <f>COUNTIF($G$5:$G$1531,"&gt;"&amp;G1153)+1</f>
        <v/>
      </c>
      <c r="I1153" s="9" t="inlineStr"/>
      <c r="J1153" s="11">
        <f>IF(E1153="Private",F1153,"")</f>
        <v/>
      </c>
      <c r="K1153" s="11">
        <f>IF(E1153="Private",G1153,"")</f>
        <v/>
      </c>
    </row>
    <row r="1154">
      <c r="A1154" s="9" t="n">
        <v>155937</v>
      </c>
      <c r="B1154" s="9" t="inlineStr">
        <is>
          <t>Sterling College (Sterling, KS)</t>
        </is>
      </c>
      <c r="C1154" s="9" t="inlineStr">
        <is>
          <t>Sterling</t>
        </is>
      </c>
      <c r="D1154" s="9" t="inlineStr">
        <is>
          <t>KS</t>
        </is>
      </c>
      <c r="E1154" s="9" t="inlineStr">
        <is>
          <t>Private</t>
        </is>
      </c>
      <c r="F1154" s="11" t="n">
        <v>22371</v>
      </c>
      <c r="G1154" s="11" t="n">
        <v>45846</v>
      </c>
      <c r="H1154" s="9">
        <f>COUNTIF($G$5:$G$1531,"&gt;"&amp;G1154)+1</f>
        <v/>
      </c>
      <c r="I1154" s="9" t="inlineStr"/>
      <c r="J1154" s="11">
        <f>IF(E1154="Private",F1154,"")</f>
        <v/>
      </c>
      <c r="K1154" s="11">
        <f>IF(E1154="Private",G1154,"")</f>
        <v/>
      </c>
    </row>
    <row r="1155">
      <c r="A1155" s="9" t="n">
        <v>127556</v>
      </c>
      <c r="B1155" s="9" t="inlineStr">
        <is>
          <t>Colorado Mesa University</t>
        </is>
      </c>
      <c r="C1155" s="9" t="inlineStr">
        <is>
          <t>Grand Junction</t>
        </is>
      </c>
      <c r="D1155" s="9" t="inlineStr">
        <is>
          <t>CO</t>
        </is>
      </c>
      <c r="E1155" s="9" t="inlineStr">
        <is>
          <t>Public</t>
        </is>
      </c>
      <c r="F1155" s="11" t="n">
        <v>15103</v>
      </c>
      <c r="G1155" s="11" t="n">
        <v>45823</v>
      </c>
      <c r="H1155" s="9">
        <f>COUNTIF($G$5:$G$1531,"&gt;"&amp;G1155)+1</f>
        <v/>
      </c>
      <c r="I1155" s="9" t="inlineStr"/>
      <c r="J1155" s="11">
        <f>IF(E1155="Private",F1155,"")</f>
        <v/>
      </c>
      <c r="K1155" s="11">
        <f>IF(E1155="Private",G1155,"")</f>
        <v/>
      </c>
    </row>
    <row r="1156">
      <c r="A1156" s="9" t="n">
        <v>147536</v>
      </c>
      <c r="B1156" s="9" t="inlineStr">
        <is>
          <t>National Louis University</t>
        </is>
      </c>
      <c r="C1156" s="9" t="inlineStr">
        <is>
          <t>Chicago</t>
        </is>
      </c>
      <c r="D1156" s="9" t="inlineStr">
        <is>
          <t>IL</t>
        </is>
      </c>
      <c r="E1156" s="9" t="inlineStr">
        <is>
          <t>Private</t>
        </is>
      </c>
      <c r="F1156" s="11" t="n">
        <v>12641</v>
      </c>
      <c r="G1156" s="11" t="n">
        <v>45799</v>
      </c>
      <c r="H1156" s="9">
        <f>COUNTIF($G$5:$G$1531,"&gt;"&amp;G1156)+1</f>
        <v/>
      </c>
      <c r="I1156" s="9" t="inlineStr"/>
      <c r="J1156" s="11">
        <f>IF(E1156="Private",F1156,"")</f>
        <v/>
      </c>
      <c r="K1156" s="11">
        <f>IF(E1156="Private",G1156,"")</f>
        <v/>
      </c>
    </row>
    <row r="1157">
      <c r="A1157" s="9" t="n">
        <v>156620</v>
      </c>
      <c r="B1157" s="9" t="inlineStr">
        <is>
          <t>Eastern Kentucky University</t>
        </is>
      </c>
      <c r="C1157" s="9" t="inlineStr">
        <is>
          <t>Richmond</t>
        </is>
      </c>
      <c r="D1157" s="9" t="inlineStr">
        <is>
          <t>KY</t>
        </is>
      </c>
      <c r="E1157" s="9" t="inlineStr">
        <is>
          <t>Public</t>
        </is>
      </c>
      <c r="F1157" s="11" t="n">
        <v>11040</v>
      </c>
      <c r="G1157" s="11" t="n">
        <v>45795</v>
      </c>
      <c r="H1157" s="9">
        <f>COUNTIF($G$5:$G$1531,"&gt;"&amp;G1157)+1</f>
        <v/>
      </c>
      <c r="I1157" s="9" t="inlineStr"/>
      <c r="J1157" s="11">
        <f>IF(E1157="Private",F1157,"")</f>
        <v/>
      </c>
      <c r="K1157" s="11">
        <f>IF(E1157="Private",G1157,"")</f>
        <v/>
      </c>
    </row>
    <row r="1158">
      <c r="A1158" s="9" t="n">
        <v>207865</v>
      </c>
      <c r="B1158" s="9" t="inlineStr">
        <is>
          <t>Southwestern Oklahoma State University</t>
        </is>
      </c>
      <c r="C1158" s="9" t="inlineStr">
        <is>
          <t>Weatherford</t>
        </is>
      </c>
      <c r="D1158" s="9" t="inlineStr">
        <is>
          <t>OK</t>
        </is>
      </c>
      <c r="E1158" s="9" t="inlineStr">
        <is>
          <t>Public</t>
        </is>
      </c>
      <c r="F1158" s="11" t="n">
        <v>14459</v>
      </c>
      <c r="G1158" s="11" t="n">
        <v>45744</v>
      </c>
      <c r="H1158" s="9">
        <f>COUNTIF($G$5:$G$1531,"&gt;"&amp;G1158)+1</f>
        <v/>
      </c>
      <c r="I1158" s="9" t="inlineStr"/>
      <c r="J1158" s="11">
        <f>IF(E1158="Private",F1158,"")</f>
        <v/>
      </c>
      <c r="K1158" s="11">
        <f>IF(E1158="Private",G1158,"")</f>
        <v/>
      </c>
    </row>
    <row r="1159">
      <c r="A1159" s="9" t="n">
        <v>207564</v>
      </c>
      <c r="B1159" s="9" t="inlineStr">
        <is>
          <t>Oklahoma State University Institute of Technology</t>
        </is>
      </c>
      <c r="C1159" s="9" t="inlineStr">
        <is>
          <t>Okmulgee</t>
        </is>
      </c>
      <c r="D1159" s="9" t="inlineStr">
        <is>
          <t>OK</t>
        </is>
      </c>
      <c r="E1159" s="9" t="inlineStr">
        <is>
          <t>Public</t>
        </is>
      </c>
      <c r="F1159" s="11" t="n">
        <v>10999</v>
      </c>
      <c r="G1159" s="11" t="n">
        <v>45634</v>
      </c>
      <c r="H1159" s="9">
        <f>COUNTIF($G$5:$G$1531,"&gt;"&amp;G1159)+1</f>
        <v/>
      </c>
      <c r="I1159" s="9" t="inlineStr"/>
      <c r="J1159" s="11">
        <f>IF(E1159="Private",F1159,"")</f>
        <v/>
      </c>
      <c r="K1159" s="11">
        <f>IF(E1159="Private",G1159,"")</f>
        <v/>
      </c>
    </row>
    <row r="1160">
      <c r="A1160" s="9" t="n">
        <v>142276</v>
      </c>
      <c r="B1160" s="9" t="inlineStr">
        <is>
          <t>Idaho State University</t>
        </is>
      </c>
      <c r="C1160" s="9" t="inlineStr">
        <is>
          <t>Pocatello</t>
        </is>
      </c>
      <c r="D1160" s="9" t="inlineStr">
        <is>
          <t>ID</t>
        </is>
      </c>
      <c r="E1160" s="9" t="inlineStr">
        <is>
          <t>Public</t>
        </is>
      </c>
      <c r="F1160" s="11" t="n">
        <v>12193</v>
      </c>
      <c r="G1160" s="11" t="n">
        <v>45608</v>
      </c>
      <c r="H1160" s="9">
        <f>COUNTIF($G$5:$G$1531,"&gt;"&amp;G1160)+1</f>
        <v/>
      </c>
      <c r="I1160" s="9" t="inlineStr"/>
      <c r="J1160" s="11">
        <f>IF(E1160="Private",F1160,"")</f>
        <v/>
      </c>
      <c r="K1160" s="11">
        <f>IF(E1160="Private",G1160,"")</f>
        <v/>
      </c>
    </row>
    <row r="1161">
      <c r="A1161" s="9" t="n">
        <v>138293</v>
      </c>
      <c r="B1161" s="9" t="inlineStr">
        <is>
          <t>Webber International University</t>
        </is>
      </c>
      <c r="C1161" s="9" t="inlineStr">
        <is>
          <t>Babson Park</t>
        </is>
      </c>
      <c r="D1161" s="9" t="inlineStr">
        <is>
          <t>FL</t>
        </is>
      </c>
      <c r="E1161" s="9" t="inlineStr">
        <is>
          <t>Private</t>
        </is>
      </c>
      <c r="F1161" s="11" t="n">
        <v>29529</v>
      </c>
      <c r="G1161" s="11" t="n">
        <v>45606</v>
      </c>
      <c r="H1161" s="9">
        <f>COUNTIF($G$5:$G$1531,"&gt;"&amp;G1161)+1</f>
        <v/>
      </c>
      <c r="I1161" s="9" t="inlineStr"/>
      <c r="J1161" s="11">
        <f>IF(E1161="Private",F1161,"")</f>
        <v/>
      </c>
      <c r="K1161" s="11">
        <f>IF(E1161="Private",G1161,"")</f>
        <v/>
      </c>
    </row>
    <row r="1162">
      <c r="A1162" s="9" t="n">
        <v>218645</v>
      </c>
      <c r="B1162" s="9" t="inlineStr">
        <is>
          <t>University of South Carolina Aiken</t>
        </is>
      </c>
      <c r="C1162" s="9" t="inlineStr">
        <is>
          <t>Aiken</t>
        </is>
      </c>
      <c r="D1162" s="9" t="inlineStr">
        <is>
          <t>SC</t>
        </is>
      </c>
      <c r="E1162" s="9" t="inlineStr">
        <is>
          <t>Public</t>
        </is>
      </c>
      <c r="F1162" s="11" t="n">
        <v>11641</v>
      </c>
      <c r="G1162" s="11" t="n">
        <v>45603</v>
      </c>
      <c r="H1162" s="9">
        <f>COUNTIF($G$5:$G$1531,"&gt;"&amp;G1162)+1</f>
        <v/>
      </c>
      <c r="I1162" s="9" t="inlineStr"/>
      <c r="J1162" s="11">
        <f>IF(E1162="Private",F1162,"")</f>
        <v/>
      </c>
      <c r="K1162" s="11">
        <f>IF(E1162="Private",G1162,"")</f>
        <v/>
      </c>
    </row>
    <row r="1163">
      <c r="A1163" s="9" t="n">
        <v>239071</v>
      </c>
      <c r="B1163" s="9" t="inlineStr">
        <is>
          <t>Maranatha Baptist University</t>
        </is>
      </c>
      <c r="C1163" s="9" t="inlineStr">
        <is>
          <t>Watertown</t>
        </is>
      </c>
      <c r="D1163" s="9" t="inlineStr">
        <is>
          <t>WI</t>
        </is>
      </c>
      <c r="E1163" s="9" t="inlineStr">
        <is>
          <t>Private</t>
        </is>
      </c>
      <c r="F1163" s="11" t="n">
        <v>26005</v>
      </c>
      <c r="G1163" s="11" t="n">
        <v>45593</v>
      </c>
      <c r="H1163" s="9">
        <f>COUNTIF($G$5:$G$1531,"&gt;"&amp;G1163)+1</f>
        <v/>
      </c>
      <c r="I1163" s="9" t="inlineStr"/>
      <c r="J1163" s="11">
        <f>IF(E1163="Private",F1163,"")</f>
        <v/>
      </c>
      <c r="K1163" s="11">
        <f>IF(E1163="Private",G1163,"")</f>
        <v/>
      </c>
    </row>
    <row r="1164">
      <c r="A1164" s="9" t="n">
        <v>440794</v>
      </c>
      <c r="B1164" s="9" t="inlineStr">
        <is>
          <t>Pillar College</t>
        </is>
      </c>
      <c r="C1164" s="9" t="inlineStr">
        <is>
          <t>Newark</t>
        </is>
      </c>
      <c r="D1164" s="9" t="inlineStr">
        <is>
          <t>NJ</t>
        </is>
      </c>
      <c r="E1164" s="9" t="inlineStr">
        <is>
          <t>Private</t>
        </is>
      </c>
      <c r="F1164" s="11" t="n">
        <v>8470</v>
      </c>
      <c r="G1164" s="11" t="n">
        <v>45577</v>
      </c>
      <c r="H1164" s="9">
        <f>COUNTIF($G$5:$G$1531,"&gt;"&amp;G1164)+1</f>
        <v/>
      </c>
      <c r="I1164" s="9" t="inlineStr"/>
      <c r="J1164" s="11">
        <f>IF(E1164="Private",F1164,"")</f>
        <v/>
      </c>
      <c r="K1164" s="11">
        <f>IF(E1164="Private",G1164,"")</f>
        <v/>
      </c>
    </row>
    <row r="1165">
      <c r="A1165" s="9" t="n">
        <v>198835</v>
      </c>
      <c r="B1165" s="9" t="inlineStr">
        <is>
          <t>Lenoir-Rhyne University</t>
        </is>
      </c>
      <c r="C1165" s="9" t="inlineStr">
        <is>
          <t>Hickory</t>
        </is>
      </c>
      <c r="D1165" s="9" t="inlineStr">
        <is>
          <t>NC</t>
        </is>
      </c>
      <c r="E1165" s="9" t="inlineStr">
        <is>
          <t>Private</t>
        </is>
      </c>
      <c r="F1165" s="11" t="n">
        <v>20689</v>
      </c>
      <c r="G1165" s="11" t="n">
        <v>45543</v>
      </c>
      <c r="H1165" s="9">
        <f>COUNTIF($G$5:$G$1531,"&gt;"&amp;G1165)+1</f>
        <v/>
      </c>
      <c r="I1165" s="9" t="inlineStr"/>
      <c r="J1165" s="11">
        <f>IF(E1165="Private",F1165,"")</f>
        <v/>
      </c>
      <c r="K1165" s="11">
        <f>IF(E1165="Private",G1165,"")</f>
        <v/>
      </c>
    </row>
    <row r="1166">
      <c r="A1166" s="9" t="n">
        <v>234155</v>
      </c>
      <c r="B1166" s="9" t="inlineStr">
        <is>
          <t>Virginia State University</t>
        </is>
      </c>
      <c r="C1166" s="9" t="inlineStr">
        <is>
          <t>Petersburg</t>
        </is>
      </c>
      <c r="D1166" s="9" t="inlineStr">
        <is>
          <t>VA</t>
        </is>
      </c>
      <c r="E1166" s="9" t="inlineStr">
        <is>
          <t>Public</t>
        </is>
      </c>
      <c r="F1166" s="11" t="n">
        <v>15840</v>
      </c>
      <c r="G1166" s="11" t="n">
        <v>45543</v>
      </c>
      <c r="H1166" s="9">
        <f>COUNTIF($G$5:$G$1531,"&gt;"&amp;G1166)+1</f>
        <v/>
      </c>
      <c r="I1166" s="9" t="inlineStr"/>
      <c r="J1166" s="11">
        <f>IF(E1166="Private",F1166,"")</f>
        <v/>
      </c>
      <c r="K1166" s="11">
        <f>IF(E1166="Private",G1166,"")</f>
        <v/>
      </c>
    </row>
    <row r="1167">
      <c r="A1167" s="9" t="n">
        <v>224545</v>
      </c>
      <c r="B1167" s="9" t="inlineStr">
        <is>
          <t>Texas A&amp;M University-Texarkana</t>
        </is>
      </c>
      <c r="C1167" s="9" t="inlineStr">
        <is>
          <t>Texarkana</t>
        </is>
      </c>
      <c r="D1167" s="9" t="inlineStr">
        <is>
          <t>TX</t>
        </is>
      </c>
      <c r="E1167" s="9" t="inlineStr">
        <is>
          <t>Public</t>
        </is>
      </c>
      <c r="F1167" s="11" t="n">
        <v>12997</v>
      </c>
      <c r="G1167" s="11" t="n">
        <v>45515</v>
      </c>
      <c r="H1167" s="9">
        <f>COUNTIF($G$5:$G$1531,"&gt;"&amp;G1167)+1</f>
        <v/>
      </c>
      <c r="I1167" s="9" t="inlineStr"/>
      <c r="J1167" s="11">
        <f>IF(E1167="Private",F1167,"")</f>
        <v/>
      </c>
      <c r="K1167" s="11">
        <f>IF(E1167="Private",G1167,"")</f>
        <v/>
      </c>
    </row>
    <row r="1168">
      <c r="A1168" s="9" t="n">
        <v>156356</v>
      </c>
      <c r="B1168" s="9" t="inlineStr">
        <is>
          <t>Brescia University</t>
        </is>
      </c>
      <c r="C1168" s="9" t="inlineStr">
        <is>
          <t>Owensboro</t>
        </is>
      </c>
      <c r="D1168" s="9" t="inlineStr">
        <is>
          <t>KY</t>
        </is>
      </c>
      <c r="E1168" s="9" t="inlineStr">
        <is>
          <t>Private</t>
        </is>
      </c>
      <c r="F1168" s="11" t="n">
        <v>8709</v>
      </c>
      <c r="G1168" s="11" t="n">
        <v>45500</v>
      </c>
      <c r="H1168" s="9">
        <f>COUNTIF($G$5:$G$1531,"&gt;"&amp;G1168)+1</f>
        <v/>
      </c>
      <c r="I1168" s="9" t="inlineStr"/>
      <c r="J1168" s="11">
        <f>IF(E1168="Private",F1168,"")</f>
        <v/>
      </c>
      <c r="K1168" s="11">
        <f>IF(E1168="Private",G1168,"")</f>
        <v/>
      </c>
    </row>
    <row r="1169">
      <c r="A1169" s="9" t="n">
        <v>159966</v>
      </c>
      <c r="B1169" s="9" t="inlineStr">
        <is>
          <t>Nicholls State University</t>
        </is>
      </c>
      <c r="C1169" s="9" t="inlineStr">
        <is>
          <t>Thibodaux</t>
        </is>
      </c>
      <c r="D1169" s="9" t="inlineStr">
        <is>
          <t>LA</t>
        </is>
      </c>
      <c r="E1169" s="9" t="inlineStr">
        <is>
          <t>Public</t>
        </is>
      </c>
      <c r="F1169" s="11" t="n">
        <v>12947</v>
      </c>
      <c r="G1169" s="11" t="n">
        <v>45454</v>
      </c>
      <c r="H1169" s="9">
        <f>COUNTIF($G$5:$G$1531,"&gt;"&amp;G1169)+1</f>
        <v/>
      </c>
      <c r="I1169" s="9" t="inlineStr"/>
      <c r="J1169" s="11">
        <f>IF(E1169="Private",F1169,"")</f>
        <v/>
      </c>
      <c r="K1169" s="11">
        <f>IF(E1169="Private",G1169,"")</f>
        <v/>
      </c>
    </row>
    <row r="1170">
      <c r="A1170" s="9" t="n">
        <v>220181</v>
      </c>
      <c r="B1170" s="9" t="inlineStr">
        <is>
          <t>Fisk University</t>
        </is>
      </c>
      <c r="C1170" s="9" t="inlineStr">
        <is>
          <t>Nashville</t>
        </is>
      </c>
      <c r="D1170" s="9" t="inlineStr">
        <is>
          <t>TN</t>
        </is>
      </c>
      <c r="E1170" s="9" t="inlineStr">
        <is>
          <t>Private</t>
        </is>
      </c>
      <c r="F1170" s="11" t="n">
        <v>32020</v>
      </c>
      <c r="G1170" s="11" t="n">
        <v>45454</v>
      </c>
      <c r="H1170" s="9">
        <f>COUNTIF($G$5:$G$1531,"&gt;"&amp;G1170)+1</f>
        <v/>
      </c>
      <c r="I1170" s="9" t="inlineStr"/>
      <c r="J1170" s="11">
        <f>IF(E1170="Private",F1170,"")</f>
        <v/>
      </c>
      <c r="K1170" s="11">
        <f>IF(E1170="Private",G1170,"")</f>
        <v/>
      </c>
    </row>
    <row r="1171">
      <c r="A1171" s="9" t="n">
        <v>176789</v>
      </c>
      <c r="B1171" s="9" t="inlineStr">
        <is>
          <t>Calvary University</t>
        </is>
      </c>
      <c r="C1171" s="9" t="inlineStr">
        <is>
          <t>Kansas City</t>
        </is>
      </c>
      <c r="D1171" s="9" t="inlineStr">
        <is>
          <t>MO</t>
        </is>
      </c>
      <c r="E1171" s="9" t="inlineStr">
        <is>
          <t>Private</t>
        </is>
      </c>
      <c r="F1171" s="11" t="n">
        <v>16334</v>
      </c>
      <c r="G1171" s="11" t="n">
        <v>45421</v>
      </c>
      <c r="H1171" s="9">
        <f>COUNTIF($G$5:$G$1531,"&gt;"&amp;G1171)+1</f>
        <v/>
      </c>
      <c r="I1171" s="9" t="inlineStr"/>
      <c r="J1171" s="11">
        <f>IF(E1171="Private",F1171,"")</f>
        <v/>
      </c>
      <c r="K1171" s="11">
        <f>IF(E1171="Private",G1171,"")</f>
        <v/>
      </c>
    </row>
    <row r="1172">
      <c r="A1172" s="9" t="n">
        <v>101879</v>
      </c>
      <c r="B1172" s="9" t="inlineStr">
        <is>
          <t>University of North Alabama</t>
        </is>
      </c>
      <c r="C1172" s="9" t="inlineStr">
        <is>
          <t>Florence</t>
        </is>
      </c>
      <c r="D1172" s="9" t="inlineStr">
        <is>
          <t>AL</t>
        </is>
      </c>
      <c r="E1172" s="9" t="inlineStr">
        <is>
          <t>Public</t>
        </is>
      </c>
      <c r="F1172" s="11" t="n">
        <v>12170</v>
      </c>
      <c r="G1172" s="11" t="n">
        <v>45415</v>
      </c>
      <c r="H1172" s="9">
        <f>COUNTIF($G$5:$G$1531,"&gt;"&amp;G1172)+1</f>
        <v/>
      </c>
      <c r="I1172" s="9" t="inlineStr"/>
      <c r="J1172" s="11">
        <f>IF(E1172="Private",F1172,"")</f>
        <v/>
      </c>
      <c r="K1172" s="11">
        <f>IF(E1172="Private",G1172,"")</f>
        <v/>
      </c>
    </row>
    <row r="1173">
      <c r="A1173" s="9" t="n">
        <v>150677</v>
      </c>
      <c r="B1173" s="9" t="inlineStr">
        <is>
          <t>Grace College and Theological Seminary</t>
        </is>
      </c>
      <c r="C1173" s="9" t="inlineStr">
        <is>
          <t>Winona Lake</t>
        </is>
      </c>
      <c r="D1173" s="9" t="inlineStr">
        <is>
          <t>IN</t>
        </is>
      </c>
      <c r="E1173" s="9" t="inlineStr">
        <is>
          <t>Private</t>
        </is>
      </c>
      <c r="F1173" s="11" t="n">
        <v>19932</v>
      </c>
      <c r="G1173" s="11" t="n">
        <v>45411</v>
      </c>
      <c r="H1173" s="9">
        <f>COUNTIF($G$5:$G$1531,"&gt;"&amp;G1173)+1</f>
        <v/>
      </c>
      <c r="I1173" s="9" t="inlineStr"/>
      <c r="J1173" s="11">
        <f>IF(E1173="Private",F1173,"")</f>
        <v/>
      </c>
      <c r="K1173" s="11">
        <f>IF(E1173="Private",G1173,"")</f>
        <v/>
      </c>
    </row>
    <row r="1174">
      <c r="A1174" s="9" t="n">
        <v>227526</v>
      </c>
      <c r="B1174" s="9" t="inlineStr">
        <is>
          <t>Prairie View A &amp; M University</t>
        </is>
      </c>
      <c r="C1174" s="9" t="inlineStr">
        <is>
          <t>Prairie View</t>
        </is>
      </c>
      <c r="D1174" s="9" t="inlineStr">
        <is>
          <t>TX</t>
        </is>
      </c>
      <c r="E1174" s="9" t="inlineStr">
        <is>
          <t>Public</t>
        </is>
      </c>
      <c r="F1174" s="11" t="n">
        <v>13570</v>
      </c>
      <c r="G1174" s="11" t="n">
        <v>45411</v>
      </c>
      <c r="H1174" s="9">
        <f>COUNTIF($G$5:$G$1531,"&gt;"&amp;G1174)+1</f>
        <v/>
      </c>
      <c r="I1174" s="9" t="inlineStr"/>
      <c r="J1174" s="11">
        <f>IF(E1174="Private",F1174,"")</f>
        <v/>
      </c>
      <c r="K1174" s="11">
        <f>IF(E1174="Private",G1174,"")</f>
        <v/>
      </c>
    </row>
    <row r="1175">
      <c r="A1175" s="9" t="n">
        <v>188182</v>
      </c>
      <c r="B1175" s="9" t="inlineStr">
        <is>
          <t>University of the Southwest</t>
        </is>
      </c>
      <c r="C1175" s="9" t="inlineStr">
        <is>
          <t>Hobbs</t>
        </is>
      </c>
      <c r="D1175" s="9" t="inlineStr">
        <is>
          <t>NM</t>
        </is>
      </c>
      <c r="E1175" s="9" t="inlineStr">
        <is>
          <t>Private</t>
        </is>
      </c>
      <c r="F1175" s="11" t="n">
        <v>16927</v>
      </c>
      <c r="G1175" s="11" t="n">
        <v>45389</v>
      </c>
      <c r="H1175" s="9">
        <f>COUNTIF($G$5:$G$1531,"&gt;"&amp;G1175)+1</f>
        <v/>
      </c>
      <c r="I1175" s="9" t="inlineStr"/>
      <c r="J1175" s="11">
        <f>IF(E1175="Private",F1175,"")</f>
        <v/>
      </c>
      <c r="K1175" s="11">
        <f>IF(E1175="Private",G1175,"")</f>
        <v/>
      </c>
    </row>
    <row r="1176">
      <c r="A1176" s="9" t="n">
        <v>203483</v>
      </c>
      <c r="B1176" s="9" t="inlineStr">
        <is>
          <t>Kent State University at Tuscarawas</t>
        </is>
      </c>
      <c r="C1176" s="9" t="inlineStr">
        <is>
          <t>New Philadelphia</t>
        </is>
      </c>
      <c r="D1176" s="9" t="inlineStr">
        <is>
          <t>OH</t>
        </is>
      </c>
      <c r="E1176" s="9" t="inlineStr">
        <is>
          <t>Public</t>
        </is>
      </c>
      <c r="F1176" s="11" t="n">
        <v>12542</v>
      </c>
      <c r="G1176" s="11" t="n">
        <v>45388</v>
      </c>
      <c r="H1176" s="9">
        <f>COUNTIF($G$5:$G$1531,"&gt;"&amp;G1176)+1</f>
        <v/>
      </c>
      <c r="I1176" s="9" t="inlineStr"/>
      <c r="J1176" s="11">
        <f>IF(E1176="Private",F1176,"")</f>
        <v/>
      </c>
      <c r="K1176" s="11">
        <f>IF(E1176="Private",G1176,"")</f>
        <v/>
      </c>
    </row>
    <row r="1177">
      <c r="A1177" s="9" t="n">
        <v>203492</v>
      </c>
      <c r="B1177" s="9" t="inlineStr">
        <is>
          <t>Kent State University at Salem</t>
        </is>
      </c>
      <c r="C1177" s="9" t="inlineStr">
        <is>
          <t>Salem</t>
        </is>
      </c>
      <c r="D1177" s="9" t="inlineStr">
        <is>
          <t>OH</t>
        </is>
      </c>
      <c r="E1177" s="9" t="inlineStr">
        <is>
          <t>Public</t>
        </is>
      </c>
      <c r="F1177" s="11" t="n">
        <v>13799</v>
      </c>
      <c r="G1177" s="11" t="n">
        <v>45388</v>
      </c>
      <c r="H1177" s="9">
        <f>COUNTIF($G$5:$G$1531,"&gt;"&amp;G1177)+1</f>
        <v/>
      </c>
      <c r="I1177" s="9" t="inlineStr"/>
      <c r="J1177" s="11">
        <f>IF(E1177="Private",F1177,"")</f>
        <v/>
      </c>
      <c r="K1177" s="11">
        <f>IF(E1177="Private",G1177,"")</f>
        <v/>
      </c>
    </row>
    <row r="1178">
      <c r="A1178" s="9" t="n">
        <v>203517</v>
      </c>
      <c r="B1178" s="9" t="inlineStr">
        <is>
          <t>Kent State University at Kent</t>
        </is>
      </c>
      <c r="C1178" s="9" t="inlineStr">
        <is>
          <t>Kent</t>
        </is>
      </c>
      <c r="D1178" s="9" t="inlineStr">
        <is>
          <t>OH</t>
        </is>
      </c>
      <c r="E1178" s="9" t="inlineStr">
        <is>
          <t>Public</t>
        </is>
      </c>
      <c r="F1178" s="11" t="n">
        <v>20787</v>
      </c>
      <c r="G1178" s="11" t="n">
        <v>45388</v>
      </c>
      <c r="H1178" s="9">
        <f>COUNTIF($G$5:$G$1531,"&gt;"&amp;G1178)+1</f>
        <v/>
      </c>
      <c r="I1178" s="9" t="inlineStr"/>
      <c r="J1178" s="11">
        <f>IF(E1178="Private",F1178,"")</f>
        <v/>
      </c>
      <c r="K1178" s="11">
        <f>IF(E1178="Private",G1178,"")</f>
        <v/>
      </c>
    </row>
    <row r="1179">
      <c r="A1179" s="9" t="n">
        <v>203474</v>
      </c>
      <c r="B1179" s="9" t="inlineStr">
        <is>
          <t>Kent State University at Trumbull</t>
        </is>
      </c>
      <c r="C1179" s="9" t="inlineStr">
        <is>
          <t>Warren</t>
        </is>
      </c>
      <c r="D1179" s="9" t="inlineStr">
        <is>
          <t>OH</t>
        </is>
      </c>
      <c r="E1179" s="9" t="inlineStr">
        <is>
          <t>Public</t>
        </is>
      </c>
      <c r="F1179" s="11" t="n">
        <v>11135</v>
      </c>
      <c r="G1179" s="11" t="n">
        <v>45388</v>
      </c>
      <c r="H1179" s="9">
        <f>COUNTIF($G$5:$G$1531,"&gt;"&amp;G1179)+1</f>
        <v/>
      </c>
      <c r="I1179" s="9" t="inlineStr"/>
      <c r="J1179" s="11">
        <f>IF(E1179="Private",F1179,"")</f>
        <v/>
      </c>
      <c r="K1179" s="11">
        <f>IF(E1179="Private",G1179,"")</f>
        <v/>
      </c>
    </row>
    <row r="1180">
      <c r="A1180" s="9" t="n">
        <v>207263</v>
      </c>
      <c r="B1180" s="9" t="inlineStr">
        <is>
          <t>Northeastern State University</t>
        </is>
      </c>
      <c r="C1180" s="9" t="inlineStr">
        <is>
          <t>Tahlequah</t>
        </is>
      </c>
      <c r="D1180" s="9" t="inlineStr">
        <is>
          <t>OK</t>
        </is>
      </c>
      <c r="E1180" s="9" t="inlineStr">
        <is>
          <t>Public</t>
        </is>
      </c>
      <c r="F1180" s="11" t="n">
        <v>12710</v>
      </c>
      <c r="G1180" s="11" t="n">
        <v>45379</v>
      </c>
      <c r="H1180" s="9">
        <f>COUNTIF($G$5:$G$1531,"&gt;"&amp;G1180)+1</f>
        <v/>
      </c>
      <c r="I1180" s="9" t="inlineStr"/>
      <c r="J1180" s="11">
        <f>IF(E1180="Private",F1180,"")</f>
        <v/>
      </c>
      <c r="K1180" s="11">
        <f>IF(E1180="Private",G1180,"")</f>
        <v/>
      </c>
    </row>
    <row r="1181">
      <c r="A1181" s="9" t="n">
        <v>177065</v>
      </c>
      <c r="B1181" s="9" t="inlineStr">
        <is>
          <t>Columbia College (Columbia, MO)</t>
        </is>
      </c>
      <c r="C1181" s="9" t="inlineStr">
        <is>
          <t>Columbia</t>
        </is>
      </c>
      <c r="D1181" s="9" t="inlineStr">
        <is>
          <t>MO</t>
        </is>
      </c>
      <c r="E1181" s="9" t="inlineStr">
        <is>
          <t>Private</t>
        </is>
      </c>
      <c r="F1181" s="11" t="n">
        <v>22715</v>
      </c>
      <c r="G1181" s="11" t="n">
        <v>45378</v>
      </c>
      <c r="H1181" s="9">
        <f>COUNTIF($G$5:$G$1531,"&gt;"&amp;G1181)+1</f>
        <v/>
      </c>
      <c r="I1181" s="9" t="inlineStr"/>
      <c r="J1181" s="11">
        <f>IF(E1181="Private",F1181,"")</f>
        <v/>
      </c>
      <c r="K1181" s="11">
        <f>IF(E1181="Private",G1181,"")</f>
        <v/>
      </c>
    </row>
    <row r="1182">
      <c r="A1182" s="9" t="n">
        <v>366003</v>
      </c>
      <c r="B1182" s="9" t="inlineStr">
        <is>
          <t>South Florida Bible College and Theological Seminary</t>
        </is>
      </c>
      <c r="C1182" s="9" t="inlineStr">
        <is>
          <t>Deerfield Beach</t>
        </is>
      </c>
      <c r="D1182" s="9" t="inlineStr">
        <is>
          <t>FL</t>
        </is>
      </c>
      <c r="E1182" s="9" t="inlineStr">
        <is>
          <t>Private</t>
        </is>
      </c>
      <c r="F1182" s="11" t="n">
        <v>21751</v>
      </c>
      <c r="G1182" s="11" t="n">
        <v>45354</v>
      </c>
      <c r="H1182" s="9">
        <f>COUNTIF($G$5:$G$1531,"&gt;"&amp;G1182)+1</f>
        <v/>
      </c>
      <c r="I1182" s="9" t="inlineStr"/>
      <c r="J1182" s="11">
        <f>IF(E1182="Private",F1182,"")</f>
        <v/>
      </c>
      <c r="K1182" s="11">
        <f>IF(E1182="Private",G1182,"")</f>
        <v/>
      </c>
    </row>
    <row r="1183">
      <c r="A1183" s="9" t="n">
        <v>199999</v>
      </c>
      <c r="B1183" s="9" t="inlineStr">
        <is>
          <t>Winston-Salem State University</t>
        </is>
      </c>
      <c r="C1183" s="9" t="inlineStr">
        <is>
          <t>Winston-Salem</t>
        </is>
      </c>
      <c r="D1183" s="9" t="inlineStr">
        <is>
          <t>NC</t>
        </is>
      </c>
      <c r="E1183" s="9" t="inlineStr">
        <is>
          <t>Public</t>
        </is>
      </c>
      <c r="F1183" s="11" t="n">
        <v>13479</v>
      </c>
      <c r="G1183" s="11" t="n">
        <v>45344</v>
      </c>
      <c r="H1183" s="9">
        <f>COUNTIF($G$5:$G$1531,"&gt;"&amp;G1183)+1</f>
        <v/>
      </c>
      <c r="I1183" s="9" t="inlineStr"/>
      <c r="J1183" s="11">
        <f>IF(E1183="Private",F1183,"")</f>
        <v/>
      </c>
      <c r="K1183" s="11">
        <f>IF(E1183="Private",G1183,"")</f>
        <v/>
      </c>
    </row>
    <row r="1184">
      <c r="A1184" s="9" t="n">
        <v>233897</v>
      </c>
      <c r="B1184" s="9" t="inlineStr">
        <is>
          <t>University of Virginia's College at Wise</t>
        </is>
      </c>
      <c r="C1184" s="9" t="inlineStr">
        <is>
          <t>Wise</t>
        </is>
      </c>
      <c r="D1184" s="9" t="inlineStr">
        <is>
          <t>VA</t>
        </is>
      </c>
      <c r="E1184" s="9" t="inlineStr">
        <is>
          <t>Public</t>
        </is>
      </c>
      <c r="F1184" s="11" t="n">
        <v>9210</v>
      </c>
      <c r="G1184" s="11" t="n">
        <v>45325</v>
      </c>
      <c r="H1184" s="9">
        <f>COUNTIF($G$5:$G$1531,"&gt;"&amp;G1184)+1</f>
        <v/>
      </c>
      <c r="I1184" s="9" t="inlineStr"/>
      <c r="J1184" s="11">
        <f>IF(E1184="Private",F1184,"")</f>
        <v/>
      </c>
      <c r="K1184" s="11">
        <f>IF(E1184="Private",G1184,"")</f>
        <v/>
      </c>
    </row>
    <row r="1185">
      <c r="A1185" s="9" t="n">
        <v>235167</v>
      </c>
      <c r="B1185" s="9" t="inlineStr">
        <is>
          <t>The Evergreen State College</t>
        </is>
      </c>
      <c r="C1185" s="9" t="inlineStr">
        <is>
          <t>Olympia</t>
        </is>
      </c>
      <c r="D1185" s="9" t="inlineStr">
        <is>
          <t>WA</t>
        </is>
      </c>
      <c r="E1185" s="9" t="inlineStr">
        <is>
          <t>Public</t>
        </is>
      </c>
      <c r="F1185" s="11" t="n">
        <v>24319</v>
      </c>
      <c r="G1185" s="11" t="n">
        <v>45320</v>
      </c>
      <c r="H1185" s="9">
        <f>COUNTIF($G$5:$G$1531,"&gt;"&amp;G1185)+1</f>
        <v/>
      </c>
      <c r="I1185" s="9" t="inlineStr"/>
      <c r="J1185" s="11">
        <f>IF(E1185="Private",F1185,"")</f>
        <v/>
      </c>
      <c r="K1185" s="11">
        <f>IF(E1185="Private",G1185,"")</f>
        <v/>
      </c>
    </row>
    <row r="1186">
      <c r="A1186" s="9" t="n">
        <v>106245</v>
      </c>
      <c r="B1186" s="9" t="inlineStr">
        <is>
          <t>University of Arkansas at Little Rock</t>
        </is>
      </c>
      <c r="C1186" s="9" t="inlineStr">
        <is>
          <t>Little Rock</t>
        </is>
      </c>
      <c r="D1186" s="9" t="inlineStr">
        <is>
          <t>AR</t>
        </is>
      </c>
      <c r="E1186" s="9" t="inlineStr">
        <is>
          <t>Public</t>
        </is>
      </c>
      <c r="F1186" s="11" t="n">
        <v>17248</v>
      </c>
      <c r="G1186" s="11" t="n">
        <v>45265</v>
      </c>
      <c r="H1186" s="9">
        <f>COUNTIF($G$5:$G$1531,"&gt;"&amp;G1186)+1</f>
        <v/>
      </c>
      <c r="I1186" s="9" t="inlineStr"/>
      <c r="J1186" s="11">
        <f>IF(E1186="Private",F1186,"")</f>
        <v/>
      </c>
      <c r="K1186" s="11">
        <f>IF(E1186="Private",G1186,"")</f>
        <v/>
      </c>
    </row>
    <row r="1187">
      <c r="A1187" s="9" t="n">
        <v>101480</v>
      </c>
      <c r="B1187" s="9" t="inlineStr">
        <is>
          <t>Jacksonville State University</t>
        </is>
      </c>
      <c r="C1187" s="9" t="inlineStr">
        <is>
          <t>Jacksonville</t>
        </is>
      </c>
      <c r="D1187" s="9" t="inlineStr">
        <is>
          <t>AL</t>
        </is>
      </c>
      <c r="E1187" s="9" t="inlineStr">
        <is>
          <t>Public</t>
        </is>
      </c>
      <c r="F1187" s="11" t="n">
        <v>14279</v>
      </c>
      <c r="G1187" s="11" t="n">
        <v>45235</v>
      </c>
      <c r="H1187" s="9">
        <f>COUNTIF($G$5:$G$1531,"&gt;"&amp;G1187)+1</f>
        <v/>
      </c>
      <c r="I1187" s="9" t="inlineStr"/>
      <c r="J1187" s="11">
        <f>IF(E1187="Private",F1187,"")</f>
        <v/>
      </c>
      <c r="K1187" s="11">
        <f>IF(E1187="Private",G1187,"")</f>
        <v/>
      </c>
    </row>
    <row r="1188">
      <c r="A1188" s="9" t="n">
        <v>199032</v>
      </c>
      <c r="B1188" s="9" t="inlineStr">
        <is>
          <t>Montreat College</t>
        </is>
      </c>
      <c r="C1188" s="9" t="inlineStr">
        <is>
          <t>Montreat</t>
        </is>
      </c>
      <c r="D1188" s="9" t="inlineStr">
        <is>
          <t>NC</t>
        </is>
      </c>
      <c r="E1188" s="9" t="inlineStr">
        <is>
          <t>Private</t>
        </is>
      </c>
      <c r="F1188" s="11" t="n">
        <v>27061</v>
      </c>
      <c r="G1188" s="11" t="n">
        <v>45151</v>
      </c>
      <c r="H1188" s="9">
        <f>COUNTIF($G$5:$G$1531,"&gt;"&amp;G1188)+1</f>
        <v/>
      </c>
      <c r="I1188" s="9" t="inlineStr"/>
      <c r="J1188" s="11">
        <f>IF(E1188="Private",F1188,"")</f>
        <v/>
      </c>
      <c r="K1188" s="11">
        <f>IF(E1188="Private",G1188,"")</f>
        <v/>
      </c>
    </row>
    <row r="1189">
      <c r="A1189" s="9" t="n">
        <v>169479</v>
      </c>
      <c r="B1189" s="9" t="inlineStr">
        <is>
          <t>Davenport University</t>
        </is>
      </c>
      <c r="C1189" s="9" t="inlineStr">
        <is>
          <t>Grand Rapids</t>
        </is>
      </c>
      <c r="D1189" s="9" t="inlineStr">
        <is>
          <t>MI</t>
        </is>
      </c>
      <c r="E1189" s="9" t="inlineStr">
        <is>
          <t>Private</t>
        </is>
      </c>
      <c r="F1189" s="11" t="n">
        <v>17707</v>
      </c>
      <c r="G1189" s="11" t="n">
        <v>45099</v>
      </c>
      <c r="H1189" s="9">
        <f>COUNTIF($G$5:$G$1531,"&gt;"&amp;G1189)+1</f>
        <v/>
      </c>
      <c r="I1189" s="9" t="inlineStr"/>
      <c r="J1189" s="11">
        <f>IF(E1189="Private",F1189,"")</f>
        <v/>
      </c>
      <c r="K1189" s="11">
        <f>IF(E1189="Private",G1189,"")</f>
        <v/>
      </c>
    </row>
    <row r="1190">
      <c r="A1190" s="9" t="n">
        <v>196219</v>
      </c>
      <c r="B1190" s="9" t="inlineStr">
        <is>
          <t>SUNY at Purchase College</t>
        </is>
      </c>
      <c r="C1190" s="9" t="inlineStr">
        <is>
          <t>Purchase</t>
        </is>
      </c>
      <c r="D1190" s="9" t="inlineStr">
        <is>
          <t>NY</t>
        </is>
      </c>
      <c r="E1190" s="9" t="inlineStr">
        <is>
          <t>Public</t>
        </is>
      </c>
      <c r="F1190" s="11" t="n">
        <v>18913</v>
      </c>
      <c r="G1190" s="11" t="n">
        <v>45092</v>
      </c>
      <c r="H1190" s="9">
        <f>COUNTIF($G$5:$G$1531,"&gt;"&amp;G1190)+1</f>
        <v/>
      </c>
      <c r="I1190" s="9" t="inlineStr"/>
      <c r="J1190" s="11">
        <f>IF(E1190="Private",F1190,"")</f>
        <v/>
      </c>
      <c r="K1190" s="11">
        <f>IF(E1190="Private",G1190,"")</f>
        <v/>
      </c>
    </row>
    <row r="1191">
      <c r="A1191" s="9" t="n">
        <v>207847</v>
      </c>
      <c r="B1191" s="9" t="inlineStr">
        <is>
          <t>Southeastern Oklahoma State University</t>
        </is>
      </c>
      <c r="C1191" s="9" t="inlineStr">
        <is>
          <t>Durant</t>
        </is>
      </c>
      <c r="D1191" s="9" t="inlineStr">
        <is>
          <t>OK</t>
        </is>
      </c>
      <c r="E1191" s="9" t="inlineStr">
        <is>
          <t>Public</t>
        </is>
      </c>
      <c r="F1191" s="11" t="n">
        <v>8039</v>
      </c>
      <c r="G1191" s="11" t="n">
        <v>45079</v>
      </c>
      <c r="H1191" s="9">
        <f>COUNTIF($G$5:$G$1531,"&gt;"&amp;G1191)+1</f>
        <v/>
      </c>
      <c r="I1191" s="9" t="inlineStr"/>
      <c r="J1191" s="11">
        <f>IF(E1191="Private",F1191,"")</f>
        <v/>
      </c>
      <c r="K1191" s="11">
        <f>IF(E1191="Private",G1191,"")</f>
        <v/>
      </c>
    </row>
    <row r="1192">
      <c r="A1192" s="9" t="n">
        <v>174437</v>
      </c>
      <c r="B1192" s="9" t="inlineStr">
        <is>
          <t>North Central University</t>
        </is>
      </c>
      <c r="C1192" s="9" t="inlineStr">
        <is>
          <t>Minneapolis</t>
        </is>
      </c>
      <c r="D1192" s="9" t="inlineStr">
        <is>
          <t>MN</t>
        </is>
      </c>
      <c r="E1192" s="9" t="inlineStr">
        <is>
          <t>Private</t>
        </is>
      </c>
      <c r="F1192" s="11" t="n">
        <v>25817</v>
      </c>
      <c r="G1192" s="11" t="n">
        <v>45064</v>
      </c>
      <c r="H1192" s="9">
        <f>COUNTIF($G$5:$G$1531,"&gt;"&amp;G1192)+1</f>
        <v/>
      </c>
      <c r="I1192" s="9" t="inlineStr"/>
      <c r="J1192" s="11">
        <f>IF(E1192="Private",F1192,"")</f>
        <v/>
      </c>
      <c r="K1192" s="11">
        <f>IF(E1192="Private",G1192,"")</f>
        <v/>
      </c>
    </row>
    <row r="1193">
      <c r="A1193" s="9" t="n">
        <v>156541</v>
      </c>
      <c r="B1193" s="9" t="inlineStr">
        <is>
          <t>University of the Cumberlands</t>
        </is>
      </c>
      <c r="C1193" s="9" t="inlineStr">
        <is>
          <t>Williamsburg</t>
        </is>
      </c>
      <c r="D1193" s="9" t="inlineStr">
        <is>
          <t>KY</t>
        </is>
      </c>
      <c r="E1193" s="9" t="inlineStr">
        <is>
          <t>Private</t>
        </is>
      </c>
      <c r="F1193" s="11" t="n">
        <v>14107</v>
      </c>
      <c r="G1193" s="11" t="n">
        <v>45036</v>
      </c>
      <c r="H1193" s="9">
        <f>COUNTIF($G$5:$G$1531,"&gt;"&amp;G1193)+1</f>
        <v/>
      </c>
      <c r="I1193" s="9" t="inlineStr"/>
      <c r="J1193" s="11">
        <f>IF(E1193="Private",F1193,"")</f>
        <v/>
      </c>
      <c r="K1193" s="11">
        <f>IF(E1193="Private",G1193,"")</f>
        <v/>
      </c>
    </row>
    <row r="1194">
      <c r="A1194" s="9" t="n">
        <v>196033</v>
      </c>
      <c r="B1194" s="9" t="inlineStr">
        <is>
          <t>SUNY College of Agriculture and Technology at Cobleskill</t>
        </is>
      </c>
      <c r="C1194" s="9" t="inlineStr">
        <is>
          <t>Cobleskill</t>
        </is>
      </c>
      <c r="D1194" s="9" t="inlineStr">
        <is>
          <t>NY</t>
        </is>
      </c>
      <c r="E1194" s="9" t="inlineStr">
        <is>
          <t>Public</t>
        </is>
      </c>
      <c r="F1194" s="11" t="n">
        <v>18701</v>
      </c>
      <c r="G1194" s="11" t="n">
        <v>45030</v>
      </c>
      <c r="H1194" s="9">
        <f>COUNTIF($G$5:$G$1531,"&gt;"&amp;G1194)+1</f>
        <v/>
      </c>
      <c r="I1194" s="9" t="inlineStr"/>
      <c r="J1194" s="11">
        <f>IF(E1194="Private",F1194,"")</f>
        <v/>
      </c>
      <c r="K1194" s="11">
        <f>IF(E1194="Private",G1194,"")</f>
        <v/>
      </c>
    </row>
    <row r="1195">
      <c r="A1195" s="9" t="n">
        <v>487524</v>
      </c>
      <c r="B1195" s="9" t="inlineStr">
        <is>
          <t>Husson University</t>
        </is>
      </c>
      <c r="C1195" s="9" t="inlineStr">
        <is>
          <t>Bangor</t>
        </is>
      </c>
      <c r="D1195" s="9" t="inlineStr">
        <is>
          <t>ME</t>
        </is>
      </c>
      <c r="E1195" s="9" t="inlineStr">
        <is>
          <t>Private</t>
        </is>
      </c>
      <c r="F1195" s="11" t="n">
        <v>21005</v>
      </c>
      <c r="G1195" s="11" t="n">
        <v>45025</v>
      </c>
      <c r="H1195" s="9">
        <f>COUNTIF($G$5:$G$1531,"&gt;"&amp;G1195)+1</f>
        <v/>
      </c>
      <c r="I1195" s="9" t="inlineStr"/>
      <c r="J1195" s="11">
        <f>IF(E1195="Private",F1195,"")</f>
        <v/>
      </c>
      <c r="K1195" s="11">
        <f>IF(E1195="Private",G1195,"")</f>
        <v/>
      </c>
    </row>
    <row r="1196">
      <c r="A1196" s="9" t="n">
        <v>161563</v>
      </c>
      <c r="B1196" s="9" t="inlineStr">
        <is>
          <t>Thomas College</t>
        </is>
      </c>
      <c r="C1196" s="9" t="inlineStr">
        <is>
          <t>Waterville</t>
        </is>
      </c>
      <c r="D1196" s="9" t="inlineStr">
        <is>
          <t>ME</t>
        </is>
      </c>
      <c r="E1196" s="9" t="inlineStr">
        <is>
          <t>Private</t>
        </is>
      </c>
      <c r="F1196" s="11" t="n">
        <v>18885</v>
      </c>
      <c r="G1196" s="11" t="n">
        <v>44991</v>
      </c>
      <c r="H1196" s="9">
        <f>COUNTIF($G$5:$G$1531,"&gt;"&amp;G1196)+1</f>
        <v/>
      </c>
      <c r="I1196" s="9" t="inlineStr"/>
      <c r="J1196" s="11">
        <f>IF(E1196="Private",F1196,"")</f>
        <v/>
      </c>
      <c r="K1196" s="11">
        <f>IF(E1196="Private",G1196,"")</f>
        <v/>
      </c>
    </row>
    <row r="1197">
      <c r="A1197" s="9" t="n">
        <v>245652</v>
      </c>
      <c r="B1197" s="9" t="inlineStr">
        <is>
          <t>St. John's College (Santa Fe, NM)</t>
        </is>
      </c>
      <c r="C1197" s="9" t="inlineStr">
        <is>
          <t>Santa Fe</t>
        </is>
      </c>
      <c r="D1197" s="9" t="inlineStr">
        <is>
          <t>NM</t>
        </is>
      </c>
      <c r="E1197" s="9" t="inlineStr">
        <is>
          <t>Private</t>
        </is>
      </c>
      <c r="F1197" s="11" t="n">
        <v>26674</v>
      </c>
      <c r="G1197" s="11" t="n">
        <v>44985</v>
      </c>
      <c r="H1197" s="9">
        <f>COUNTIF($G$5:$G$1531,"&gt;"&amp;G1197)+1</f>
        <v/>
      </c>
      <c r="I1197" s="9" t="inlineStr"/>
      <c r="J1197" s="11">
        <f>IF(E1197="Private",F1197,"")</f>
        <v/>
      </c>
      <c r="K1197" s="11">
        <f>IF(E1197="Private",G1197,"")</f>
        <v/>
      </c>
    </row>
    <row r="1198">
      <c r="A1198" s="9" t="n">
        <v>213303</v>
      </c>
      <c r="B1198" s="9" t="inlineStr">
        <is>
          <t>Keystone College</t>
        </is>
      </c>
      <c r="C1198" s="9" t="inlineStr">
        <is>
          <t>La Plume</t>
        </is>
      </c>
      <c r="D1198" s="9" t="inlineStr">
        <is>
          <t>PA</t>
        </is>
      </c>
      <c r="E1198" s="9" t="inlineStr">
        <is>
          <t>Private</t>
        </is>
      </c>
      <c r="F1198" s="11" t="n">
        <v>22051</v>
      </c>
      <c r="G1198" s="11" t="n">
        <v>44976</v>
      </c>
      <c r="H1198" s="9">
        <f>COUNTIF($G$5:$G$1531,"&gt;"&amp;G1198)+1</f>
        <v/>
      </c>
      <c r="I1198" s="9" t="inlineStr"/>
      <c r="J1198" s="11">
        <f>IF(E1198="Private",F1198,"")</f>
        <v/>
      </c>
      <c r="K1198" s="11">
        <f>IF(E1198="Private",G1198,"")</f>
        <v/>
      </c>
    </row>
    <row r="1199">
      <c r="A1199" s="9" t="n">
        <v>207041</v>
      </c>
      <c r="B1199" s="9" t="inlineStr">
        <is>
          <t>East Central University</t>
        </is>
      </c>
      <c r="C1199" s="9" t="inlineStr">
        <is>
          <t>Ada</t>
        </is>
      </c>
      <c r="D1199" s="9" t="inlineStr">
        <is>
          <t>OK</t>
        </is>
      </c>
      <c r="E1199" s="9" t="inlineStr">
        <is>
          <t>Public</t>
        </is>
      </c>
      <c r="F1199" s="11" t="n">
        <v>8683</v>
      </c>
      <c r="G1199" s="11" t="n">
        <v>44962</v>
      </c>
      <c r="H1199" s="9">
        <f>COUNTIF($G$5:$G$1531,"&gt;"&amp;G1199)+1</f>
        <v/>
      </c>
      <c r="I1199" s="9" t="inlineStr"/>
      <c r="J1199" s="11">
        <f>IF(E1199="Private",F1199,"")</f>
        <v/>
      </c>
      <c r="K1199" s="11">
        <f>IF(E1199="Private",G1199,"")</f>
        <v/>
      </c>
    </row>
    <row r="1200">
      <c r="A1200" s="9" t="n">
        <v>151342</v>
      </c>
      <c r="B1200" s="9" t="inlineStr">
        <is>
          <t>Indiana University-South Bend</t>
        </is>
      </c>
      <c r="C1200" s="9" t="inlineStr">
        <is>
          <t>South Bend</t>
        </is>
      </c>
      <c r="D1200" s="9" t="inlineStr">
        <is>
          <t>IN</t>
        </is>
      </c>
      <c r="E1200" s="9" t="inlineStr">
        <is>
          <t>Public</t>
        </is>
      </c>
      <c r="F1200" s="11" t="n">
        <v>8653</v>
      </c>
      <c r="G1200" s="11" t="n">
        <v>44947</v>
      </c>
      <c r="H1200" s="9">
        <f>COUNTIF($G$5:$G$1531,"&gt;"&amp;G1200)+1</f>
        <v/>
      </c>
      <c r="I1200" s="9" t="inlineStr"/>
      <c r="J1200" s="11">
        <f>IF(E1200="Private",F1200,"")</f>
        <v/>
      </c>
      <c r="K1200" s="11">
        <f>IF(E1200="Private",G1200,"")</f>
        <v/>
      </c>
    </row>
    <row r="1201">
      <c r="A1201" s="9" t="n">
        <v>207351</v>
      </c>
      <c r="B1201" s="9" t="inlineStr">
        <is>
          <t>Oklahoma Panhandle State University</t>
        </is>
      </c>
      <c r="C1201" s="9" t="inlineStr">
        <is>
          <t>Goodwell</t>
        </is>
      </c>
      <c r="D1201" s="9" t="inlineStr">
        <is>
          <t>OK</t>
        </is>
      </c>
      <c r="E1201" s="9" t="inlineStr">
        <is>
          <t>Public</t>
        </is>
      </c>
      <c r="F1201" s="11" t="n">
        <v>7413</v>
      </c>
      <c r="G1201" s="11" t="n">
        <v>44933</v>
      </c>
      <c r="H1201" s="9">
        <f>COUNTIF($G$5:$G$1531,"&gt;"&amp;G1201)+1</f>
        <v/>
      </c>
      <c r="I1201" s="9" t="inlineStr"/>
      <c r="J1201" s="11">
        <f>IF(E1201="Private",F1201,"")</f>
        <v/>
      </c>
      <c r="K1201" s="11">
        <f>IF(E1201="Private",G1201,"")</f>
        <v/>
      </c>
    </row>
    <row r="1202">
      <c r="A1202" s="9" t="n">
        <v>220075</v>
      </c>
      <c r="B1202" s="9" t="inlineStr">
        <is>
          <t>East Tennessee State University</t>
        </is>
      </c>
      <c r="C1202" s="9" t="inlineStr">
        <is>
          <t>Johnson City</t>
        </is>
      </c>
      <c r="D1202" s="9" t="inlineStr">
        <is>
          <t>TN</t>
        </is>
      </c>
      <c r="E1202" s="9" t="inlineStr">
        <is>
          <t>Public</t>
        </is>
      </c>
      <c r="F1202" s="11" t="n">
        <v>15983</v>
      </c>
      <c r="G1202" s="11" t="n">
        <v>44859</v>
      </c>
      <c r="H1202" s="9">
        <f>COUNTIF($G$5:$G$1531,"&gt;"&amp;G1202)+1</f>
        <v/>
      </c>
      <c r="I1202" s="9" t="inlineStr"/>
      <c r="J1202" s="11">
        <f>IF(E1202="Private",F1202,"")</f>
        <v/>
      </c>
      <c r="K1202" s="11">
        <f>IF(E1202="Private",G1202,"")</f>
        <v/>
      </c>
    </row>
    <row r="1203">
      <c r="A1203" s="9" t="n">
        <v>232557</v>
      </c>
      <c r="B1203" s="9" t="inlineStr">
        <is>
          <t>Liberty University</t>
        </is>
      </c>
      <c r="C1203" s="9" t="inlineStr">
        <is>
          <t>Lynchburg</t>
        </is>
      </c>
      <c r="D1203" s="9" t="inlineStr">
        <is>
          <t>VA</t>
        </is>
      </c>
      <c r="E1203" s="9" t="inlineStr">
        <is>
          <t>Private</t>
        </is>
      </c>
      <c r="F1203" s="11" t="n">
        <v>29357</v>
      </c>
      <c r="G1203" s="11" t="n">
        <v>44813</v>
      </c>
      <c r="H1203" s="9">
        <f>COUNTIF($G$5:$G$1531,"&gt;"&amp;G1203)+1</f>
        <v/>
      </c>
      <c r="I1203" s="9" t="inlineStr"/>
      <c r="J1203" s="11">
        <f>IF(E1203="Private",F1203,"")</f>
        <v/>
      </c>
      <c r="K1203" s="11">
        <f>IF(E1203="Private",G1203,"")</f>
        <v/>
      </c>
    </row>
    <row r="1204">
      <c r="A1204" s="9" t="n">
        <v>187985</v>
      </c>
      <c r="B1204" s="9" t="inlineStr">
        <is>
          <t>University of New Mexico-Main Campus</t>
        </is>
      </c>
      <c r="C1204" s="9" t="inlineStr">
        <is>
          <t>Albuquerque</t>
        </is>
      </c>
      <c r="D1204" s="9" t="inlineStr">
        <is>
          <t>NM</t>
        </is>
      </c>
      <c r="E1204" s="9" t="inlineStr">
        <is>
          <t>Public</t>
        </is>
      </c>
      <c r="F1204" s="11" t="n">
        <v>15489</v>
      </c>
      <c r="G1204" s="11" t="n">
        <v>44792</v>
      </c>
      <c r="H1204" s="9">
        <f>COUNTIF($G$5:$G$1531,"&gt;"&amp;G1204)+1</f>
        <v/>
      </c>
      <c r="I1204" s="9" t="inlineStr"/>
      <c r="J1204" s="11">
        <f>IF(E1204="Private",F1204,"")</f>
        <v/>
      </c>
      <c r="K1204" s="11">
        <f>IF(E1204="Private",G1204,"")</f>
        <v/>
      </c>
    </row>
    <row r="1205">
      <c r="A1205" s="9" t="n">
        <v>198899</v>
      </c>
      <c r="B1205" s="9" t="inlineStr">
        <is>
          <t>Mars Hill University</t>
        </is>
      </c>
      <c r="C1205" s="9" t="inlineStr">
        <is>
          <t>Mars Hill</t>
        </is>
      </c>
      <c r="D1205" s="9" t="inlineStr">
        <is>
          <t>NC</t>
        </is>
      </c>
      <c r="E1205" s="9" t="inlineStr">
        <is>
          <t>Private</t>
        </is>
      </c>
      <c r="F1205" s="11" t="n">
        <v>19910</v>
      </c>
      <c r="G1205" s="11" t="n">
        <v>44781</v>
      </c>
      <c r="H1205" s="9">
        <f>COUNTIF($G$5:$G$1531,"&gt;"&amp;G1205)+1</f>
        <v/>
      </c>
      <c r="I1205" s="9" t="inlineStr"/>
      <c r="J1205" s="11">
        <f>IF(E1205="Private",F1205,"")</f>
        <v/>
      </c>
      <c r="K1205" s="11">
        <f>IF(E1205="Private",G1205,"")</f>
        <v/>
      </c>
    </row>
    <row r="1206">
      <c r="A1206" s="9" t="n">
        <v>157401</v>
      </c>
      <c r="B1206" s="9" t="inlineStr">
        <is>
          <t>Murray State University</t>
        </is>
      </c>
      <c r="C1206" s="9" t="inlineStr">
        <is>
          <t>Murray</t>
        </is>
      </c>
      <c r="D1206" s="9" t="inlineStr">
        <is>
          <t>KY</t>
        </is>
      </c>
      <c r="E1206" s="9" t="inlineStr">
        <is>
          <t>Public</t>
        </is>
      </c>
      <c r="F1206" s="11" t="n">
        <v>9096</v>
      </c>
      <c r="G1206" s="11" t="n">
        <v>44737</v>
      </c>
      <c r="H1206" s="9">
        <f>COUNTIF($G$5:$G$1531,"&gt;"&amp;G1206)+1</f>
        <v/>
      </c>
      <c r="I1206" s="9" t="inlineStr"/>
      <c r="J1206" s="11">
        <f>IF(E1206="Private",F1206,"")</f>
        <v/>
      </c>
      <c r="K1206" s="11">
        <f>IF(E1206="Private",G1206,"")</f>
        <v/>
      </c>
    </row>
    <row r="1207">
      <c r="A1207" s="9" t="n">
        <v>232937</v>
      </c>
      <c r="B1207" s="9" t="inlineStr">
        <is>
          <t>Norfolk State University</t>
        </is>
      </c>
      <c r="C1207" s="9" t="inlineStr">
        <is>
          <t>Norfolk</t>
        </is>
      </c>
      <c r="D1207" s="9" t="inlineStr">
        <is>
          <t>VA</t>
        </is>
      </c>
      <c r="E1207" s="9" t="inlineStr">
        <is>
          <t>Public</t>
        </is>
      </c>
      <c r="F1207" s="11" t="n">
        <v>15282</v>
      </c>
      <c r="G1207" s="11" t="n">
        <v>44666</v>
      </c>
      <c r="H1207" s="9">
        <f>COUNTIF($G$5:$G$1531,"&gt;"&amp;G1207)+1</f>
        <v/>
      </c>
      <c r="I1207" s="9" t="inlineStr"/>
      <c r="J1207" s="11">
        <f>IF(E1207="Private",F1207,"")</f>
        <v/>
      </c>
      <c r="K1207" s="11">
        <f>IF(E1207="Private",G1207,"")</f>
        <v/>
      </c>
    </row>
    <row r="1208">
      <c r="A1208" s="9" t="n">
        <v>222877</v>
      </c>
      <c r="B1208" s="9" t="inlineStr">
        <is>
          <t>Arlington Baptist University</t>
        </is>
      </c>
      <c r="C1208" s="9" t="inlineStr">
        <is>
          <t>Arlington</t>
        </is>
      </c>
      <c r="D1208" s="9" t="inlineStr">
        <is>
          <t>TX</t>
        </is>
      </c>
      <c r="E1208" s="9" t="inlineStr">
        <is>
          <t>Private</t>
        </is>
      </c>
      <c r="F1208" s="11" t="n">
        <v>24906</v>
      </c>
      <c r="G1208" s="11" t="n">
        <v>44644</v>
      </c>
      <c r="H1208" s="9">
        <f>COUNTIF($G$5:$G$1531,"&gt;"&amp;G1208)+1</f>
        <v/>
      </c>
      <c r="I1208" s="9" t="inlineStr"/>
      <c r="J1208" s="11">
        <f>IF(E1208="Private",F1208,"")</f>
        <v/>
      </c>
      <c r="K1208" s="11">
        <f>IF(E1208="Private",G1208,"")</f>
        <v/>
      </c>
    </row>
    <row r="1209">
      <c r="A1209" s="9" t="n">
        <v>199607</v>
      </c>
      <c r="B1209" s="9" t="inlineStr">
        <is>
          <t>Salem College</t>
        </is>
      </c>
      <c r="C1209" s="9" t="inlineStr">
        <is>
          <t>Winston-Salem</t>
        </is>
      </c>
      <c r="D1209" s="9" t="inlineStr">
        <is>
          <t>NC</t>
        </is>
      </c>
      <c r="E1209" s="9" t="inlineStr">
        <is>
          <t>Private</t>
        </is>
      </c>
      <c r="F1209" s="11" t="n">
        <v>18277</v>
      </c>
      <c r="G1209" s="11" t="n">
        <v>44640</v>
      </c>
      <c r="H1209" s="9">
        <f>COUNTIF($G$5:$G$1531,"&gt;"&amp;G1209)+1</f>
        <v/>
      </c>
      <c r="I1209" s="9" t="inlineStr"/>
      <c r="J1209" s="11">
        <f>IF(E1209="Private",F1209,"")</f>
        <v/>
      </c>
      <c r="K1209" s="11">
        <f>IF(E1209="Private",G1209,"")</f>
        <v/>
      </c>
    </row>
    <row r="1210">
      <c r="A1210" s="9" t="n">
        <v>140988</v>
      </c>
      <c r="B1210" s="9" t="inlineStr">
        <is>
          <t>Shorter University</t>
        </is>
      </c>
      <c r="C1210" s="9" t="inlineStr">
        <is>
          <t>Rome</t>
        </is>
      </c>
      <c r="D1210" s="9" t="inlineStr">
        <is>
          <t>GA</t>
        </is>
      </c>
      <c r="E1210" s="9" t="inlineStr">
        <is>
          <t>Private</t>
        </is>
      </c>
      <c r="F1210" s="11" t="n">
        <v>16646</v>
      </c>
      <c r="G1210" s="11" t="n">
        <v>44604</v>
      </c>
      <c r="H1210" s="9">
        <f>COUNTIF($G$5:$G$1531,"&gt;"&amp;G1210)+1</f>
        <v/>
      </c>
      <c r="I1210" s="9" t="inlineStr"/>
      <c r="J1210" s="11">
        <f>IF(E1210="Private",F1210,"")</f>
        <v/>
      </c>
      <c r="K1210" s="11">
        <f>IF(E1210="Private",G1210,"")</f>
        <v/>
      </c>
    </row>
    <row r="1211">
      <c r="A1211" s="9" t="n">
        <v>230171</v>
      </c>
      <c r="B1211" s="9" t="inlineStr">
        <is>
          <t>Utah Tech University</t>
        </is>
      </c>
      <c r="C1211" s="9" t="inlineStr">
        <is>
          <t>Saint George</t>
        </is>
      </c>
      <c r="D1211" s="9" t="inlineStr">
        <is>
          <t>UT</t>
        </is>
      </c>
      <c r="E1211" s="9" t="inlineStr">
        <is>
          <t>Public</t>
        </is>
      </c>
      <c r="F1211" s="11" t="n">
        <v>16039</v>
      </c>
      <c r="G1211" s="11" t="n">
        <v>44570</v>
      </c>
      <c r="H1211" s="9">
        <f>COUNTIF($G$5:$G$1531,"&gt;"&amp;G1211)+1</f>
        <v/>
      </c>
      <c r="I1211" s="9" t="inlineStr"/>
      <c r="J1211" s="11">
        <f>IF(E1211="Private",F1211,"")</f>
        <v/>
      </c>
      <c r="K1211" s="11">
        <f>IF(E1211="Private",G1211,"")</f>
        <v/>
      </c>
    </row>
    <row r="1212">
      <c r="A1212" s="9" t="n">
        <v>139366</v>
      </c>
      <c r="B1212" s="9" t="inlineStr">
        <is>
          <t>Columbus State University</t>
        </is>
      </c>
      <c r="C1212" s="9" t="inlineStr">
        <is>
          <t>Columbus</t>
        </is>
      </c>
      <c r="D1212" s="9" t="inlineStr">
        <is>
          <t>GA</t>
        </is>
      </c>
      <c r="E1212" s="9" t="inlineStr">
        <is>
          <t>Public</t>
        </is>
      </c>
      <c r="F1212" s="11" t="n">
        <v>13115</v>
      </c>
      <c r="G1212" s="11" t="n">
        <v>44544</v>
      </c>
      <c r="H1212" s="9">
        <f>COUNTIF($G$5:$G$1531,"&gt;"&amp;G1212)+1</f>
        <v/>
      </c>
      <c r="I1212" s="9" t="inlineStr"/>
      <c r="J1212" s="11">
        <f>IF(E1212="Private",F1212,"")</f>
        <v/>
      </c>
      <c r="K1212" s="11">
        <f>IF(E1212="Private",G1212,"")</f>
        <v/>
      </c>
    </row>
    <row r="1213">
      <c r="A1213" s="9" t="n">
        <v>237181</v>
      </c>
      <c r="B1213" s="9" t="inlineStr">
        <is>
          <t>Bethany College (Bethany, WV)</t>
        </is>
      </c>
      <c r="C1213" s="9" t="inlineStr">
        <is>
          <t>Bethany</t>
        </is>
      </c>
      <c r="D1213" s="9" t="inlineStr">
        <is>
          <t>WV</t>
        </is>
      </c>
      <c r="E1213" s="9" t="inlineStr">
        <is>
          <t>Private</t>
        </is>
      </c>
      <c r="F1213" s="11" t="n">
        <v>18605</v>
      </c>
      <c r="G1213" s="11" t="n">
        <v>44512</v>
      </c>
      <c r="H1213" s="9">
        <f>COUNTIF($G$5:$G$1531,"&gt;"&amp;G1213)+1</f>
        <v/>
      </c>
      <c r="I1213" s="9" t="inlineStr"/>
      <c r="J1213" s="11">
        <f>IF(E1213="Private",F1213,"")</f>
        <v/>
      </c>
      <c r="K1213" s="11">
        <f>IF(E1213="Private",G1213,"")</f>
        <v/>
      </c>
    </row>
    <row r="1214">
      <c r="A1214" s="9" t="n">
        <v>180489</v>
      </c>
      <c r="B1214" s="9" t="inlineStr">
        <is>
          <t>The University of Montana</t>
        </is>
      </c>
      <c r="C1214" s="9" t="inlineStr">
        <is>
          <t>Missoula</t>
        </is>
      </c>
      <c r="D1214" s="9" t="inlineStr">
        <is>
          <t>MT</t>
        </is>
      </c>
      <c r="E1214" s="9" t="inlineStr">
        <is>
          <t>Public</t>
        </is>
      </c>
      <c r="F1214" s="11" t="n">
        <v>16784</v>
      </c>
      <c r="G1214" s="11" t="n">
        <v>44511</v>
      </c>
      <c r="H1214" s="9">
        <f>COUNTIF($G$5:$G$1531,"&gt;"&amp;G1214)+1</f>
        <v/>
      </c>
      <c r="I1214" s="9" t="inlineStr"/>
      <c r="J1214" s="11">
        <f>IF(E1214="Private",F1214,"")</f>
        <v/>
      </c>
      <c r="K1214" s="11">
        <f>IF(E1214="Private",G1214,"")</f>
        <v/>
      </c>
    </row>
    <row r="1215">
      <c r="A1215" s="9" t="n">
        <v>231651</v>
      </c>
      <c r="B1215" s="9" t="inlineStr">
        <is>
          <t>Regent University</t>
        </is>
      </c>
      <c r="C1215" s="9" t="inlineStr">
        <is>
          <t>Virginia Beach</t>
        </is>
      </c>
      <c r="D1215" s="9" t="inlineStr">
        <is>
          <t>VA</t>
        </is>
      </c>
      <c r="E1215" s="9" t="inlineStr">
        <is>
          <t>Private</t>
        </is>
      </c>
      <c r="F1215" s="11" t="n">
        <v>19923</v>
      </c>
      <c r="G1215" s="11" t="n">
        <v>44498</v>
      </c>
      <c r="H1215" s="9">
        <f>COUNTIF($G$5:$G$1531,"&gt;"&amp;G1215)+1</f>
        <v/>
      </c>
      <c r="I1215" s="9" t="inlineStr"/>
      <c r="J1215" s="11">
        <f>IF(E1215="Private",F1215,"")</f>
        <v/>
      </c>
      <c r="K1215" s="11">
        <f>IF(E1215="Private",G1215,"")</f>
        <v/>
      </c>
    </row>
    <row r="1216">
      <c r="A1216" s="9" t="n">
        <v>154855</v>
      </c>
      <c r="B1216" s="9" t="inlineStr">
        <is>
          <t>Central Christian College of Kansas</t>
        </is>
      </c>
      <c r="C1216" s="9" t="inlineStr">
        <is>
          <t>McPherson</t>
        </is>
      </c>
      <c r="D1216" s="9" t="inlineStr">
        <is>
          <t>KS</t>
        </is>
      </c>
      <c r="E1216" s="9" t="inlineStr">
        <is>
          <t>Private</t>
        </is>
      </c>
      <c r="F1216" s="11" t="n">
        <v>11404</v>
      </c>
      <c r="G1216" s="11" t="n">
        <v>44468</v>
      </c>
      <c r="H1216" s="9">
        <f>COUNTIF($G$5:$G$1531,"&gt;"&amp;G1216)+1</f>
        <v/>
      </c>
      <c r="I1216" s="9" t="inlineStr"/>
      <c r="J1216" s="11">
        <f>IF(E1216="Private",F1216,"")</f>
        <v/>
      </c>
      <c r="K1216" s="11">
        <f>IF(E1216="Private",G1216,"")</f>
        <v/>
      </c>
    </row>
    <row r="1217">
      <c r="A1217" s="9" t="n">
        <v>199102</v>
      </c>
      <c r="B1217" s="9" t="inlineStr">
        <is>
          <t>North Carolina A &amp; T State University</t>
        </is>
      </c>
      <c r="C1217" s="9" t="inlineStr">
        <is>
          <t>Greensboro</t>
        </is>
      </c>
      <c r="D1217" s="9" t="inlineStr">
        <is>
          <t>NC</t>
        </is>
      </c>
      <c r="E1217" s="9" t="inlineStr">
        <is>
          <t>Public</t>
        </is>
      </c>
      <c r="F1217" s="11" t="n">
        <v>10846</v>
      </c>
      <c r="G1217" s="11" t="n">
        <v>44440</v>
      </c>
      <c r="H1217" s="9">
        <f>COUNTIF($G$5:$G$1531,"&gt;"&amp;G1217)+1</f>
        <v/>
      </c>
      <c r="I1217" s="9" t="inlineStr"/>
      <c r="J1217" s="11">
        <f>IF(E1217="Private",F1217,"")</f>
        <v/>
      </c>
      <c r="K1217" s="11">
        <f>IF(E1217="Private",G1217,"")</f>
        <v/>
      </c>
    </row>
    <row r="1218">
      <c r="A1218" s="9" t="n">
        <v>161226</v>
      </c>
      <c r="B1218" s="9" t="inlineStr">
        <is>
          <t>University of Maine at Farmington</t>
        </is>
      </c>
      <c r="C1218" s="9" t="inlineStr">
        <is>
          <t>Farmington</t>
        </is>
      </c>
      <c r="D1218" s="9" t="inlineStr">
        <is>
          <t>ME</t>
        </is>
      </c>
      <c r="E1218" s="9" t="inlineStr">
        <is>
          <t>Public</t>
        </is>
      </c>
      <c r="F1218" s="11" t="n">
        <v>16857</v>
      </c>
      <c r="G1218" s="11" t="n">
        <v>44433</v>
      </c>
      <c r="H1218" s="9">
        <f>COUNTIF($G$5:$G$1531,"&gt;"&amp;G1218)+1</f>
        <v/>
      </c>
      <c r="I1218" s="9" t="inlineStr"/>
      <c r="J1218" s="11">
        <f>IF(E1218="Private",F1218,"")</f>
        <v/>
      </c>
      <c r="K1218" s="11">
        <f>IF(E1218="Private",G1218,"")</f>
        <v/>
      </c>
    </row>
    <row r="1219">
      <c r="A1219" s="9" t="n">
        <v>232672</v>
      </c>
      <c r="B1219" s="9" t="inlineStr">
        <is>
          <t>Mary Baldwin University</t>
        </is>
      </c>
      <c r="C1219" s="9" t="inlineStr">
        <is>
          <t>Staunton</t>
        </is>
      </c>
      <c r="D1219" s="9" t="inlineStr">
        <is>
          <t>VA</t>
        </is>
      </c>
      <c r="E1219" s="9" t="inlineStr">
        <is>
          <t>Private</t>
        </is>
      </c>
      <c r="F1219" s="11" t="n">
        <v>12756</v>
      </c>
      <c r="G1219" s="11" t="n">
        <v>44427</v>
      </c>
      <c r="H1219" s="9">
        <f>COUNTIF($G$5:$G$1531,"&gt;"&amp;G1219)+1</f>
        <v/>
      </c>
      <c r="I1219" s="9" t="inlineStr"/>
      <c r="J1219" s="11">
        <f>IF(E1219="Private",F1219,"")</f>
        <v/>
      </c>
      <c r="K1219" s="11">
        <f>IF(E1219="Private",G1219,"")</f>
        <v/>
      </c>
    </row>
    <row r="1220">
      <c r="A1220" s="9" t="n">
        <v>100830</v>
      </c>
      <c r="B1220" s="9" t="inlineStr">
        <is>
          <t>Auburn University at Montgomery</t>
        </is>
      </c>
      <c r="C1220" s="9" t="inlineStr">
        <is>
          <t>Montgomery</t>
        </is>
      </c>
      <c r="D1220" s="9" t="inlineStr">
        <is>
          <t>AL</t>
        </is>
      </c>
      <c r="E1220" s="9" t="inlineStr">
        <is>
          <t>Public</t>
        </is>
      </c>
      <c r="F1220" s="11" t="n">
        <v>13224</v>
      </c>
      <c r="G1220" s="11" t="n">
        <v>44391</v>
      </c>
      <c r="H1220" s="9">
        <f>COUNTIF($G$5:$G$1531,"&gt;"&amp;G1220)+1</f>
        <v/>
      </c>
      <c r="I1220" s="9" t="inlineStr"/>
      <c r="J1220" s="11">
        <f>IF(E1220="Private",F1220,"")</f>
        <v/>
      </c>
      <c r="K1220" s="11">
        <f>IF(E1220="Private",G1220,"")</f>
        <v/>
      </c>
    </row>
    <row r="1221">
      <c r="A1221" s="9" t="n">
        <v>107558</v>
      </c>
      <c r="B1221" s="9" t="inlineStr">
        <is>
          <t>University of the Ozarks</t>
        </is>
      </c>
      <c r="C1221" s="9" t="inlineStr">
        <is>
          <t>Clarksville</t>
        </is>
      </c>
      <c r="D1221" s="9" t="inlineStr">
        <is>
          <t>AR</t>
        </is>
      </c>
      <c r="E1221" s="9" t="inlineStr">
        <is>
          <t>Private</t>
        </is>
      </c>
      <c r="F1221" s="11" t="n">
        <v>17360</v>
      </c>
      <c r="G1221" s="11" t="n">
        <v>44384</v>
      </c>
      <c r="H1221" s="9">
        <f>COUNTIF($G$5:$G$1531,"&gt;"&amp;G1221)+1</f>
        <v/>
      </c>
      <c r="I1221" s="9" t="inlineStr"/>
      <c r="J1221" s="11">
        <f>IF(E1221="Private",F1221,"")</f>
        <v/>
      </c>
      <c r="K1221" s="11">
        <f>IF(E1221="Private",G1221,"")</f>
        <v/>
      </c>
    </row>
    <row r="1222">
      <c r="A1222" s="9" t="n">
        <v>126182</v>
      </c>
      <c r="B1222" s="9" t="inlineStr">
        <is>
          <t>Adams State University</t>
        </is>
      </c>
      <c r="C1222" s="9" t="inlineStr">
        <is>
          <t>Alamosa</t>
        </is>
      </c>
      <c r="D1222" s="9" t="inlineStr">
        <is>
          <t>CO</t>
        </is>
      </c>
      <c r="E1222" s="9" t="inlineStr">
        <is>
          <t>Public</t>
        </is>
      </c>
      <c r="F1222" s="11" t="n">
        <v>12980</v>
      </c>
      <c r="G1222" s="11" t="n">
        <v>44372</v>
      </c>
      <c r="H1222" s="9">
        <f>COUNTIF($G$5:$G$1531,"&gt;"&amp;G1222)+1</f>
        <v/>
      </c>
      <c r="I1222" s="9" t="inlineStr"/>
      <c r="J1222" s="11">
        <f>IF(E1222="Private",F1222,"")</f>
        <v/>
      </c>
      <c r="K1222" s="11">
        <f>IF(E1222="Private",G1222,"")</f>
        <v/>
      </c>
    </row>
    <row r="1223">
      <c r="A1223" s="9" t="n">
        <v>221953</v>
      </c>
      <c r="B1223" s="9" t="inlineStr">
        <is>
          <t>Tusculum University</t>
        </is>
      </c>
      <c r="C1223" s="9" t="inlineStr">
        <is>
          <t>Greeneville</t>
        </is>
      </c>
      <c r="D1223" s="9" t="inlineStr">
        <is>
          <t>TN</t>
        </is>
      </c>
      <c r="E1223" s="9" t="inlineStr">
        <is>
          <t>Private</t>
        </is>
      </c>
      <c r="F1223" s="11" t="n">
        <v>21131</v>
      </c>
      <c r="G1223" s="11" t="n">
        <v>44367</v>
      </c>
      <c r="H1223" s="9">
        <f>COUNTIF($G$5:$G$1531,"&gt;"&amp;G1223)+1</f>
        <v/>
      </c>
      <c r="I1223" s="9" t="inlineStr"/>
      <c r="J1223" s="11">
        <f>IF(E1223="Private",F1223,"")</f>
        <v/>
      </c>
      <c r="K1223" s="11">
        <f>IF(E1223="Private",G1223,"")</f>
        <v/>
      </c>
    </row>
    <row r="1224">
      <c r="A1224" s="9" t="n">
        <v>207306</v>
      </c>
      <c r="B1224" s="9" t="inlineStr">
        <is>
          <t>Northwestern Oklahoma State University</t>
        </is>
      </c>
      <c r="C1224" s="9" t="inlineStr">
        <is>
          <t>Alva</t>
        </is>
      </c>
      <c r="D1224" s="9" t="inlineStr">
        <is>
          <t>OK</t>
        </is>
      </c>
      <c r="E1224" s="9" t="inlineStr">
        <is>
          <t>Public</t>
        </is>
      </c>
      <c r="F1224" s="11" t="n">
        <v>10104</v>
      </c>
      <c r="G1224" s="11" t="n">
        <v>44358</v>
      </c>
      <c r="H1224" s="9">
        <f>COUNTIF($G$5:$G$1531,"&gt;"&amp;G1224)+1</f>
        <v/>
      </c>
      <c r="I1224" s="9" t="inlineStr"/>
      <c r="J1224" s="11">
        <f>IF(E1224="Private",F1224,"")</f>
        <v/>
      </c>
      <c r="K1224" s="11">
        <f>IF(E1224="Private",G1224,"")</f>
        <v/>
      </c>
    </row>
    <row r="1225">
      <c r="A1225" s="9" t="n">
        <v>217749</v>
      </c>
      <c r="B1225" s="9" t="inlineStr">
        <is>
          <t>Bob Jones University</t>
        </is>
      </c>
      <c r="C1225" s="9" t="inlineStr">
        <is>
          <t>Greenville</t>
        </is>
      </c>
      <c r="D1225" s="9" t="inlineStr">
        <is>
          <t>SC</t>
        </is>
      </c>
      <c r="E1225" s="9" t="inlineStr">
        <is>
          <t>Private</t>
        </is>
      </c>
      <c r="F1225" s="11" t="n">
        <v>16641</v>
      </c>
      <c r="G1225" s="11" t="n">
        <v>44354</v>
      </c>
      <c r="H1225" s="9">
        <f>COUNTIF($G$5:$G$1531,"&gt;"&amp;G1225)+1</f>
        <v/>
      </c>
      <c r="I1225" s="9" t="inlineStr"/>
      <c r="J1225" s="11">
        <f>IF(E1225="Private",F1225,"")</f>
        <v/>
      </c>
      <c r="K1225" s="11">
        <f>IF(E1225="Private",G1225,"")</f>
        <v/>
      </c>
    </row>
    <row r="1226">
      <c r="A1226" s="9" t="n">
        <v>133650</v>
      </c>
      <c r="B1226" s="9" t="inlineStr">
        <is>
          <t>Florida Agricultural and Mechanical University</t>
        </is>
      </c>
      <c r="C1226" s="9" t="inlineStr">
        <is>
          <t>Tallahassee</t>
        </is>
      </c>
      <c r="D1226" s="9" t="inlineStr">
        <is>
          <t>FL</t>
        </is>
      </c>
      <c r="E1226" s="9" t="inlineStr">
        <is>
          <t>Public</t>
        </is>
      </c>
      <c r="F1226" s="11" t="n">
        <v>13739</v>
      </c>
      <c r="G1226" s="11" t="n">
        <v>44349</v>
      </c>
      <c r="H1226" s="9">
        <f>COUNTIF($G$5:$G$1531,"&gt;"&amp;G1226)+1</f>
        <v/>
      </c>
      <c r="I1226" s="9" t="inlineStr"/>
      <c r="J1226" s="11">
        <f>IF(E1226="Private",F1226,"")</f>
        <v/>
      </c>
      <c r="K1226" s="11">
        <f>IF(E1226="Private",G1226,"")</f>
        <v/>
      </c>
    </row>
    <row r="1227">
      <c r="A1227" s="9" t="n">
        <v>141325</v>
      </c>
      <c r="B1227" s="9" t="inlineStr">
        <is>
          <t>Wesleyan College</t>
        </is>
      </c>
      <c r="C1227" s="9" t="inlineStr">
        <is>
          <t>Macon</t>
        </is>
      </c>
      <c r="D1227" s="9" t="inlineStr">
        <is>
          <t>GA</t>
        </is>
      </c>
      <c r="E1227" s="9" t="inlineStr">
        <is>
          <t>Private</t>
        </is>
      </c>
      <c r="F1227" s="11" t="n">
        <v>12724</v>
      </c>
      <c r="G1227" s="11" t="n">
        <v>44317</v>
      </c>
      <c r="H1227" s="9">
        <f>COUNTIF($G$5:$G$1531,"&gt;"&amp;G1227)+1</f>
        <v/>
      </c>
      <c r="I1227" s="9" t="inlineStr"/>
      <c r="J1227" s="11">
        <f>IF(E1227="Private",F1227,"")</f>
        <v/>
      </c>
      <c r="K1227" s="11">
        <f>IF(E1227="Private",G1227,"")</f>
        <v/>
      </c>
    </row>
    <row r="1228">
      <c r="A1228" s="9" t="n">
        <v>219602</v>
      </c>
      <c r="B1228" s="9" t="inlineStr">
        <is>
          <t>Austin Peay State University</t>
        </is>
      </c>
      <c r="C1228" s="9" t="inlineStr">
        <is>
          <t>Clarksville</t>
        </is>
      </c>
      <c r="D1228" s="9" t="inlineStr">
        <is>
          <t>TN</t>
        </is>
      </c>
      <c r="E1228" s="9" t="inlineStr">
        <is>
          <t>Public</t>
        </is>
      </c>
      <c r="F1228" s="11" t="n">
        <v>9735</v>
      </c>
      <c r="G1228" s="11" t="n">
        <v>44301</v>
      </c>
      <c r="H1228" s="9">
        <f>COUNTIF($G$5:$G$1531,"&gt;"&amp;G1228)+1</f>
        <v/>
      </c>
      <c r="I1228" s="9" t="inlineStr"/>
      <c r="J1228" s="11">
        <f>IF(E1228="Private",F1228,"")</f>
        <v/>
      </c>
      <c r="K1228" s="11">
        <f>IF(E1228="Private",G1228,"")</f>
        <v/>
      </c>
    </row>
    <row r="1229">
      <c r="A1229" s="9" t="n">
        <v>232089</v>
      </c>
      <c r="B1229" s="9" t="inlineStr">
        <is>
          <t>Ferrum College</t>
        </is>
      </c>
      <c r="C1229" s="9" t="inlineStr">
        <is>
          <t>Ferrum</t>
        </is>
      </c>
      <c r="D1229" s="9" t="inlineStr">
        <is>
          <t>VA</t>
        </is>
      </c>
      <c r="E1229" s="9" t="inlineStr">
        <is>
          <t>Private</t>
        </is>
      </c>
      <c r="F1229" s="11" t="n">
        <v>20082</v>
      </c>
      <c r="G1229" s="11" t="n">
        <v>44296</v>
      </c>
      <c r="H1229" s="9">
        <f>COUNTIF($G$5:$G$1531,"&gt;"&amp;G1229)+1</f>
        <v/>
      </c>
      <c r="I1229" s="9" t="inlineStr"/>
      <c r="J1229" s="11">
        <f>IF(E1229="Private",F1229,"")</f>
        <v/>
      </c>
      <c r="K1229" s="11">
        <f>IF(E1229="Private",G1229,"")</f>
        <v/>
      </c>
    </row>
    <row r="1230">
      <c r="A1230" s="9" t="n">
        <v>180179</v>
      </c>
      <c r="B1230" s="9" t="inlineStr">
        <is>
          <t>Montana State University Billings</t>
        </is>
      </c>
      <c r="C1230" s="9" t="inlineStr">
        <is>
          <t>Billings</t>
        </is>
      </c>
      <c r="D1230" s="9" t="inlineStr">
        <is>
          <t>MT</t>
        </is>
      </c>
      <c r="E1230" s="9" t="inlineStr">
        <is>
          <t>Public</t>
        </is>
      </c>
      <c r="F1230" s="11" t="n">
        <v>16524</v>
      </c>
      <c r="G1230" s="11" t="n">
        <v>44296</v>
      </c>
      <c r="H1230" s="9">
        <f>COUNTIF($G$5:$G$1531,"&gt;"&amp;G1230)+1</f>
        <v/>
      </c>
      <c r="I1230" s="9" t="inlineStr"/>
      <c r="J1230" s="11">
        <f>IF(E1230="Private",F1230,"")</f>
        <v/>
      </c>
      <c r="K1230" s="11">
        <f>IF(E1230="Private",G1230,"")</f>
        <v/>
      </c>
    </row>
    <row r="1231">
      <c r="A1231" s="9" t="n">
        <v>157377</v>
      </c>
      <c r="B1231" s="9" t="inlineStr">
        <is>
          <t>Midway University</t>
        </is>
      </c>
      <c r="C1231" s="9" t="inlineStr">
        <is>
          <t>Midway</t>
        </is>
      </c>
      <c r="D1231" s="9" t="inlineStr">
        <is>
          <t>KY</t>
        </is>
      </c>
      <c r="E1231" s="9" t="inlineStr">
        <is>
          <t>Private</t>
        </is>
      </c>
      <c r="F1231" s="11" t="n">
        <v>29579</v>
      </c>
      <c r="G1231" s="11" t="n">
        <v>44246</v>
      </c>
      <c r="H1231" s="9">
        <f>COUNTIF($G$5:$G$1531,"&gt;"&amp;G1231)+1</f>
        <v/>
      </c>
      <c r="I1231" s="9" t="inlineStr"/>
      <c r="J1231" s="11">
        <f>IF(E1231="Private",F1231,"")</f>
        <v/>
      </c>
      <c r="K1231" s="11">
        <f>IF(E1231="Private",G1231,"")</f>
        <v/>
      </c>
    </row>
    <row r="1232">
      <c r="A1232" s="9" t="n">
        <v>131399</v>
      </c>
      <c r="B1232" s="9" t="inlineStr">
        <is>
          <t>University of the District of Columbia</t>
        </is>
      </c>
      <c r="C1232" s="9" t="inlineStr">
        <is>
          <t>Washington</t>
        </is>
      </c>
      <c r="D1232" s="9" t="inlineStr">
        <is>
          <t>DC</t>
        </is>
      </c>
      <c r="E1232" s="9" t="inlineStr">
        <is>
          <t>Public</t>
        </is>
      </c>
      <c r="F1232" s="11" t="n">
        <v>10648</v>
      </c>
      <c r="G1232" s="11" t="n">
        <v>44236</v>
      </c>
      <c r="H1232" s="9">
        <f>COUNTIF($G$5:$G$1531,"&gt;"&amp;G1232)+1</f>
        <v/>
      </c>
      <c r="I1232" s="9" t="inlineStr"/>
      <c r="J1232" s="11">
        <f>IF(E1232="Private",F1232,"")</f>
        <v/>
      </c>
      <c r="K1232" s="11">
        <f>IF(E1232="Private",G1232,"")</f>
        <v/>
      </c>
    </row>
    <row r="1233">
      <c r="A1233" s="9" t="n">
        <v>106342</v>
      </c>
      <c r="B1233" s="9" t="inlineStr">
        <is>
          <t>Lyon College</t>
        </is>
      </c>
      <c r="C1233" s="9" t="inlineStr">
        <is>
          <t>Batesville</t>
        </is>
      </c>
      <c r="D1233" s="9" t="inlineStr">
        <is>
          <t>AR</t>
        </is>
      </c>
      <c r="E1233" s="9" t="inlineStr">
        <is>
          <t>Private</t>
        </is>
      </c>
      <c r="F1233" s="11" t="n">
        <v>19616</v>
      </c>
      <c r="G1233" s="11" t="n">
        <v>44232</v>
      </c>
      <c r="H1233" s="9">
        <f>COUNTIF($G$5:$G$1531,"&gt;"&amp;G1233)+1</f>
        <v/>
      </c>
      <c r="I1233" s="9" t="inlineStr"/>
      <c r="J1233" s="11">
        <f>IF(E1233="Private",F1233,"")</f>
        <v/>
      </c>
      <c r="K1233" s="11">
        <f>IF(E1233="Private",G1233,"")</f>
        <v/>
      </c>
    </row>
    <row r="1234">
      <c r="A1234" s="9" t="n">
        <v>101587</v>
      </c>
      <c r="B1234" s="9" t="inlineStr">
        <is>
          <t>University of West Alabama</t>
        </is>
      </c>
      <c r="C1234" s="9" t="inlineStr">
        <is>
          <t>Livingston</t>
        </is>
      </c>
      <c r="D1234" s="9" t="inlineStr">
        <is>
          <t>AL</t>
        </is>
      </c>
      <c r="E1234" s="9" t="inlineStr">
        <is>
          <t>Public</t>
        </is>
      </c>
      <c r="F1234" s="11" t="n">
        <v>12684</v>
      </c>
      <c r="G1234" s="11" t="n">
        <v>44232</v>
      </c>
      <c r="H1234" s="9">
        <f>COUNTIF($G$5:$G$1531,"&gt;"&amp;G1234)+1</f>
        <v/>
      </c>
      <c r="I1234" s="9" t="inlineStr"/>
      <c r="J1234" s="11">
        <f>IF(E1234="Private",F1234,"")</f>
        <v/>
      </c>
      <c r="K1234" s="11">
        <f>IF(E1234="Private",G1234,"")</f>
        <v/>
      </c>
    </row>
    <row r="1235">
      <c r="A1235" s="9" t="n">
        <v>221768</v>
      </c>
      <c r="B1235" s="9" t="inlineStr">
        <is>
          <t>The University of Tennessee-Martin</t>
        </is>
      </c>
      <c r="C1235" s="9" t="inlineStr">
        <is>
          <t>Martin</t>
        </is>
      </c>
      <c r="D1235" s="9" t="inlineStr">
        <is>
          <t>TN</t>
        </is>
      </c>
      <c r="E1235" s="9" t="inlineStr">
        <is>
          <t>Public</t>
        </is>
      </c>
      <c r="F1235" s="11" t="n">
        <v>10701</v>
      </c>
      <c r="G1235" s="11" t="n">
        <v>44213</v>
      </c>
      <c r="H1235" s="9">
        <f>COUNTIF($G$5:$G$1531,"&gt;"&amp;G1235)+1</f>
        <v/>
      </c>
      <c r="I1235" s="9" t="inlineStr"/>
      <c r="J1235" s="11">
        <f>IF(E1235="Private",F1235,"")</f>
        <v/>
      </c>
      <c r="K1235" s="11">
        <f>IF(E1235="Private",G1235,"")</f>
        <v/>
      </c>
    </row>
    <row r="1236">
      <c r="A1236" s="9" t="n">
        <v>215114</v>
      </c>
      <c r="B1236" s="9" t="inlineStr">
        <is>
          <t>Cairn University-Langhorne</t>
        </is>
      </c>
      <c r="C1236" s="9" t="inlineStr">
        <is>
          <t>Langhorne</t>
        </is>
      </c>
      <c r="D1236" s="9" t="inlineStr">
        <is>
          <t>PA</t>
        </is>
      </c>
      <c r="E1236" s="9" t="inlineStr">
        <is>
          <t>Private</t>
        </is>
      </c>
      <c r="F1236" s="11" t="n">
        <v>27642</v>
      </c>
      <c r="G1236" s="11" t="n">
        <v>44172</v>
      </c>
      <c r="H1236" s="9">
        <f>COUNTIF($G$5:$G$1531,"&gt;"&amp;G1236)+1</f>
        <v/>
      </c>
      <c r="I1236" s="9" t="inlineStr"/>
      <c r="J1236" s="11">
        <f>IF(E1236="Private",F1236,"")</f>
        <v/>
      </c>
      <c r="K1236" s="11">
        <f>IF(E1236="Private",G1236,"")</f>
        <v/>
      </c>
    </row>
    <row r="1237">
      <c r="A1237" s="9" t="n">
        <v>176372</v>
      </c>
      <c r="B1237" s="9" t="inlineStr">
        <is>
          <t>University of Southern Mississippi</t>
        </is>
      </c>
      <c r="C1237" s="9" t="inlineStr">
        <is>
          <t>Hattiesburg</t>
        </is>
      </c>
      <c r="D1237" s="9" t="inlineStr">
        <is>
          <t>MS</t>
        </is>
      </c>
      <c r="E1237" s="9" t="inlineStr">
        <is>
          <t>Public</t>
        </is>
      </c>
      <c r="F1237" s="11" t="n">
        <v>21708</v>
      </c>
      <c r="G1237" s="11" t="n">
        <v>44140</v>
      </c>
      <c r="H1237" s="9">
        <f>COUNTIF($G$5:$G$1531,"&gt;"&amp;G1237)+1</f>
        <v/>
      </c>
      <c r="I1237" s="9" t="inlineStr"/>
      <c r="J1237" s="11">
        <f>IF(E1237="Private",F1237,"")</f>
        <v/>
      </c>
      <c r="K1237" s="11">
        <f>IF(E1237="Private",G1237,"")</f>
        <v/>
      </c>
    </row>
    <row r="1238">
      <c r="A1238" s="9" t="n">
        <v>181853</v>
      </c>
      <c r="B1238" s="9" t="inlineStr">
        <is>
          <t>York University</t>
        </is>
      </c>
      <c r="C1238" s="9" t="inlineStr">
        <is>
          <t>York</t>
        </is>
      </c>
      <c r="D1238" s="9" t="inlineStr">
        <is>
          <t>NE</t>
        </is>
      </c>
      <c r="E1238" s="9" t="inlineStr">
        <is>
          <t>Private</t>
        </is>
      </c>
      <c r="F1238" s="11" t="n">
        <v>20951</v>
      </c>
      <c r="G1238" s="11" t="n">
        <v>44130</v>
      </c>
      <c r="H1238" s="9">
        <f>COUNTIF($G$5:$G$1531,"&gt;"&amp;G1238)+1</f>
        <v/>
      </c>
      <c r="I1238" s="9" t="inlineStr"/>
      <c r="J1238" s="11">
        <f>IF(E1238="Private",F1238,"")</f>
        <v/>
      </c>
      <c r="K1238" s="11">
        <f>IF(E1238="Private",G1238,"")</f>
        <v/>
      </c>
    </row>
    <row r="1239">
      <c r="A1239" s="9" t="n">
        <v>126711</v>
      </c>
      <c r="B1239" s="9" t="inlineStr">
        <is>
          <t>Colorado Mountain College</t>
        </is>
      </c>
      <c r="C1239" s="9" t="inlineStr">
        <is>
          <t>Glenwood Springs</t>
        </is>
      </c>
      <c r="D1239" s="9" t="inlineStr">
        <is>
          <t>CO</t>
        </is>
      </c>
      <c r="E1239" s="9" t="inlineStr">
        <is>
          <t>Public</t>
        </is>
      </c>
      <c r="F1239" s="11" t="n">
        <v>7813</v>
      </c>
      <c r="G1239" s="11" t="n">
        <v>44127</v>
      </c>
      <c r="H1239" s="9">
        <f>COUNTIF($G$5:$G$1531,"&gt;"&amp;G1239)+1</f>
        <v/>
      </c>
      <c r="I1239" s="9" t="inlineStr"/>
      <c r="J1239" s="11">
        <f>IF(E1239="Private",F1239,"")</f>
        <v/>
      </c>
      <c r="K1239" s="11">
        <f>IF(E1239="Private",G1239,"")</f>
        <v/>
      </c>
    </row>
    <row r="1240">
      <c r="A1240" s="9" t="n">
        <v>213400</v>
      </c>
      <c r="B1240" s="9" t="inlineStr">
        <is>
          <t>Lancaster Bible College</t>
        </is>
      </c>
      <c r="C1240" s="9" t="inlineStr">
        <is>
          <t>Lancaster</t>
        </is>
      </c>
      <c r="D1240" s="9" t="inlineStr">
        <is>
          <t>PA</t>
        </is>
      </c>
      <c r="E1240" s="9" t="inlineStr">
        <is>
          <t>Private</t>
        </is>
      </c>
      <c r="F1240" s="11" t="n">
        <v>25480</v>
      </c>
      <c r="G1240" s="11" t="n">
        <v>44096</v>
      </c>
      <c r="H1240" s="9">
        <f>COUNTIF($G$5:$G$1531,"&gt;"&amp;G1240)+1</f>
        <v/>
      </c>
      <c r="I1240" s="9" t="inlineStr"/>
      <c r="J1240" s="11">
        <f>IF(E1240="Private",F1240,"")</f>
        <v/>
      </c>
      <c r="K1240" s="11">
        <f>IF(E1240="Private",G1240,"")</f>
        <v/>
      </c>
    </row>
    <row r="1241">
      <c r="A1241" s="9" t="n">
        <v>199111</v>
      </c>
      <c r="B1241" s="9" t="inlineStr">
        <is>
          <t>University of North Carolina Asheville</t>
        </is>
      </c>
      <c r="C1241" s="9" t="inlineStr">
        <is>
          <t>Asheville</t>
        </is>
      </c>
      <c r="D1241" s="9" t="inlineStr">
        <is>
          <t>NC</t>
        </is>
      </c>
      <c r="E1241" s="9" t="inlineStr">
        <is>
          <t>Public</t>
        </is>
      </c>
      <c r="F1241" s="11" t="n">
        <v>12250</v>
      </c>
      <c r="G1241" s="11" t="n">
        <v>44030</v>
      </c>
      <c r="H1241" s="9">
        <f>COUNTIF($G$5:$G$1531,"&gt;"&amp;G1241)+1</f>
        <v/>
      </c>
      <c r="I1241" s="9" t="inlineStr"/>
      <c r="J1241" s="11">
        <f>IF(E1241="Private",F1241,"")</f>
        <v/>
      </c>
      <c r="K1241" s="11">
        <f>IF(E1241="Private",G1241,"")</f>
        <v/>
      </c>
    </row>
    <row r="1242">
      <c r="A1242" s="9" t="n">
        <v>179557</v>
      </c>
      <c r="B1242" s="9" t="inlineStr">
        <is>
          <t>Southeast Missouri State University</t>
        </is>
      </c>
      <c r="C1242" s="9" t="inlineStr">
        <is>
          <t>Cape Girardeau</t>
        </is>
      </c>
      <c r="D1242" s="9" t="inlineStr">
        <is>
          <t>MO</t>
        </is>
      </c>
      <c r="E1242" s="9" t="inlineStr">
        <is>
          <t>Public</t>
        </is>
      </c>
      <c r="F1242" s="11" t="n">
        <v>15882</v>
      </c>
      <c r="G1242" s="11" t="n">
        <v>44030</v>
      </c>
      <c r="H1242" s="9">
        <f>COUNTIF($G$5:$G$1531,"&gt;"&amp;G1242)+1</f>
        <v/>
      </c>
      <c r="I1242" s="9" t="inlineStr"/>
      <c r="J1242" s="11">
        <f>IF(E1242="Private",F1242,"")</f>
        <v/>
      </c>
      <c r="K1242" s="11">
        <f>IF(E1242="Private",G1242,"")</f>
        <v/>
      </c>
    </row>
    <row r="1243">
      <c r="A1243" s="9" t="n">
        <v>157951</v>
      </c>
      <c r="B1243" s="9" t="inlineStr">
        <is>
          <t>Western Kentucky University</t>
        </is>
      </c>
      <c r="C1243" s="9" t="inlineStr">
        <is>
          <t>Bowling Green</t>
        </is>
      </c>
      <c r="D1243" s="9" t="inlineStr">
        <is>
          <t>KY</t>
        </is>
      </c>
      <c r="E1243" s="9" t="inlineStr">
        <is>
          <t>Public</t>
        </is>
      </c>
      <c r="F1243" s="11" t="n">
        <v>10990</v>
      </c>
      <c r="G1243" s="11" t="n">
        <v>43889</v>
      </c>
      <c r="H1243" s="9">
        <f>COUNTIF($G$5:$G$1531,"&gt;"&amp;G1243)+1</f>
        <v/>
      </c>
      <c r="I1243" s="9" t="inlineStr"/>
      <c r="J1243" s="11">
        <f>IF(E1243="Private",F1243,"")</f>
        <v/>
      </c>
      <c r="K1243" s="11">
        <f>IF(E1243="Private",G1243,"")</f>
        <v/>
      </c>
    </row>
    <row r="1244">
      <c r="A1244" s="9" t="n">
        <v>218061</v>
      </c>
      <c r="B1244" s="9" t="inlineStr">
        <is>
          <t>Francis Marion University</t>
        </is>
      </c>
      <c r="C1244" s="9" t="inlineStr">
        <is>
          <t>Florence</t>
        </is>
      </c>
      <c r="D1244" s="9" t="inlineStr">
        <is>
          <t>SC</t>
        </is>
      </c>
      <c r="E1244" s="9" t="inlineStr">
        <is>
          <t>Public</t>
        </is>
      </c>
      <c r="F1244" s="11" t="n">
        <v>11386</v>
      </c>
      <c r="G1244" s="11" t="n">
        <v>43888</v>
      </c>
      <c r="H1244" s="9">
        <f>COUNTIF($G$5:$G$1531,"&gt;"&amp;G1244)+1</f>
        <v/>
      </c>
      <c r="I1244" s="9" t="inlineStr"/>
      <c r="J1244" s="11">
        <f>IF(E1244="Private",F1244,"")</f>
        <v/>
      </c>
      <c r="K1244" s="11">
        <f>IF(E1244="Private",G1244,"")</f>
        <v/>
      </c>
    </row>
    <row r="1245">
      <c r="A1245" s="9" t="n">
        <v>152381</v>
      </c>
      <c r="B1245" s="9" t="inlineStr">
        <is>
          <t>Saint Mary-of-the-Woods College</t>
        </is>
      </c>
      <c r="C1245" s="9" t="inlineStr">
        <is>
          <t>Saint Mary of the Woods</t>
        </is>
      </c>
      <c r="D1245" s="9" t="inlineStr">
        <is>
          <t>IN</t>
        </is>
      </c>
      <c r="E1245" s="9" t="inlineStr">
        <is>
          <t>Private</t>
        </is>
      </c>
      <c r="F1245" s="11" t="n">
        <v>31872</v>
      </c>
      <c r="G1245" s="11" t="n">
        <v>43845</v>
      </c>
      <c r="H1245" s="9">
        <f>COUNTIF($G$5:$G$1531,"&gt;"&amp;G1245)+1</f>
        <v/>
      </c>
      <c r="I1245" s="9" t="inlineStr"/>
      <c r="J1245" s="11">
        <f>IF(E1245="Private",F1245,"")</f>
        <v/>
      </c>
      <c r="K1245" s="11">
        <f>IF(E1245="Private",G1245,"")</f>
        <v/>
      </c>
    </row>
    <row r="1246">
      <c r="A1246" s="9" t="n">
        <v>101693</v>
      </c>
      <c r="B1246" s="9" t="inlineStr">
        <is>
          <t>University of Mobile</t>
        </is>
      </c>
      <c r="C1246" s="9" t="inlineStr">
        <is>
          <t>Mobile</t>
        </is>
      </c>
      <c r="D1246" s="9" t="inlineStr">
        <is>
          <t>AL</t>
        </is>
      </c>
      <c r="E1246" s="9" t="inlineStr">
        <is>
          <t>Private</t>
        </is>
      </c>
      <c r="F1246" s="11" t="n">
        <v>22382</v>
      </c>
      <c r="G1246" s="11" t="n">
        <v>43611</v>
      </c>
      <c r="H1246" s="9">
        <f>COUNTIF($G$5:$G$1531,"&gt;"&amp;G1246)+1</f>
        <v/>
      </c>
      <c r="I1246" s="9" t="inlineStr"/>
      <c r="J1246" s="11">
        <f>IF(E1246="Private",F1246,"")</f>
        <v/>
      </c>
      <c r="K1246" s="11">
        <f>IF(E1246="Private",G1246,"")</f>
        <v/>
      </c>
    </row>
    <row r="1247">
      <c r="A1247" s="9" t="n">
        <v>129154</v>
      </c>
      <c r="B1247" s="9" t="inlineStr">
        <is>
          <t>Goodwin University</t>
        </is>
      </c>
      <c r="C1247" s="9" t="inlineStr">
        <is>
          <t>East Hartford</t>
        </is>
      </c>
      <c r="D1247" s="9" t="inlineStr">
        <is>
          <t>CT</t>
        </is>
      </c>
      <c r="E1247" s="9" t="inlineStr">
        <is>
          <t>Private</t>
        </is>
      </c>
      <c r="F1247" s="11" t="n">
        <v>29249</v>
      </c>
      <c r="G1247" s="11" t="n">
        <v>43596</v>
      </c>
      <c r="H1247" s="9">
        <f>COUNTIF($G$5:$G$1531,"&gt;"&amp;G1247)+1</f>
        <v/>
      </c>
      <c r="I1247" s="9" t="inlineStr"/>
      <c r="J1247" s="11">
        <f>IF(E1247="Private",F1247,"")</f>
        <v/>
      </c>
      <c r="K1247" s="11">
        <f>IF(E1247="Private",G1247,"")</f>
        <v/>
      </c>
    </row>
    <row r="1248">
      <c r="A1248" s="9" t="n">
        <v>198066</v>
      </c>
      <c r="B1248" s="9" t="inlineStr">
        <is>
          <t>Brevard College</t>
        </is>
      </c>
      <c r="C1248" s="9" t="inlineStr">
        <is>
          <t>Brevard</t>
        </is>
      </c>
      <c r="D1248" s="9" t="inlineStr">
        <is>
          <t>NC</t>
        </is>
      </c>
      <c r="E1248" s="9" t="inlineStr">
        <is>
          <t>Private</t>
        </is>
      </c>
      <c r="F1248" s="11" t="n">
        <v>23509</v>
      </c>
      <c r="G1248" s="11" t="n">
        <v>43545</v>
      </c>
      <c r="H1248" s="9">
        <f>COUNTIF($G$5:$G$1531,"&gt;"&amp;G1248)+1</f>
        <v/>
      </c>
      <c r="I1248" s="9" t="inlineStr"/>
      <c r="J1248" s="11">
        <f>IF(E1248="Private",F1248,"")</f>
        <v/>
      </c>
      <c r="K1248" s="11">
        <f>IF(E1248="Private",G1248,"")</f>
        <v/>
      </c>
    </row>
    <row r="1249">
      <c r="A1249" s="9" t="n">
        <v>224244</v>
      </c>
      <c r="B1249" s="9" t="inlineStr">
        <is>
          <t>Dallas Christian College</t>
        </is>
      </c>
      <c r="C1249" s="9" t="inlineStr">
        <is>
          <t>Dallas</t>
        </is>
      </c>
      <c r="D1249" s="9" t="inlineStr">
        <is>
          <t>TX</t>
        </is>
      </c>
      <c r="E1249" s="9" t="inlineStr">
        <is>
          <t>Private</t>
        </is>
      </c>
      <c r="F1249" s="11" t="n">
        <v>22960</v>
      </c>
      <c r="G1249" s="11" t="n">
        <v>43503</v>
      </c>
      <c r="H1249" s="9">
        <f>COUNTIF($G$5:$G$1531,"&gt;"&amp;G1249)+1</f>
        <v/>
      </c>
      <c r="I1249" s="9" t="inlineStr"/>
      <c r="J1249" s="11">
        <f>IF(E1249="Private",F1249,"")</f>
        <v/>
      </c>
      <c r="K1249" s="11">
        <f>IF(E1249="Private",G1249,"")</f>
        <v/>
      </c>
    </row>
    <row r="1250">
      <c r="A1250" s="9" t="n">
        <v>107071</v>
      </c>
      <c r="B1250" s="9" t="inlineStr">
        <is>
          <t>Henderson State University</t>
        </is>
      </c>
      <c r="C1250" s="9" t="inlineStr">
        <is>
          <t>Arkadelphia</t>
        </is>
      </c>
      <c r="D1250" s="9" t="inlineStr">
        <is>
          <t>AR</t>
        </is>
      </c>
      <c r="E1250" s="9" t="inlineStr">
        <is>
          <t>Public</t>
        </is>
      </c>
      <c r="F1250" s="11" t="n">
        <v>23405</v>
      </c>
      <c r="G1250" s="11" t="n">
        <v>43459</v>
      </c>
      <c r="H1250" s="9">
        <f>COUNTIF($G$5:$G$1531,"&gt;"&amp;G1250)+1</f>
        <v/>
      </c>
      <c r="I1250" s="9" t="inlineStr"/>
      <c r="J1250" s="11">
        <f>IF(E1250="Private",F1250,"")</f>
        <v/>
      </c>
      <c r="K1250" s="11">
        <f>IF(E1250="Private",G1250,"")</f>
        <v/>
      </c>
    </row>
    <row r="1251">
      <c r="A1251" s="9" t="n">
        <v>101189</v>
      </c>
      <c r="B1251" s="9" t="inlineStr">
        <is>
          <t>Faulkner University</t>
        </is>
      </c>
      <c r="C1251" s="9" t="inlineStr">
        <is>
          <t>Montgomery</t>
        </is>
      </c>
      <c r="D1251" s="9" t="inlineStr">
        <is>
          <t>AL</t>
        </is>
      </c>
      <c r="E1251" s="9" t="inlineStr">
        <is>
          <t>Private</t>
        </is>
      </c>
      <c r="F1251" s="11" t="n">
        <v>22085</v>
      </c>
      <c r="G1251" s="11" t="n">
        <v>43457</v>
      </c>
      <c r="H1251" s="9">
        <f>COUNTIF($G$5:$G$1531,"&gt;"&amp;G1251)+1</f>
        <v/>
      </c>
      <c r="I1251" s="9" t="inlineStr"/>
      <c r="J1251" s="11">
        <f>IF(E1251="Private",F1251,"")</f>
        <v/>
      </c>
      <c r="K1251" s="11">
        <f>IF(E1251="Private",G1251,"")</f>
        <v/>
      </c>
    </row>
    <row r="1252">
      <c r="A1252" s="9" t="n">
        <v>133809</v>
      </c>
      <c r="B1252" s="9" t="inlineStr">
        <is>
          <t>Florida College</t>
        </is>
      </c>
      <c r="C1252" s="9" t="inlineStr">
        <is>
          <t>Temple Terrace</t>
        </is>
      </c>
      <c r="D1252" s="9" t="inlineStr">
        <is>
          <t>FL</t>
        </is>
      </c>
      <c r="E1252" s="9" t="inlineStr">
        <is>
          <t>Private</t>
        </is>
      </c>
      <c r="F1252" s="11" t="n">
        <v>23931</v>
      </c>
      <c r="G1252" s="11" t="n">
        <v>43445</v>
      </c>
      <c r="H1252" s="9">
        <f>COUNTIF($G$5:$G$1531,"&gt;"&amp;G1252)+1</f>
        <v/>
      </c>
      <c r="I1252" s="9" t="inlineStr"/>
      <c r="J1252" s="11">
        <f>IF(E1252="Private",F1252,"")</f>
        <v/>
      </c>
      <c r="K1252" s="11">
        <f>IF(E1252="Private",G1252,"")</f>
        <v/>
      </c>
    </row>
    <row r="1253">
      <c r="A1253" s="9" t="n">
        <v>133508</v>
      </c>
      <c r="B1253" s="9" t="inlineStr">
        <is>
          <t>Florida SouthWestern State College</t>
        </is>
      </c>
      <c r="C1253" s="9" t="inlineStr">
        <is>
          <t>Fort Myers</t>
        </is>
      </c>
      <c r="D1253" s="9" t="inlineStr">
        <is>
          <t>FL</t>
        </is>
      </c>
      <c r="E1253" s="9" t="inlineStr">
        <is>
          <t>Public</t>
        </is>
      </c>
      <c r="F1253" s="11" t="n">
        <v>7247</v>
      </c>
      <c r="G1253" s="11" t="n">
        <v>43421</v>
      </c>
      <c r="H1253" s="9">
        <f>COUNTIF($G$5:$G$1531,"&gt;"&amp;G1253)+1</f>
        <v/>
      </c>
      <c r="I1253" s="9" t="inlineStr"/>
      <c r="J1253" s="11">
        <f>IF(E1253="Private",F1253,"")</f>
        <v/>
      </c>
      <c r="K1253" s="11">
        <f>IF(E1253="Private",G1253,"")</f>
        <v/>
      </c>
    </row>
    <row r="1254">
      <c r="A1254" s="9" t="n">
        <v>217235</v>
      </c>
      <c r="B1254" s="9" t="inlineStr">
        <is>
          <t>Johnson &amp; Wales University-Providence</t>
        </is>
      </c>
      <c r="C1254" s="9" t="inlineStr">
        <is>
          <t>Providence</t>
        </is>
      </c>
      <c r="D1254" s="9" t="inlineStr">
        <is>
          <t>RI</t>
        </is>
      </c>
      <c r="E1254" s="9" t="inlineStr">
        <is>
          <t>Private</t>
        </is>
      </c>
      <c r="F1254" s="11" t="n">
        <v>31027</v>
      </c>
      <c r="G1254" s="11" t="n">
        <v>43418</v>
      </c>
      <c r="H1254" s="9">
        <f>COUNTIF($G$5:$G$1531,"&gt;"&amp;G1254)+1</f>
        <v/>
      </c>
      <c r="I1254" s="9" t="inlineStr"/>
      <c r="J1254" s="11">
        <f>IF(E1254="Private",F1254,"")</f>
        <v/>
      </c>
      <c r="K1254" s="11">
        <f>IF(E1254="Private",G1254,"")</f>
        <v/>
      </c>
    </row>
    <row r="1255">
      <c r="A1255" s="9" t="n">
        <v>445708</v>
      </c>
      <c r="B1255" s="9" t="inlineStr">
        <is>
          <t>Johnson &amp; Wales University-Charlotte</t>
        </is>
      </c>
      <c r="C1255" s="9" t="inlineStr">
        <is>
          <t>Charlotte</t>
        </is>
      </c>
      <c r="D1255" s="9" t="inlineStr">
        <is>
          <t>NC</t>
        </is>
      </c>
      <c r="E1255" s="9" t="inlineStr">
        <is>
          <t>Private</t>
        </is>
      </c>
      <c r="F1255" s="11" t="n">
        <v>27426</v>
      </c>
      <c r="G1255" s="11" t="n">
        <v>43418</v>
      </c>
      <c r="H1255" s="9">
        <f>COUNTIF($G$5:$G$1531,"&gt;"&amp;G1255)+1</f>
        <v/>
      </c>
      <c r="I1255" s="9" t="inlineStr"/>
      <c r="J1255" s="11">
        <f>IF(E1255="Private",F1255,"")</f>
        <v/>
      </c>
      <c r="K1255" s="11">
        <f>IF(E1255="Private",G1255,"")</f>
        <v/>
      </c>
    </row>
    <row r="1256">
      <c r="A1256" s="9" t="n">
        <v>460349</v>
      </c>
      <c r="B1256" s="9" t="inlineStr">
        <is>
          <t>Johnson &amp; Wales University-Online</t>
        </is>
      </c>
      <c r="C1256" s="9" t="inlineStr">
        <is>
          <t>Providence</t>
        </is>
      </c>
      <c r="D1256" s="9" t="inlineStr">
        <is>
          <t>RI</t>
        </is>
      </c>
      <c r="E1256" s="9" t="inlineStr">
        <is>
          <t>Private</t>
        </is>
      </c>
      <c r="F1256" s="11" t="n">
        <v>20252</v>
      </c>
      <c r="G1256" s="11" t="n">
        <v>43418</v>
      </c>
      <c r="H1256" s="9">
        <f>COUNTIF($G$5:$G$1531,"&gt;"&amp;G1256)+1</f>
        <v/>
      </c>
      <c r="I1256" s="9" t="inlineStr"/>
      <c r="J1256" s="11">
        <f>IF(E1256="Private",F1256,"")</f>
        <v/>
      </c>
      <c r="K1256" s="11">
        <f>IF(E1256="Private",G1256,"")</f>
        <v/>
      </c>
    </row>
    <row r="1257">
      <c r="A1257" s="9" t="n">
        <v>198808</v>
      </c>
      <c r="B1257" s="9" t="inlineStr">
        <is>
          <t>Lees-McRae College</t>
        </is>
      </c>
      <c r="C1257" s="9" t="inlineStr">
        <is>
          <t>Banner Elk</t>
        </is>
      </c>
      <c r="D1257" s="9" t="inlineStr">
        <is>
          <t>NC</t>
        </is>
      </c>
      <c r="E1257" s="9" t="inlineStr">
        <is>
          <t>Private</t>
        </is>
      </c>
      <c r="F1257" s="11" t="n">
        <v>28340</v>
      </c>
      <c r="G1257" s="11" t="n">
        <v>43415</v>
      </c>
      <c r="H1257" s="9">
        <f>COUNTIF($G$5:$G$1531,"&gt;"&amp;G1257)+1</f>
        <v/>
      </c>
      <c r="I1257" s="9" t="inlineStr"/>
      <c r="J1257" s="11">
        <f>IF(E1257="Private",F1257,"")</f>
        <v/>
      </c>
      <c r="K1257" s="11">
        <f>IF(E1257="Private",G1257,"")</f>
        <v/>
      </c>
    </row>
    <row r="1258">
      <c r="A1258" s="9" t="n">
        <v>237358</v>
      </c>
      <c r="B1258" s="9" t="inlineStr">
        <is>
          <t>Davis &amp; Elkins College</t>
        </is>
      </c>
      <c r="C1258" s="9" t="inlineStr">
        <is>
          <t>Elkins</t>
        </is>
      </c>
      <c r="D1258" s="9" t="inlineStr">
        <is>
          <t>WV</t>
        </is>
      </c>
      <c r="E1258" s="9" t="inlineStr">
        <is>
          <t>Private</t>
        </is>
      </c>
      <c r="F1258" s="11" t="n">
        <v>18273</v>
      </c>
      <c r="G1258" s="11" t="n">
        <v>43411</v>
      </c>
      <c r="H1258" s="9">
        <f>COUNTIF($G$5:$G$1531,"&gt;"&amp;G1258)+1</f>
        <v/>
      </c>
      <c r="I1258" s="9" t="inlineStr"/>
      <c r="J1258" s="11">
        <f>IF(E1258="Private",F1258,"")</f>
        <v/>
      </c>
      <c r="K1258" s="11">
        <f>IF(E1258="Private",G1258,"")</f>
        <v/>
      </c>
    </row>
    <row r="1259">
      <c r="A1259" s="9" t="n">
        <v>199281</v>
      </c>
      <c r="B1259" s="9" t="inlineStr">
        <is>
          <t>University of North Carolina at Pembroke</t>
        </is>
      </c>
      <c r="C1259" s="9" t="inlineStr">
        <is>
          <t>Pembroke</t>
        </is>
      </c>
      <c r="D1259" s="9" t="inlineStr">
        <is>
          <t>NC</t>
        </is>
      </c>
      <c r="E1259" s="9" t="inlineStr">
        <is>
          <t>Public</t>
        </is>
      </c>
      <c r="F1259" s="11" t="n">
        <v>10260</v>
      </c>
      <c r="G1259" s="11" t="n">
        <v>43407</v>
      </c>
      <c r="H1259" s="9">
        <f>COUNTIF($G$5:$G$1531,"&gt;"&amp;G1259)+1</f>
        <v/>
      </c>
      <c r="I1259" s="9" t="inlineStr"/>
      <c r="J1259" s="11">
        <f>IF(E1259="Private",F1259,"")</f>
        <v/>
      </c>
      <c r="K1259" s="11">
        <f>IF(E1259="Private",G1259,"")</f>
        <v/>
      </c>
    </row>
    <row r="1260">
      <c r="A1260" s="9" t="n">
        <v>160621</v>
      </c>
      <c r="B1260" s="9" t="inlineStr">
        <is>
          <t>Southern University and A &amp; M College</t>
        </is>
      </c>
      <c r="C1260" s="9" t="inlineStr">
        <is>
          <t>Baton Rouge</t>
        </is>
      </c>
      <c r="D1260" s="9" t="inlineStr">
        <is>
          <t>LA</t>
        </is>
      </c>
      <c r="E1260" s="9" t="inlineStr">
        <is>
          <t>Public</t>
        </is>
      </c>
      <c r="F1260" s="11" t="n">
        <v>20077</v>
      </c>
      <c r="G1260" s="11" t="n">
        <v>43371</v>
      </c>
      <c r="H1260" s="9">
        <f>COUNTIF($G$5:$G$1531,"&gt;"&amp;G1260)+1</f>
        <v/>
      </c>
      <c r="I1260" s="9" t="inlineStr"/>
      <c r="J1260" s="11">
        <f>IF(E1260="Private",F1260,"")</f>
        <v/>
      </c>
      <c r="K1260" s="11">
        <f>IF(E1260="Private",G1260,"")</f>
        <v/>
      </c>
    </row>
    <row r="1261">
      <c r="A1261" s="9" t="n">
        <v>151360</v>
      </c>
      <c r="B1261" s="9" t="inlineStr">
        <is>
          <t>Indiana University-Northwest</t>
        </is>
      </c>
      <c r="C1261" s="9" t="inlineStr">
        <is>
          <t>Gary</t>
        </is>
      </c>
      <c r="D1261" s="9" t="inlineStr">
        <is>
          <t>IN</t>
        </is>
      </c>
      <c r="E1261" s="9" t="inlineStr">
        <is>
          <t>Public</t>
        </is>
      </c>
      <c r="F1261" s="11" t="n">
        <v>5130</v>
      </c>
      <c r="G1261" s="11" t="n">
        <v>43361</v>
      </c>
      <c r="H1261" s="9">
        <f>COUNTIF($G$5:$G$1531,"&gt;"&amp;G1261)+1</f>
        <v/>
      </c>
      <c r="I1261" s="9" t="inlineStr"/>
      <c r="J1261" s="11">
        <f>IF(E1261="Private",F1261,"")</f>
        <v/>
      </c>
      <c r="K1261" s="11">
        <f>IF(E1261="Private",G1261,"")</f>
        <v/>
      </c>
    </row>
    <row r="1262">
      <c r="A1262" s="9" t="n">
        <v>217013</v>
      </c>
      <c r="B1262" s="9" t="inlineStr">
        <is>
          <t>Wilson College</t>
        </is>
      </c>
      <c r="C1262" s="9" t="inlineStr">
        <is>
          <t>Chambersburg</t>
        </is>
      </c>
      <c r="D1262" s="9" t="inlineStr">
        <is>
          <t>PA</t>
        </is>
      </c>
      <c r="E1262" s="9" t="inlineStr">
        <is>
          <t>Private</t>
        </is>
      </c>
      <c r="F1262" s="11" t="n">
        <v>21741</v>
      </c>
      <c r="G1262" s="11" t="n">
        <v>43326</v>
      </c>
      <c r="H1262" s="9">
        <f>COUNTIF($G$5:$G$1531,"&gt;"&amp;G1262)+1</f>
        <v/>
      </c>
      <c r="I1262" s="9" t="inlineStr"/>
      <c r="J1262" s="11">
        <f>IF(E1262="Private",F1262,"")</f>
        <v/>
      </c>
      <c r="K1262" s="11">
        <f>IF(E1262="Private",G1262,"")</f>
        <v/>
      </c>
    </row>
    <row r="1263">
      <c r="A1263" s="9" t="n">
        <v>117104</v>
      </c>
      <c r="B1263" s="9" t="inlineStr">
        <is>
          <t>Life Pacific University</t>
        </is>
      </c>
      <c r="C1263" s="9" t="inlineStr">
        <is>
          <t>San Dimas</t>
        </is>
      </c>
      <c r="D1263" s="9" t="inlineStr">
        <is>
          <t>CA</t>
        </is>
      </c>
      <c r="E1263" s="9" t="inlineStr">
        <is>
          <t>Private</t>
        </is>
      </c>
      <c r="F1263" s="11" t="n">
        <v>20898</v>
      </c>
      <c r="G1263" s="11" t="n">
        <v>43299</v>
      </c>
      <c r="H1263" s="9">
        <f>COUNTIF($G$5:$G$1531,"&gt;"&amp;G1263)+1</f>
        <v/>
      </c>
      <c r="I1263" s="9" t="inlineStr"/>
      <c r="J1263" s="11">
        <f>IF(E1263="Private",F1263,"")</f>
        <v/>
      </c>
      <c r="K1263" s="11">
        <f>IF(E1263="Private",G1263,"")</f>
        <v/>
      </c>
    </row>
    <row r="1264">
      <c r="A1264" s="9" t="n">
        <v>237932</v>
      </c>
      <c r="B1264" s="9" t="inlineStr">
        <is>
          <t>West Liberty University</t>
        </is>
      </c>
      <c r="C1264" s="9" t="inlineStr">
        <is>
          <t>West Liberty</t>
        </is>
      </c>
      <c r="D1264" s="9" t="inlineStr">
        <is>
          <t>WV</t>
        </is>
      </c>
      <c r="E1264" s="9" t="inlineStr">
        <is>
          <t>Public</t>
        </is>
      </c>
      <c r="F1264" s="11" t="n">
        <v>15366</v>
      </c>
      <c r="G1264" s="11" t="n">
        <v>43296</v>
      </c>
      <c r="H1264" s="9">
        <f>COUNTIF($G$5:$G$1531,"&gt;"&amp;G1264)+1</f>
        <v/>
      </c>
      <c r="I1264" s="9" t="inlineStr"/>
      <c r="J1264" s="11">
        <f>IF(E1264="Private",F1264,"")</f>
        <v/>
      </c>
      <c r="K1264" s="11">
        <f>IF(E1264="Private",G1264,"")</f>
        <v/>
      </c>
    </row>
    <row r="1265">
      <c r="A1265" s="9" t="n">
        <v>196051</v>
      </c>
      <c r="B1265" s="9" t="inlineStr">
        <is>
          <t>SUNY Morrisville</t>
        </is>
      </c>
      <c r="C1265" s="9" t="inlineStr">
        <is>
          <t>Morrisville</t>
        </is>
      </c>
      <c r="D1265" s="9" t="inlineStr">
        <is>
          <t>NY</t>
        </is>
      </c>
      <c r="E1265" s="9" t="inlineStr">
        <is>
          <t>Public</t>
        </is>
      </c>
      <c r="F1265" s="11" t="n">
        <v>15939</v>
      </c>
      <c r="G1265" s="11" t="n">
        <v>43295</v>
      </c>
      <c r="H1265" s="9">
        <f>COUNTIF($G$5:$G$1531,"&gt;"&amp;G1265)+1</f>
        <v/>
      </c>
      <c r="I1265" s="9" t="inlineStr"/>
      <c r="J1265" s="11">
        <f>IF(E1265="Private",F1265,"")</f>
        <v/>
      </c>
      <c r="K1265" s="11">
        <f>IF(E1265="Private",G1265,"")</f>
        <v/>
      </c>
    </row>
    <row r="1266">
      <c r="A1266" s="9" t="n">
        <v>152099</v>
      </c>
      <c r="B1266" s="9" t="inlineStr">
        <is>
          <t>Oakland City University</t>
        </is>
      </c>
      <c r="C1266" s="9" t="inlineStr">
        <is>
          <t>Oakland City</t>
        </is>
      </c>
      <c r="D1266" s="9" t="inlineStr">
        <is>
          <t>IN</t>
        </is>
      </c>
      <c r="E1266" s="9" t="inlineStr">
        <is>
          <t>Private</t>
        </is>
      </c>
      <c r="F1266" s="11" t="n">
        <v>15210</v>
      </c>
      <c r="G1266" s="11" t="n">
        <v>43283</v>
      </c>
      <c r="H1266" s="9">
        <f>COUNTIF($G$5:$G$1531,"&gt;"&amp;G1266)+1</f>
        <v/>
      </c>
      <c r="I1266" s="9" t="inlineStr"/>
      <c r="J1266" s="11">
        <f>IF(E1266="Private",F1266,"")</f>
        <v/>
      </c>
      <c r="K1266" s="11">
        <f>IF(E1266="Private",G1266,"")</f>
        <v/>
      </c>
    </row>
    <row r="1267">
      <c r="A1267" s="9" t="n">
        <v>180692</v>
      </c>
      <c r="B1267" s="9" t="inlineStr">
        <is>
          <t>The University of Montana-Western</t>
        </is>
      </c>
      <c r="C1267" s="9" t="inlineStr">
        <is>
          <t>Dillon</t>
        </is>
      </c>
      <c r="D1267" s="9" t="inlineStr">
        <is>
          <t>MT</t>
        </is>
      </c>
      <c r="E1267" s="9" t="inlineStr">
        <is>
          <t>Public</t>
        </is>
      </c>
      <c r="F1267" s="11" t="n">
        <v>16558</v>
      </c>
      <c r="G1267" s="11" t="n">
        <v>43229</v>
      </c>
      <c r="H1267" s="9">
        <f>COUNTIF($G$5:$G$1531,"&gt;"&amp;G1267)+1</f>
        <v/>
      </c>
      <c r="I1267" s="9" t="inlineStr"/>
      <c r="J1267" s="11">
        <f>IF(E1267="Private",F1267,"")</f>
        <v/>
      </c>
      <c r="K1267" s="11">
        <f>IF(E1267="Private",G1267,"")</f>
        <v/>
      </c>
    </row>
    <row r="1268">
      <c r="A1268" s="9" t="n">
        <v>220613</v>
      </c>
      <c r="B1268" s="9" t="inlineStr">
        <is>
          <t>Lee University</t>
        </is>
      </c>
      <c r="C1268" s="9" t="inlineStr">
        <is>
          <t>Cleveland</t>
        </is>
      </c>
      <c r="D1268" s="9" t="inlineStr">
        <is>
          <t>TN</t>
        </is>
      </c>
      <c r="E1268" s="9" t="inlineStr">
        <is>
          <t>Private</t>
        </is>
      </c>
      <c r="F1268" s="11" t="n">
        <v>18878</v>
      </c>
      <c r="G1268" s="11" t="n">
        <v>43222</v>
      </c>
      <c r="H1268" s="9">
        <f>COUNTIF($G$5:$G$1531,"&gt;"&amp;G1268)+1</f>
        <v/>
      </c>
      <c r="I1268" s="9" t="inlineStr"/>
      <c r="J1268" s="11">
        <f>IF(E1268="Private",F1268,"")</f>
        <v/>
      </c>
      <c r="K1268" s="11">
        <f>IF(E1268="Private",G1268,"")</f>
        <v/>
      </c>
    </row>
    <row r="1269">
      <c r="A1269" s="9" t="n">
        <v>178369</v>
      </c>
      <c r="B1269" s="9" t="inlineStr">
        <is>
          <t>Missouri Valley College</t>
        </is>
      </c>
      <c r="C1269" s="9" t="inlineStr">
        <is>
          <t>Marshall</t>
        </is>
      </c>
      <c r="D1269" s="9" t="inlineStr">
        <is>
          <t>MO</t>
        </is>
      </c>
      <c r="E1269" s="9" t="inlineStr">
        <is>
          <t>Private</t>
        </is>
      </c>
      <c r="F1269" s="11" t="n">
        <v>18086</v>
      </c>
      <c r="G1269" s="11" t="n">
        <v>43221</v>
      </c>
      <c r="H1269" s="9">
        <f>COUNTIF($G$5:$G$1531,"&gt;"&amp;G1269)+1</f>
        <v/>
      </c>
      <c r="I1269" s="9" t="inlineStr"/>
      <c r="J1269" s="11">
        <f>IF(E1269="Private",F1269,"")</f>
        <v/>
      </c>
      <c r="K1269" s="11">
        <f>IF(E1269="Private",G1269,"")</f>
        <v/>
      </c>
    </row>
    <row r="1270">
      <c r="A1270" s="9" t="n">
        <v>157386</v>
      </c>
      <c r="B1270" s="9" t="inlineStr">
        <is>
          <t>Morehead State University</t>
        </is>
      </c>
      <c r="C1270" s="9" t="inlineStr">
        <is>
          <t>Morehead</t>
        </is>
      </c>
      <c r="D1270" s="9" t="inlineStr">
        <is>
          <t>KY</t>
        </is>
      </c>
      <c r="E1270" s="9" t="inlineStr">
        <is>
          <t>Public</t>
        </is>
      </c>
      <c r="F1270" s="11" t="n">
        <v>9793</v>
      </c>
      <c r="G1270" s="11" t="n">
        <v>43197</v>
      </c>
      <c r="H1270" s="9">
        <f>COUNTIF($G$5:$G$1531,"&gt;"&amp;G1270)+1</f>
        <v/>
      </c>
      <c r="I1270" s="9" t="inlineStr"/>
      <c r="J1270" s="11">
        <f>IF(E1270="Private",F1270,"")</f>
        <v/>
      </c>
      <c r="K1270" s="11">
        <f>IF(E1270="Private",G1270,"")</f>
        <v/>
      </c>
    </row>
    <row r="1271">
      <c r="A1271" s="9" t="n">
        <v>475608</v>
      </c>
      <c r="B1271" s="9" t="inlineStr">
        <is>
          <t>Criswell College</t>
        </is>
      </c>
      <c r="C1271" s="9" t="inlineStr">
        <is>
          <t>Dallas</t>
        </is>
      </c>
      <c r="D1271" s="9" t="inlineStr">
        <is>
          <t>TX</t>
        </is>
      </c>
      <c r="E1271" s="9" t="inlineStr">
        <is>
          <t>Private</t>
        </is>
      </c>
      <c r="F1271" s="11" t="n">
        <v>21630</v>
      </c>
      <c r="G1271" s="11" t="n">
        <v>43185</v>
      </c>
      <c r="H1271" s="9">
        <f>COUNTIF($G$5:$G$1531,"&gt;"&amp;G1271)+1</f>
        <v/>
      </c>
      <c r="I1271" s="9" t="inlineStr"/>
      <c r="J1271" s="11">
        <f>IF(E1271="Private",F1271,"")</f>
        <v/>
      </c>
      <c r="K1271" s="11">
        <f>IF(E1271="Private",G1271,"")</f>
        <v/>
      </c>
    </row>
    <row r="1272">
      <c r="A1272" s="9" t="n">
        <v>139700</v>
      </c>
      <c r="B1272" s="9" t="inlineStr">
        <is>
          <t>Georgia Highlands College</t>
        </is>
      </c>
      <c r="C1272" s="9" t="inlineStr">
        <is>
          <t>Rome</t>
        </is>
      </c>
      <c r="D1272" s="9" t="inlineStr">
        <is>
          <t>GA</t>
        </is>
      </c>
      <c r="E1272" s="9" t="inlineStr">
        <is>
          <t>Public</t>
        </is>
      </c>
      <c r="F1272" s="11" t="n">
        <v>6928</v>
      </c>
      <c r="G1272" s="11" t="n">
        <v>43184</v>
      </c>
      <c r="H1272" s="9">
        <f>COUNTIF($G$5:$G$1531,"&gt;"&amp;G1272)+1</f>
        <v/>
      </c>
      <c r="I1272" s="9" t="inlineStr"/>
      <c r="J1272" s="11">
        <f>IF(E1272="Private",F1272,"")</f>
        <v/>
      </c>
      <c r="K1272" s="11">
        <f>IF(E1272="Private",G1272,"")</f>
        <v/>
      </c>
    </row>
    <row r="1273">
      <c r="A1273" s="9" t="n">
        <v>213598</v>
      </c>
      <c r="B1273" s="9" t="inlineStr">
        <is>
          <t>Lincoln University (Lincoln University, PA)</t>
        </is>
      </c>
      <c r="C1273" s="9" t="inlineStr">
        <is>
          <t>Lincoln University</t>
        </is>
      </c>
      <c r="D1273" s="9" t="inlineStr">
        <is>
          <t>PA</t>
        </is>
      </c>
      <c r="E1273" s="9" t="inlineStr">
        <is>
          <t>Public</t>
        </is>
      </c>
      <c r="F1273" s="11" t="n">
        <v>14977</v>
      </c>
      <c r="G1273" s="11" t="n">
        <v>43167</v>
      </c>
      <c r="H1273" s="9">
        <f>COUNTIF($G$5:$G$1531,"&gt;"&amp;G1273)+1</f>
        <v/>
      </c>
      <c r="I1273" s="9" t="inlineStr"/>
      <c r="J1273" s="11">
        <f>IF(E1273="Private",F1273,"")</f>
        <v/>
      </c>
      <c r="K1273" s="11">
        <f>IF(E1273="Private",G1273,"")</f>
        <v/>
      </c>
    </row>
    <row r="1274">
      <c r="A1274" s="9" t="n">
        <v>207661</v>
      </c>
      <c r="B1274" s="9" t="inlineStr">
        <is>
          <t>Rogers State University</t>
        </is>
      </c>
      <c r="C1274" s="9" t="inlineStr">
        <is>
          <t>Claremore</t>
        </is>
      </c>
      <c r="D1274" s="9" t="inlineStr">
        <is>
          <t>OK</t>
        </is>
      </c>
      <c r="E1274" s="9" t="inlineStr">
        <is>
          <t>Public</t>
        </is>
      </c>
      <c r="F1274" s="11" t="n">
        <v>15314</v>
      </c>
      <c r="G1274" s="11" t="n">
        <v>43166</v>
      </c>
      <c r="H1274" s="9">
        <f>COUNTIF($G$5:$G$1531,"&gt;"&amp;G1274)+1</f>
        <v/>
      </c>
      <c r="I1274" s="9" t="inlineStr"/>
      <c r="J1274" s="11">
        <f>IF(E1274="Private",F1274,"")</f>
        <v/>
      </c>
      <c r="K1274" s="11">
        <f>IF(E1274="Private",G1274,"")</f>
        <v/>
      </c>
    </row>
    <row r="1275">
      <c r="A1275" s="9" t="n">
        <v>156295</v>
      </c>
      <c r="B1275" s="9" t="inlineStr">
        <is>
          <t>Berea College</t>
        </is>
      </c>
      <c r="C1275" s="9" t="inlineStr">
        <is>
          <t>Berea</t>
        </is>
      </c>
      <c r="D1275" s="9" t="inlineStr">
        <is>
          <t>KY</t>
        </is>
      </c>
      <c r="E1275" s="9" t="inlineStr">
        <is>
          <t>Private</t>
        </is>
      </c>
      <c r="F1275" s="11" t="n">
        <v>6106</v>
      </c>
      <c r="G1275" s="11" t="n">
        <v>43150</v>
      </c>
      <c r="H1275" s="9">
        <f>COUNTIF($G$5:$G$1531,"&gt;"&amp;G1275)+1</f>
        <v/>
      </c>
      <c r="I1275" s="9" t="inlineStr"/>
      <c r="J1275" s="11">
        <f>IF(E1275="Private",F1275,"")</f>
        <v/>
      </c>
      <c r="K1275" s="11">
        <f>IF(E1275="Private",G1275,"")</f>
        <v/>
      </c>
    </row>
    <row r="1276">
      <c r="A1276" s="9" t="n">
        <v>234845</v>
      </c>
      <c r="B1276" s="9" t="inlineStr">
        <is>
          <t>Centralia College</t>
        </is>
      </c>
      <c r="C1276" s="9" t="inlineStr">
        <is>
          <t>Centralia</t>
        </is>
      </c>
      <c r="D1276" s="9" t="inlineStr">
        <is>
          <t>WA</t>
        </is>
      </c>
      <c r="E1276" s="9" t="inlineStr">
        <is>
          <t>Public</t>
        </is>
      </c>
      <c r="F1276" s="11" t="n">
        <v>9862</v>
      </c>
      <c r="G1276" s="11" t="n">
        <v>43140</v>
      </c>
      <c r="H1276" s="9">
        <f>COUNTIF($G$5:$G$1531,"&gt;"&amp;G1276)+1</f>
        <v/>
      </c>
      <c r="I1276" s="9" t="inlineStr"/>
      <c r="J1276" s="11">
        <f>IF(E1276="Private",F1276,"")</f>
        <v/>
      </c>
      <c r="K1276" s="11">
        <f>IF(E1276="Private",G1276,"")</f>
        <v/>
      </c>
    </row>
    <row r="1277">
      <c r="A1277" s="9" t="n">
        <v>133881</v>
      </c>
      <c r="B1277" s="9" t="inlineStr">
        <is>
          <t>Florida Institute of Technology</t>
        </is>
      </c>
      <c r="C1277" s="9" t="inlineStr">
        <is>
          <t>Melbourne</t>
        </is>
      </c>
      <c r="D1277" s="9" t="inlineStr">
        <is>
          <t>FL</t>
        </is>
      </c>
      <c r="E1277" s="9" t="inlineStr">
        <is>
          <t>Private</t>
        </is>
      </c>
      <c r="F1277" s="11" t="n">
        <v>35639</v>
      </c>
      <c r="G1277" s="11" t="n">
        <v>43137</v>
      </c>
      <c r="H1277" s="9">
        <f>COUNTIF($G$5:$G$1531,"&gt;"&amp;G1277)+1</f>
        <v/>
      </c>
      <c r="I1277" s="9" t="inlineStr"/>
      <c r="J1277" s="11">
        <f>IF(E1277="Private",F1277,"")</f>
        <v/>
      </c>
      <c r="K1277" s="11">
        <f>IF(E1277="Private",G1277,"")</f>
        <v/>
      </c>
    </row>
    <row r="1278">
      <c r="A1278" s="9" t="n">
        <v>179326</v>
      </c>
      <c r="B1278" s="9" t="inlineStr">
        <is>
          <t>Southwest Baptist University</t>
        </is>
      </c>
      <c r="C1278" s="9" t="inlineStr">
        <is>
          <t>Bolivar</t>
        </is>
      </c>
      <c r="D1278" s="9" t="inlineStr">
        <is>
          <t>MO</t>
        </is>
      </c>
      <c r="E1278" s="9" t="inlineStr">
        <is>
          <t>Private</t>
        </is>
      </c>
      <c r="F1278" s="11" t="n">
        <v>21677</v>
      </c>
      <c r="G1278" s="11" t="n">
        <v>43112</v>
      </c>
      <c r="H1278" s="9">
        <f>COUNTIF($G$5:$G$1531,"&gt;"&amp;G1278)+1</f>
        <v/>
      </c>
      <c r="I1278" s="9" t="inlineStr"/>
      <c r="J1278" s="11">
        <f>IF(E1278="Private",F1278,"")</f>
        <v/>
      </c>
      <c r="K1278" s="11">
        <f>IF(E1278="Private",G1278,"")</f>
        <v/>
      </c>
    </row>
    <row r="1279">
      <c r="A1279" s="9" t="n">
        <v>131450</v>
      </c>
      <c r="B1279" s="9" t="inlineStr">
        <is>
          <t>Gallaudet University</t>
        </is>
      </c>
      <c r="C1279" s="9" t="inlineStr">
        <is>
          <t>Washington</t>
        </is>
      </c>
      <c r="D1279" s="9" t="inlineStr">
        <is>
          <t>DC</t>
        </is>
      </c>
      <c r="E1279" s="9" t="inlineStr">
        <is>
          <t>Private</t>
        </is>
      </c>
      <c r="F1279" s="11" t="n">
        <v>15845</v>
      </c>
      <c r="G1279" s="11" t="n">
        <v>43101</v>
      </c>
      <c r="H1279" s="9">
        <f>COUNTIF($G$5:$G$1531,"&gt;"&amp;G1279)+1</f>
        <v/>
      </c>
      <c r="I1279" s="9" t="inlineStr"/>
      <c r="J1279" s="11">
        <f>IF(E1279="Private",F1279,"")</f>
        <v/>
      </c>
      <c r="K1279" s="11">
        <f>IF(E1279="Private",G1279,"")</f>
        <v/>
      </c>
    </row>
    <row r="1280">
      <c r="A1280" s="9" t="n">
        <v>176479</v>
      </c>
      <c r="B1280" s="9" t="inlineStr">
        <is>
          <t>William Carey University</t>
        </is>
      </c>
      <c r="C1280" s="9" t="inlineStr">
        <is>
          <t>Hattiesburg</t>
        </is>
      </c>
      <c r="D1280" s="9" t="inlineStr">
        <is>
          <t>MS</t>
        </is>
      </c>
      <c r="E1280" s="9" t="inlineStr">
        <is>
          <t>Private</t>
        </is>
      </c>
      <c r="F1280" s="11" t="n">
        <v>14258</v>
      </c>
      <c r="G1280" s="11" t="n">
        <v>43087</v>
      </c>
      <c r="H1280" s="9">
        <f>COUNTIF($G$5:$G$1531,"&gt;"&amp;G1280)+1</f>
        <v/>
      </c>
      <c r="I1280" s="9" t="inlineStr"/>
      <c r="J1280" s="11">
        <f>IF(E1280="Private",F1280,"")</f>
        <v/>
      </c>
      <c r="K1280" s="11">
        <f>IF(E1280="Private",G1280,"")</f>
        <v/>
      </c>
    </row>
    <row r="1281">
      <c r="A1281" s="9" t="n">
        <v>179548</v>
      </c>
      <c r="B1281" s="9" t="inlineStr">
        <is>
          <t>Stephens College</t>
        </is>
      </c>
      <c r="C1281" s="9" t="inlineStr">
        <is>
          <t>Columbia</t>
        </is>
      </c>
      <c r="D1281" s="9" t="inlineStr">
        <is>
          <t>MO</t>
        </is>
      </c>
      <c r="E1281" s="9" t="inlineStr">
        <is>
          <t>Private</t>
        </is>
      </c>
      <c r="F1281" s="11" t="n">
        <v>23459</v>
      </c>
      <c r="G1281" s="11" t="n">
        <v>43071</v>
      </c>
      <c r="H1281" s="9">
        <f>COUNTIF($G$5:$G$1531,"&gt;"&amp;G1281)+1</f>
        <v/>
      </c>
      <c r="I1281" s="9" t="inlineStr"/>
      <c r="J1281" s="11">
        <f>IF(E1281="Private",F1281,"")</f>
        <v/>
      </c>
      <c r="K1281" s="11">
        <f>IF(E1281="Private",G1281,"")</f>
        <v/>
      </c>
    </row>
    <row r="1282">
      <c r="A1282" s="9" t="n">
        <v>218441</v>
      </c>
      <c r="B1282" s="9" t="inlineStr">
        <is>
          <t>North Greenville University</t>
        </is>
      </c>
      <c r="C1282" s="9" t="inlineStr">
        <is>
          <t>Tigerville</t>
        </is>
      </c>
      <c r="D1282" s="9" t="inlineStr">
        <is>
          <t>SC</t>
        </is>
      </c>
      <c r="E1282" s="9" t="inlineStr">
        <is>
          <t>Private</t>
        </is>
      </c>
      <c r="F1282" s="11" t="n">
        <v>21063</v>
      </c>
      <c r="G1282" s="11" t="n">
        <v>43035</v>
      </c>
      <c r="H1282" s="9">
        <f>COUNTIF($G$5:$G$1531,"&gt;"&amp;G1282)+1</f>
        <v/>
      </c>
      <c r="I1282" s="9" t="inlineStr"/>
      <c r="J1282" s="11">
        <f>IF(E1282="Private",F1282,"")</f>
        <v/>
      </c>
      <c r="K1282" s="11">
        <f>IF(E1282="Private",G1282,"")</f>
        <v/>
      </c>
    </row>
    <row r="1283">
      <c r="A1283" s="9" t="n">
        <v>199157</v>
      </c>
      <c r="B1283" s="9" t="inlineStr">
        <is>
          <t>North Carolina Central University</t>
        </is>
      </c>
      <c r="C1283" s="9" t="inlineStr">
        <is>
          <t>Durham</t>
        </is>
      </c>
      <c r="D1283" s="9" t="inlineStr">
        <is>
          <t>NC</t>
        </is>
      </c>
      <c r="E1283" s="9" t="inlineStr">
        <is>
          <t>Public</t>
        </is>
      </c>
      <c r="F1283" s="11" t="n">
        <v>15359</v>
      </c>
      <c r="G1283" s="11" t="n">
        <v>42968</v>
      </c>
      <c r="H1283" s="9">
        <f>COUNTIF($G$5:$G$1531,"&gt;"&amp;G1283)+1</f>
        <v/>
      </c>
      <c r="I1283" s="9" t="inlineStr"/>
      <c r="J1283" s="11">
        <f>IF(E1283="Private",F1283,"")</f>
        <v/>
      </c>
      <c r="K1283" s="11">
        <f>IF(E1283="Private",G1283,"")</f>
        <v/>
      </c>
    </row>
    <row r="1284">
      <c r="A1284" s="9" t="n">
        <v>101709</v>
      </c>
      <c r="B1284" s="9" t="inlineStr">
        <is>
          <t>University of Montevallo</t>
        </is>
      </c>
      <c r="C1284" s="9" t="inlineStr">
        <is>
          <t>Montevallo</t>
        </is>
      </c>
      <c r="D1284" s="9" t="inlineStr">
        <is>
          <t>AL</t>
        </is>
      </c>
      <c r="E1284" s="9" t="inlineStr">
        <is>
          <t>Public</t>
        </is>
      </c>
      <c r="F1284" s="11" t="n">
        <v>17683</v>
      </c>
      <c r="G1284" s="11" t="n">
        <v>42957</v>
      </c>
      <c r="H1284" s="9">
        <f>COUNTIF($G$5:$G$1531,"&gt;"&amp;G1284)+1</f>
        <v/>
      </c>
      <c r="I1284" s="9" t="inlineStr"/>
      <c r="J1284" s="11">
        <f>IF(E1284="Private",F1284,"")</f>
        <v/>
      </c>
      <c r="K1284" s="11">
        <f>IF(E1284="Private",G1284,"")</f>
        <v/>
      </c>
    </row>
    <row r="1285">
      <c r="A1285" s="9" t="n">
        <v>225575</v>
      </c>
      <c r="B1285" s="9" t="inlineStr">
        <is>
          <t>Huston-Tillotson University</t>
        </is>
      </c>
      <c r="C1285" s="9" t="inlineStr">
        <is>
          <t>Austin</t>
        </is>
      </c>
      <c r="D1285" s="9" t="inlineStr">
        <is>
          <t>TX</t>
        </is>
      </c>
      <c r="E1285" s="9" t="inlineStr">
        <is>
          <t>Private</t>
        </is>
      </c>
      <c r="F1285" s="11" t="n">
        <v>19719</v>
      </c>
      <c r="G1285" s="11" t="n">
        <v>42937</v>
      </c>
      <c r="H1285" s="9">
        <f>COUNTIF($G$5:$G$1531,"&gt;"&amp;G1285)+1</f>
        <v/>
      </c>
      <c r="I1285" s="9" t="inlineStr"/>
      <c r="J1285" s="11">
        <f>IF(E1285="Private",F1285,"")</f>
        <v/>
      </c>
      <c r="K1285" s="11">
        <f>IF(E1285="Private",G1285,"")</f>
        <v/>
      </c>
    </row>
    <row r="1286">
      <c r="A1286" s="9" t="n">
        <v>132408</v>
      </c>
      <c r="B1286" s="9" t="inlineStr">
        <is>
          <t>Baptist University of Florida</t>
        </is>
      </c>
      <c r="C1286" s="9" t="inlineStr">
        <is>
          <t>Graceville</t>
        </is>
      </c>
      <c r="D1286" s="9" t="inlineStr">
        <is>
          <t>FL</t>
        </is>
      </c>
      <c r="E1286" s="9" t="inlineStr">
        <is>
          <t>Private</t>
        </is>
      </c>
      <c r="F1286" s="11" t="n">
        <v>10372</v>
      </c>
      <c r="G1286" s="11" t="n">
        <v>42836</v>
      </c>
      <c r="H1286" s="9">
        <f>COUNTIF($G$5:$G$1531,"&gt;"&amp;G1286)+1</f>
        <v/>
      </c>
      <c r="I1286" s="9" t="inlineStr"/>
      <c r="J1286" s="11">
        <f>IF(E1286="Private",F1286,"")</f>
        <v/>
      </c>
      <c r="K1286" s="11">
        <f>IF(E1286="Private",G1286,"")</f>
        <v/>
      </c>
    </row>
    <row r="1287">
      <c r="A1287" s="9" t="n">
        <v>144005</v>
      </c>
      <c r="B1287" s="9" t="inlineStr">
        <is>
          <t>Chicago State University</t>
        </is>
      </c>
      <c r="C1287" s="9" t="inlineStr">
        <is>
          <t>Chicago</t>
        </is>
      </c>
      <c r="D1287" s="9" t="inlineStr">
        <is>
          <t>IL</t>
        </is>
      </c>
      <c r="E1287" s="9" t="inlineStr">
        <is>
          <t>Public</t>
        </is>
      </c>
      <c r="F1287" s="11" t="n">
        <v>12335</v>
      </c>
      <c r="G1287" s="11" t="n">
        <v>42778</v>
      </c>
      <c r="H1287" s="9">
        <f>COUNTIF($G$5:$G$1531,"&gt;"&amp;G1287)+1</f>
        <v/>
      </c>
      <c r="I1287" s="9" t="inlineStr"/>
      <c r="J1287" s="11">
        <f>IF(E1287="Private",F1287,"")</f>
        <v/>
      </c>
      <c r="K1287" s="11">
        <f>IF(E1287="Private",G1287,"")</f>
        <v/>
      </c>
    </row>
    <row r="1288">
      <c r="A1288" s="9" t="n">
        <v>221838</v>
      </c>
      <c r="B1288" s="9" t="inlineStr">
        <is>
          <t>Tennessee State University</t>
        </is>
      </c>
      <c r="C1288" s="9" t="inlineStr">
        <is>
          <t>Nashville</t>
        </is>
      </c>
      <c r="D1288" s="9" t="inlineStr">
        <is>
          <t>TN</t>
        </is>
      </c>
      <c r="E1288" s="9" t="inlineStr">
        <is>
          <t>Public</t>
        </is>
      </c>
      <c r="F1288" s="11" t="n">
        <v>15796</v>
      </c>
      <c r="G1288" s="11" t="n">
        <v>42730</v>
      </c>
      <c r="H1288" s="9">
        <f>COUNTIF($G$5:$G$1531,"&gt;"&amp;G1288)+1</f>
        <v/>
      </c>
      <c r="I1288" s="9" t="inlineStr"/>
      <c r="J1288" s="11">
        <f>IF(E1288="Private",F1288,"")</f>
        <v/>
      </c>
      <c r="K1288" s="11">
        <f>IF(E1288="Private",G1288,"")</f>
        <v/>
      </c>
    </row>
    <row r="1289">
      <c r="A1289" s="9" t="n">
        <v>138947</v>
      </c>
      <c r="B1289" s="9" t="inlineStr">
        <is>
          <t>Clark Atlanta University</t>
        </is>
      </c>
      <c r="C1289" s="9" t="inlineStr">
        <is>
          <t>Atlanta</t>
        </is>
      </c>
      <c r="D1289" s="9" t="inlineStr">
        <is>
          <t>GA</t>
        </is>
      </c>
      <c r="E1289" s="9" t="inlineStr">
        <is>
          <t>Private</t>
        </is>
      </c>
      <c r="F1289" s="11" t="n">
        <v>37702</v>
      </c>
      <c r="G1289" s="11" t="n">
        <v>42712</v>
      </c>
      <c r="H1289" s="9">
        <f>COUNTIF($G$5:$G$1531,"&gt;"&amp;G1289)+1</f>
        <v/>
      </c>
      <c r="I1289" s="9" t="inlineStr"/>
      <c r="J1289" s="11">
        <f>IF(E1289="Private",F1289,"")</f>
        <v/>
      </c>
      <c r="K1289" s="11">
        <f>IF(E1289="Private",G1289,"")</f>
        <v/>
      </c>
    </row>
    <row r="1290">
      <c r="A1290" s="9" t="n">
        <v>237330</v>
      </c>
      <c r="B1290" s="9" t="inlineStr">
        <is>
          <t>Concord University</t>
        </is>
      </c>
      <c r="C1290" s="9" t="inlineStr">
        <is>
          <t>Athens</t>
        </is>
      </c>
      <c r="D1290" s="9" t="inlineStr">
        <is>
          <t>WV</t>
        </is>
      </c>
      <c r="E1290" s="9" t="inlineStr">
        <is>
          <t>Public</t>
        </is>
      </c>
      <c r="F1290" s="11" t="n">
        <v>9966</v>
      </c>
      <c r="G1290" s="11" t="n">
        <v>42703</v>
      </c>
      <c r="H1290" s="9">
        <f>COUNTIF($G$5:$G$1531,"&gt;"&amp;G1290)+1</f>
        <v/>
      </c>
      <c r="I1290" s="9" t="inlineStr"/>
      <c r="J1290" s="11">
        <f>IF(E1290="Private",F1290,"")</f>
        <v/>
      </c>
      <c r="K1290" s="11">
        <f>IF(E1290="Private",G1290,"")</f>
        <v/>
      </c>
    </row>
    <row r="1291">
      <c r="A1291" s="9" t="n">
        <v>198756</v>
      </c>
      <c r="B1291" s="9" t="inlineStr">
        <is>
          <t>Johnson C Smith University</t>
        </is>
      </c>
      <c r="C1291" s="9" t="inlineStr">
        <is>
          <t>Charlotte</t>
        </is>
      </c>
      <c r="D1291" s="9" t="inlineStr">
        <is>
          <t>NC</t>
        </is>
      </c>
      <c r="E1291" s="9" t="inlineStr">
        <is>
          <t>Private</t>
        </is>
      </c>
      <c r="F1291" s="11" t="n">
        <v>20894</v>
      </c>
      <c r="G1291" s="11" t="n">
        <v>42680</v>
      </c>
      <c r="H1291" s="9">
        <f>COUNTIF($G$5:$G$1531,"&gt;"&amp;G1291)+1</f>
        <v/>
      </c>
      <c r="I1291" s="9" t="inlineStr"/>
      <c r="J1291" s="11">
        <f>IF(E1291="Private",F1291,"")</f>
        <v/>
      </c>
      <c r="K1291" s="11">
        <f>IF(E1291="Private",G1291,"")</f>
        <v/>
      </c>
    </row>
    <row r="1292">
      <c r="A1292" s="9" t="n">
        <v>178387</v>
      </c>
      <c r="B1292" s="9" t="inlineStr">
        <is>
          <t>Missouri Western State University</t>
        </is>
      </c>
      <c r="C1292" s="9" t="inlineStr">
        <is>
          <t>Saint Joseph</t>
        </is>
      </c>
      <c r="D1292" s="9" t="inlineStr">
        <is>
          <t>MO</t>
        </is>
      </c>
      <c r="E1292" s="9" t="inlineStr">
        <is>
          <t>Public</t>
        </is>
      </c>
      <c r="F1292" s="11" t="n">
        <v>13251</v>
      </c>
      <c r="G1292" s="11" t="n">
        <v>42647</v>
      </c>
      <c r="H1292" s="9">
        <f>COUNTIF($G$5:$G$1531,"&gt;"&amp;G1292)+1</f>
        <v/>
      </c>
      <c r="I1292" s="9" t="inlineStr"/>
      <c r="J1292" s="11">
        <f>IF(E1292="Private",F1292,"")</f>
        <v/>
      </c>
      <c r="K1292" s="11">
        <f>IF(E1292="Private",G1292,"")</f>
        <v/>
      </c>
    </row>
    <row r="1293">
      <c r="A1293" s="9" t="n">
        <v>177542</v>
      </c>
      <c r="B1293" s="9" t="inlineStr">
        <is>
          <t>Hannibal-LaGrange University</t>
        </is>
      </c>
      <c r="C1293" s="9" t="inlineStr">
        <is>
          <t>Hannibal</t>
        </is>
      </c>
      <c r="D1293" s="9" t="inlineStr">
        <is>
          <t>MO</t>
        </is>
      </c>
      <c r="E1293" s="9" t="inlineStr">
        <is>
          <t>Private</t>
        </is>
      </c>
      <c r="F1293" s="11" t="n">
        <v>22814</v>
      </c>
      <c r="G1293" s="11" t="n">
        <v>42643</v>
      </c>
      <c r="H1293" s="9">
        <f>COUNTIF($G$5:$G$1531,"&gt;"&amp;G1293)+1</f>
        <v/>
      </c>
      <c r="I1293" s="9" t="inlineStr"/>
      <c r="J1293" s="11">
        <f>IF(E1293="Private",F1293,"")</f>
        <v/>
      </c>
      <c r="K1293" s="11">
        <f>IF(E1293="Private",G1293,"")</f>
        <v/>
      </c>
    </row>
    <row r="1294">
      <c r="A1294" s="9" t="n">
        <v>153302</v>
      </c>
      <c r="B1294" s="9" t="inlineStr">
        <is>
          <t>Emmaus Bible College</t>
        </is>
      </c>
      <c r="C1294" s="9" t="inlineStr">
        <is>
          <t>Dubuque</t>
        </is>
      </c>
      <c r="D1294" s="9" t="inlineStr">
        <is>
          <t>IA</t>
        </is>
      </c>
      <c r="E1294" s="9" t="inlineStr">
        <is>
          <t>Private</t>
        </is>
      </c>
      <c r="F1294" s="11" t="n">
        <v>13186</v>
      </c>
      <c r="G1294" s="11" t="n">
        <v>42631</v>
      </c>
      <c r="H1294" s="9">
        <f>COUNTIF($G$5:$G$1531,"&gt;"&amp;G1294)+1</f>
        <v/>
      </c>
      <c r="I1294" s="9" t="inlineStr"/>
      <c r="J1294" s="11">
        <f>IF(E1294="Private",F1294,"")</f>
        <v/>
      </c>
      <c r="K1294" s="11">
        <f>IF(E1294="Private",G1294,"")</f>
        <v/>
      </c>
    </row>
    <row r="1295">
      <c r="A1295" s="9" t="n">
        <v>178341</v>
      </c>
      <c r="B1295" s="9" t="inlineStr">
        <is>
          <t>Missouri Southern State University</t>
        </is>
      </c>
      <c r="C1295" s="9" t="inlineStr">
        <is>
          <t>Joplin</t>
        </is>
      </c>
      <c r="D1295" s="9" t="inlineStr">
        <is>
          <t>MO</t>
        </is>
      </c>
      <c r="E1295" s="9" t="inlineStr">
        <is>
          <t>Public</t>
        </is>
      </c>
      <c r="F1295" s="11" t="n">
        <v>12007</v>
      </c>
      <c r="G1295" s="11" t="n">
        <v>42620</v>
      </c>
      <c r="H1295" s="9">
        <f>COUNTIF($G$5:$G$1531,"&gt;"&amp;G1295)+1</f>
        <v/>
      </c>
      <c r="I1295" s="9" t="inlineStr"/>
      <c r="J1295" s="11">
        <f>IF(E1295="Private",F1295,"")</f>
        <v/>
      </c>
      <c r="K1295" s="11">
        <f>IF(E1295="Private",G1295,"")</f>
        <v/>
      </c>
    </row>
    <row r="1296">
      <c r="A1296" s="9" t="n">
        <v>106458</v>
      </c>
      <c r="B1296" s="9" t="inlineStr">
        <is>
          <t>Arkansas State University</t>
        </is>
      </c>
      <c r="C1296" s="9" t="inlineStr">
        <is>
          <t>Jonesboro</t>
        </is>
      </c>
      <c r="D1296" s="9" t="inlineStr">
        <is>
          <t>AR</t>
        </is>
      </c>
      <c r="E1296" s="9" t="inlineStr">
        <is>
          <t>Public</t>
        </is>
      </c>
      <c r="F1296" s="11" t="n">
        <v>12366</v>
      </c>
      <c r="G1296" s="11" t="n">
        <v>42617</v>
      </c>
      <c r="H1296" s="9">
        <f>COUNTIF($G$5:$G$1531,"&gt;"&amp;G1296)+1</f>
        <v/>
      </c>
      <c r="I1296" s="9" t="inlineStr"/>
      <c r="J1296" s="11">
        <f>IF(E1296="Private",F1296,"")</f>
        <v/>
      </c>
      <c r="K1296" s="11">
        <f>IF(E1296="Private",G1296,"")</f>
        <v/>
      </c>
    </row>
    <row r="1297">
      <c r="A1297" s="9" t="n">
        <v>137078</v>
      </c>
      <c r="B1297" s="9" t="inlineStr">
        <is>
          <t>St Petersburg College</t>
        </is>
      </c>
      <c r="C1297" s="9" t="inlineStr">
        <is>
          <t>St. Petersburg</t>
        </is>
      </c>
      <c r="D1297" s="9" t="inlineStr">
        <is>
          <t>FL</t>
        </is>
      </c>
      <c r="E1297" s="9" t="inlineStr">
        <is>
          <t>Public</t>
        </is>
      </c>
      <c r="F1297" s="11" t="n">
        <v>1471</v>
      </c>
      <c r="G1297" s="11" t="n">
        <v>42557</v>
      </c>
      <c r="H1297" s="9">
        <f>COUNTIF($G$5:$G$1531,"&gt;"&amp;G1297)+1</f>
        <v/>
      </c>
      <c r="I1297" s="9" t="inlineStr"/>
      <c r="J1297" s="11">
        <f>IF(E1297="Private",F1297,"")</f>
        <v/>
      </c>
      <c r="K1297" s="11">
        <f>IF(E1297="Private",G1297,"")</f>
        <v/>
      </c>
    </row>
    <row r="1298">
      <c r="A1298" s="9" t="n">
        <v>101912</v>
      </c>
      <c r="B1298" s="9" t="inlineStr">
        <is>
          <t>Oakwood University</t>
        </is>
      </c>
      <c r="C1298" s="9" t="inlineStr">
        <is>
          <t>Huntsville</t>
        </is>
      </c>
      <c r="D1298" s="9" t="inlineStr">
        <is>
          <t>AL</t>
        </is>
      </c>
      <c r="E1298" s="9" t="inlineStr">
        <is>
          <t>Private</t>
        </is>
      </c>
      <c r="F1298" s="11" t="n">
        <v>25669</v>
      </c>
      <c r="G1298" s="11" t="n">
        <v>42488</v>
      </c>
      <c r="H1298" s="9">
        <f>COUNTIF($G$5:$G$1531,"&gt;"&amp;G1298)+1</f>
        <v/>
      </c>
      <c r="I1298" s="9" t="inlineStr"/>
      <c r="J1298" s="11">
        <f>IF(E1298="Private",F1298,"")</f>
        <v/>
      </c>
      <c r="K1298" s="11">
        <f>IF(E1298="Private",G1298,"")</f>
        <v/>
      </c>
    </row>
    <row r="1299">
      <c r="A1299" s="9" t="n">
        <v>179964</v>
      </c>
      <c r="B1299" s="9" t="inlineStr">
        <is>
          <t>William Woods University</t>
        </is>
      </c>
      <c r="C1299" s="9" t="inlineStr">
        <is>
          <t>Fulton</t>
        </is>
      </c>
      <c r="D1299" s="9" t="inlineStr">
        <is>
          <t>MO</t>
        </is>
      </c>
      <c r="E1299" s="9" t="inlineStr">
        <is>
          <t>Private</t>
        </is>
      </c>
      <c r="F1299" s="11" t="n">
        <v>26569</v>
      </c>
      <c r="G1299" s="11" t="n">
        <v>42401</v>
      </c>
      <c r="H1299" s="9">
        <f>COUNTIF($G$5:$G$1531,"&gt;"&amp;G1299)+1</f>
        <v/>
      </c>
      <c r="I1299" s="9" t="inlineStr"/>
      <c r="J1299" s="11">
        <f>IF(E1299="Private",F1299,"")</f>
        <v/>
      </c>
      <c r="K1299" s="11">
        <f>IF(E1299="Private",G1299,"")</f>
        <v/>
      </c>
    </row>
    <row r="1300">
      <c r="A1300" s="9" t="n">
        <v>218229</v>
      </c>
      <c r="B1300" s="9" t="inlineStr">
        <is>
          <t>Lander University</t>
        </is>
      </c>
      <c r="C1300" s="9" t="inlineStr">
        <is>
          <t>Greenwood</t>
        </is>
      </c>
      <c r="D1300" s="9" t="inlineStr">
        <is>
          <t>SC</t>
        </is>
      </c>
      <c r="E1300" s="9" t="inlineStr">
        <is>
          <t>Public</t>
        </is>
      </c>
      <c r="F1300" s="11" t="n">
        <v>15363</v>
      </c>
      <c r="G1300" s="11" t="n">
        <v>42396</v>
      </c>
      <c r="H1300" s="9">
        <f>COUNTIF($G$5:$G$1531,"&gt;"&amp;G1300)+1</f>
        <v/>
      </c>
      <c r="I1300" s="9" t="inlineStr"/>
      <c r="J1300" s="11">
        <f>IF(E1300="Private",F1300,"")</f>
        <v/>
      </c>
      <c r="K1300" s="11">
        <f>IF(E1300="Private",G1300,"")</f>
        <v/>
      </c>
    </row>
    <row r="1301">
      <c r="A1301" s="9" t="n">
        <v>107983</v>
      </c>
      <c r="B1301" s="9" t="inlineStr">
        <is>
          <t>Southern Arkansas University Main Campus</t>
        </is>
      </c>
      <c r="C1301" s="9" t="inlineStr">
        <is>
          <t>Magnolia</t>
        </is>
      </c>
      <c r="D1301" s="9" t="inlineStr">
        <is>
          <t>AR</t>
        </is>
      </c>
      <c r="E1301" s="9" t="inlineStr">
        <is>
          <t>Public</t>
        </is>
      </c>
      <c r="F1301" s="11" t="n">
        <v>14027</v>
      </c>
      <c r="G1301" s="11" t="n">
        <v>42386</v>
      </c>
      <c r="H1301" s="9">
        <f>COUNTIF($G$5:$G$1531,"&gt;"&amp;G1301)+1</f>
        <v/>
      </c>
      <c r="I1301" s="9" t="inlineStr"/>
      <c r="J1301" s="11">
        <f>IF(E1301="Private",F1301,"")</f>
        <v/>
      </c>
      <c r="K1301" s="11">
        <f>IF(E1301="Private",G1301,"")</f>
        <v/>
      </c>
    </row>
    <row r="1302">
      <c r="A1302" s="9" t="n">
        <v>157100</v>
      </c>
      <c r="B1302" s="9" t="inlineStr">
        <is>
          <t>Kentucky Christian University</t>
        </is>
      </c>
      <c r="C1302" s="9" t="inlineStr">
        <is>
          <t>Grayson</t>
        </is>
      </c>
      <c r="D1302" s="9" t="inlineStr">
        <is>
          <t>KY</t>
        </is>
      </c>
      <c r="E1302" s="9" t="inlineStr">
        <is>
          <t>Private</t>
        </is>
      </c>
      <c r="F1302" s="11" t="n">
        <v>24038</v>
      </c>
      <c r="G1302" s="11" t="n">
        <v>42375</v>
      </c>
      <c r="H1302" s="9">
        <f>COUNTIF($G$5:$G$1531,"&gt;"&amp;G1302)+1</f>
        <v/>
      </c>
      <c r="I1302" s="9" t="inlineStr"/>
      <c r="J1302" s="11">
        <f>IF(E1302="Private",F1302,"")</f>
        <v/>
      </c>
      <c r="K1302" s="11">
        <f>IF(E1302="Private",G1302,"")</f>
        <v/>
      </c>
    </row>
    <row r="1303">
      <c r="A1303" s="9" t="n">
        <v>156213</v>
      </c>
      <c r="B1303" s="9" t="inlineStr">
        <is>
          <t>Asbury University</t>
        </is>
      </c>
      <c r="C1303" s="9" t="inlineStr">
        <is>
          <t>Wilmore</t>
        </is>
      </c>
      <c r="D1303" s="9" t="inlineStr">
        <is>
          <t>KY</t>
        </is>
      </c>
      <c r="E1303" s="9" t="inlineStr">
        <is>
          <t>Private</t>
        </is>
      </c>
      <c r="F1303" s="11" t="n">
        <v>21401</v>
      </c>
      <c r="G1303" s="11" t="n">
        <v>42368</v>
      </c>
      <c r="H1303" s="9">
        <f>COUNTIF($G$5:$G$1531,"&gt;"&amp;G1303)+1</f>
        <v/>
      </c>
      <c r="I1303" s="9" t="inlineStr"/>
      <c r="J1303" s="11">
        <f>IF(E1303="Private",F1303,"")</f>
        <v/>
      </c>
      <c r="K1303" s="11">
        <f>IF(E1303="Private",G1303,"")</f>
        <v/>
      </c>
    </row>
    <row r="1304">
      <c r="A1304" s="9" t="n">
        <v>105589</v>
      </c>
      <c r="B1304" s="9" t="inlineStr">
        <is>
          <t>Prescott College</t>
        </is>
      </c>
      <c r="C1304" s="9" t="inlineStr">
        <is>
          <t>Prescott</t>
        </is>
      </c>
      <c r="D1304" s="9" t="inlineStr">
        <is>
          <t>AZ</t>
        </is>
      </c>
      <c r="E1304" s="9" t="inlineStr">
        <is>
          <t>Private</t>
        </is>
      </c>
      <c r="F1304" s="11" t="n">
        <v>22583</v>
      </c>
      <c r="G1304" s="11" t="n">
        <v>42359</v>
      </c>
      <c r="H1304" s="9">
        <f>COUNTIF($G$5:$G$1531,"&gt;"&amp;G1304)+1</f>
        <v/>
      </c>
      <c r="I1304" s="9" t="inlineStr"/>
      <c r="J1304" s="11">
        <f>IF(E1304="Private",F1304,"")</f>
        <v/>
      </c>
      <c r="K1304" s="11">
        <f>IF(E1304="Private",G1304,"")</f>
        <v/>
      </c>
    </row>
    <row r="1305">
      <c r="A1305" s="9" t="n">
        <v>133702</v>
      </c>
      <c r="B1305" s="9" t="inlineStr">
        <is>
          <t>Florida State College at Jacksonville</t>
        </is>
      </c>
      <c r="C1305" s="9" t="inlineStr">
        <is>
          <t>Jacksonville</t>
        </is>
      </c>
      <c r="D1305" s="9" t="inlineStr">
        <is>
          <t>FL</t>
        </is>
      </c>
      <c r="E1305" s="9" t="inlineStr">
        <is>
          <t>Public</t>
        </is>
      </c>
      <c r="F1305" s="11" t="n">
        <v>4128</v>
      </c>
      <c r="G1305" s="11" t="n">
        <v>42244</v>
      </c>
      <c r="H1305" s="9">
        <f>COUNTIF($G$5:$G$1531,"&gt;"&amp;G1305)+1</f>
        <v/>
      </c>
      <c r="I1305" s="9" t="inlineStr"/>
      <c r="J1305" s="11">
        <f>IF(E1305="Private",F1305,"")</f>
        <v/>
      </c>
      <c r="K1305" s="11">
        <f>IF(E1305="Private",G1305,"")</f>
        <v/>
      </c>
    </row>
    <row r="1306">
      <c r="A1306" s="9" t="n">
        <v>159382</v>
      </c>
      <c r="B1306" s="9" t="inlineStr">
        <is>
          <t>Louisiana State University at Alexandria</t>
        </is>
      </c>
      <c r="C1306" s="9" t="inlineStr">
        <is>
          <t>Alexandria</t>
        </is>
      </c>
      <c r="D1306" s="9" t="inlineStr">
        <is>
          <t>LA</t>
        </is>
      </c>
      <c r="E1306" s="9" t="inlineStr">
        <is>
          <t>Public</t>
        </is>
      </c>
      <c r="F1306" s="11" t="n">
        <v>7065</v>
      </c>
      <c r="G1306" s="11" t="n">
        <v>42205</v>
      </c>
      <c r="H1306" s="9">
        <f>COUNTIF($G$5:$G$1531,"&gt;"&amp;G1306)+1</f>
        <v/>
      </c>
      <c r="I1306" s="9" t="inlineStr"/>
      <c r="J1306" s="11">
        <f>IF(E1306="Private",F1306,"")</f>
        <v/>
      </c>
      <c r="K1306" s="11">
        <f>IF(E1306="Private",G1306,"")</f>
        <v/>
      </c>
    </row>
    <row r="1307">
      <c r="A1307" s="9" t="n">
        <v>220206</v>
      </c>
      <c r="B1307" s="9" t="inlineStr">
        <is>
          <t>Welch College</t>
        </is>
      </c>
      <c r="C1307" s="9" t="inlineStr">
        <is>
          <t>Gallatin</t>
        </is>
      </c>
      <c r="D1307" s="9" t="inlineStr">
        <is>
          <t>TN</t>
        </is>
      </c>
      <c r="E1307" s="9" t="inlineStr">
        <is>
          <t>Private</t>
        </is>
      </c>
      <c r="F1307" s="11" t="n">
        <v>25263</v>
      </c>
      <c r="G1307" s="11" t="n">
        <v>42198</v>
      </c>
      <c r="H1307" s="9">
        <f>COUNTIF($G$5:$G$1531,"&gt;"&amp;G1307)+1</f>
        <v/>
      </c>
      <c r="I1307" s="9" t="inlineStr"/>
      <c r="J1307" s="11">
        <f>IF(E1307="Private",F1307,"")</f>
        <v/>
      </c>
      <c r="K1307" s="11">
        <f>IF(E1307="Private",G1307,"")</f>
        <v/>
      </c>
    </row>
    <row r="1308">
      <c r="A1308" s="9" t="n">
        <v>144281</v>
      </c>
      <c r="B1308" s="9" t="inlineStr">
        <is>
          <t>Columbia College Chicago</t>
        </is>
      </c>
      <c r="C1308" s="9" t="inlineStr">
        <is>
          <t>Chicago</t>
        </is>
      </c>
      <c r="D1308" s="9" t="inlineStr">
        <is>
          <t>IL</t>
        </is>
      </c>
      <c r="E1308" s="9" t="inlineStr">
        <is>
          <t>Private</t>
        </is>
      </c>
      <c r="F1308" s="11" t="n">
        <v>26598</v>
      </c>
      <c r="G1308" s="11" t="n">
        <v>42195</v>
      </c>
      <c r="H1308" s="9">
        <f>COUNTIF($G$5:$G$1531,"&gt;"&amp;G1308)+1</f>
        <v/>
      </c>
      <c r="I1308" s="9" t="inlineStr"/>
      <c r="J1308" s="11">
        <f>IF(E1308="Private",F1308,"")</f>
        <v/>
      </c>
      <c r="K1308" s="11">
        <f>IF(E1308="Private",G1308,"")</f>
        <v/>
      </c>
    </row>
    <row r="1309">
      <c r="A1309" s="9" t="n">
        <v>104717</v>
      </c>
      <c r="B1309" s="9" t="inlineStr">
        <is>
          <t>Grand Canyon University</t>
        </is>
      </c>
      <c r="C1309" s="9" t="inlineStr">
        <is>
          <t>Phoenix</t>
        </is>
      </c>
      <c r="D1309" s="9" t="inlineStr">
        <is>
          <t>AZ</t>
        </is>
      </c>
      <c r="E1309" s="9" t="inlineStr">
        <is>
          <t>Private</t>
        </is>
      </c>
      <c r="F1309" s="11" t="n">
        <v>22472</v>
      </c>
      <c r="G1309" s="11" t="n">
        <v>42186</v>
      </c>
      <c r="H1309" s="9">
        <f>COUNTIF($G$5:$G$1531,"&gt;"&amp;G1309)+1</f>
        <v/>
      </c>
      <c r="I1309" s="9" t="inlineStr"/>
      <c r="J1309" s="11">
        <f>IF(E1309="Private",F1309,"")</f>
        <v/>
      </c>
      <c r="K1309" s="11">
        <f>IF(E1309="Private",G1309,"")</f>
        <v/>
      </c>
    </row>
    <row r="1310">
      <c r="A1310" s="9" t="n">
        <v>217633</v>
      </c>
      <c r="B1310" s="9" t="inlineStr">
        <is>
          <t>Anderson University (Anderson, SC)</t>
        </is>
      </c>
      <c r="C1310" s="9" t="inlineStr">
        <is>
          <t>Anderson</t>
        </is>
      </c>
      <c r="D1310" s="9" t="inlineStr">
        <is>
          <t>SC</t>
        </is>
      </c>
      <c r="E1310" s="9" t="inlineStr">
        <is>
          <t>Private</t>
        </is>
      </c>
      <c r="F1310" s="11" t="n">
        <v>23544</v>
      </c>
      <c r="G1310" s="11" t="n">
        <v>42101</v>
      </c>
      <c r="H1310" s="9">
        <f>COUNTIF($G$5:$G$1531,"&gt;"&amp;G1310)+1</f>
        <v/>
      </c>
      <c r="I1310" s="9" t="inlineStr"/>
      <c r="J1310" s="11">
        <f>IF(E1310="Private",F1310,"")</f>
        <v/>
      </c>
      <c r="K1310" s="11">
        <f>IF(E1310="Private",G1310,"")</f>
        <v/>
      </c>
    </row>
    <row r="1311">
      <c r="A1311" s="9" t="n">
        <v>182980</v>
      </c>
      <c r="B1311" s="9" t="inlineStr">
        <is>
          <t>New England College</t>
        </is>
      </c>
      <c r="C1311" s="9" t="inlineStr">
        <is>
          <t>Henniker</t>
        </is>
      </c>
      <c r="D1311" s="9" t="inlineStr">
        <is>
          <t>NH</t>
        </is>
      </c>
      <c r="E1311" s="9" t="inlineStr">
        <is>
          <t>Private</t>
        </is>
      </c>
      <c r="F1311" s="11" t="n">
        <v>26972</v>
      </c>
      <c r="G1311" s="11" t="n">
        <v>42092</v>
      </c>
      <c r="H1311" s="9">
        <f>COUNTIF($G$5:$G$1531,"&gt;"&amp;G1311)+1</f>
        <v/>
      </c>
      <c r="I1311" s="9" t="inlineStr"/>
      <c r="J1311" s="11">
        <f>IF(E1311="Private",F1311,"")</f>
        <v/>
      </c>
      <c r="K1311" s="11">
        <f>IF(E1311="Private",G1311,"")</f>
        <v/>
      </c>
    </row>
    <row r="1312">
      <c r="A1312" s="9" t="n">
        <v>243823</v>
      </c>
      <c r="B1312" s="9" t="inlineStr">
        <is>
          <t>Parker University</t>
        </is>
      </c>
      <c r="C1312" s="9" t="inlineStr">
        <is>
          <t>Dallas</t>
        </is>
      </c>
      <c r="D1312" s="9" t="inlineStr">
        <is>
          <t>TX</t>
        </is>
      </c>
      <c r="E1312" s="9" t="inlineStr">
        <is>
          <t>Private</t>
        </is>
      </c>
      <c r="F1312" s="11" t="n">
        <v>29135</v>
      </c>
      <c r="G1312" s="11" t="n">
        <v>42091</v>
      </c>
      <c r="H1312" s="9">
        <f>COUNTIF($G$5:$G$1531,"&gt;"&amp;G1312)+1</f>
        <v/>
      </c>
      <c r="I1312" s="9" t="inlineStr"/>
      <c r="J1312" s="11">
        <f>IF(E1312="Private",F1312,"")</f>
        <v/>
      </c>
      <c r="K1312" s="11">
        <f>IF(E1312="Private",G1312,"")</f>
        <v/>
      </c>
    </row>
    <row r="1313">
      <c r="A1313" s="9" t="n">
        <v>102368</v>
      </c>
      <c r="B1313" s="9" t="inlineStr">
        <is>
          <t>Troy University</t>
        </is>
      </c>
      <c r="C1313" s="9" t="inlineStr">
        <is>
          <t>Troy</t>
        </is>
      </c>
      <c r="D1313" s="9" t="inlineStr">
        <is>
          <t>AL</t>
        </is>
      </c>
      <c r="E1313" s="9" t="inlineStr">
        <is>
          <t>Public</t>
        </is>
      </c>
      <c r="F1313" s="11" t="n">
        <v>16527</v>
      </c>
      <c r="G1313" s="11" t="n">
        <v>42062</v>
      </c>
      <c r="H1313" s="9">
        <f>COUNTIF($G$5:$G$1531,"&gt;"&amp;G1313)+1</f>
        <v/>
      </c>
      <c r="I1313" s="9" t="inlineStr"/>
      <c r="J1313" s="11">
        <f>IF(E1313="Private",F1313,"")</f>
        <v/>
      </c>
      <c r="K1313" s="11">
        <f>IF(E1313="Private",G1313,"")</f>
        <v/>
      </c>
    </row>
    <row r="1314">
      <c r="A1314" s="9" t="n">
        <v>207157</v>
      </c>
      <c r="B1314" s="9" t="inlineStr">
        <is>
          <t>Randall University</t>
        </is>
      </c>
      <c r="C1314" s="9" t="inlineStr">
        <is>
          <t>Moore</t>
        </is>
      </c>
      <c r="D1314" s="9" t="inlineStr">
        <is>
          <t>OK</t>
        </is>
      </c>
      <c r="E1314" s="9" t="inlineStr">
        <is>
          <t>Private</t>
        </is>
      </c>
      <c r="F1314" s="11" t="n">
        <v>16383</v>
      </c>
      <c r="G1314" s="11" t="n">
        <v>42051</v>
      </c>
      <c r="H1314" s="9">
        <f>COUNTIF($G$5:$G$1531,"&gt;"&amp;G1314)+1</f>
        <v/>
      </c>
      <c r="I1314" s="9" t="inlineStr"/>
      <c r="J1314" s="11">
        <f>IF(E1314="Private",F1314,"")</f>
        <v/>
      </c>
      <c r="K1314" s="11">
        <f>IF(E1314="Private",G1314,"")</f>
        <v/>
      </c>
    </row>
    <row r="1315">
      <c r="A1315" s="9" t="n">
        <v>139205</v>
      </c>
      <c r="B1315" s="9" t="inlineStr">
        <is>
          <t>Brewton-Parker Christian University</t>
        </is>
      </c>
      <c r="C1315" s="9" t="inlineStr">
        <is>
          <t>Mount Vernon</t>
        </is>
      </c>
      <c r="D1315" s="9" t="inlineStr">
        <is>
          <t>GA</t>
        </is>
      </c>
      <c r="E1315" s="9" t="inlineStr">
        <is>
          <t>Private</t>
        </is>
      </c>
      <c r="F1315" s="11" t="n">
        <v>26054</v>
      </c>
      <c r="G1315" s="11" t="n">
        <v>42009</v>
      </c>
      <c r="H1315" s="9">
        <f>COUNTIF($G$5:$G$1531,"&gt;"&amp;G1315)+1</f>
        <v/>
      </c>
      <c r="I1315" s="9" t="inlineStr"/>
      <c r="J1315" s="11">
        <f>IF(E1315="Private",F1315,"")</f>
        <v/>
      </c>
      <c r="K1315" s="11">
        <f>IF(E1315="Private",G1315,"")</f>
        <v/>
      </c>
    </row>
    <row r="1316">
      <c r="A1316" s="9" t="n">
        <v>157863</v>
      </c>
      <c r="B1316" s="9" t="inlineStr">
        <is>
          <t>Union Commonwealth University</t>
        </is>
      </c>
      <c r="C1316" s="9" t="inlineStr">
        <is>
          <t>Barbourville</t>
        </is>
      </c>
      <c r="D1316" s="9" t="inlineStr">
        <is>
          <t>KY</t>
        </is>
      </c>
      <c r="E1316" s="9" t="inlineStr">
        <is>
          <t>Private</t>
        </is>
      </c>
      <c r="F1316" s="11" t="n">
        <v>21311</v>
      </c>
      <c r="G1316" s="11" t="n">
        <v>42002</v>
      </c>
      <c r="H1316" s="9">
        <f>COUNTIF($G$5:$G$1531,"&gt;"&amp;G1316)+1</f>
        <v/>
      </c>
      <c r="I1316" s="9" t="inlineStr"/>
      <c r="J1316" s="11">
        <f>IF(E1316="Private",F1316,"")</f>
        <v/>
      </c>
      <c r="K1316" s="11">
        <f>IF(E1316="Private",G1316,"")</f>
        <v/>
      </c>
    </row>
    <row r="1317">
      <c r="A1317" s="9" t="n">
        <v>175616</v>
      </c>
      <c r="B1317" s="9" t="inlineStr">
        <is>
          <t>Delta State University</t>
        </is>
      </c>
      <c r="C1317" s="9" t="inlineStr">
        <is>
          <t>Cleveland</t>
        </is>
      </c>
      <c r="D1317" s="9" t="inlineStr">
        <is>
          <t>MS</t>
        </is>
      </c>
      <c r="E1317" s="9" t="inlineStr">
        <is>
          <t>Public</t>
        </is>
      </c>
      <c r="F1317" s="11" t="n">
        <v>13540</v>
      </c>
      <c r="G1317" s="11" t="n">
        <v>41991</v>
      </c>
      <c r="H1317" s="9">
        <f>COUNTIF($G$5:$G$1531,"&gt;"&amp;G1317)+1</f>
        <v/>
      </c>
      <c r="I1317" s="9" t="inlineStr"/>
      <c r="J1317" s="11">
        <f>IF(E1317="Private",F1317,"")</f>
        <v/>
      </c>
      <c r="K1317" s="11">
        <f>IF(E1317="Private",G1317,"")</f>
        <v/>
      </c>
    </row>
    <row r="1318">
      <c r="A1318" s="9" t="n">
        <v>207722</v>
      </c>
      <c r="B1318" s="9" t="inlineStr">
        <is>
          <t>University of Science and Arts of Oklahoma</t>
        </is>
      </c>
      <c r="C1318" s="9" t="inlineStr">
        <is>
          <t>Chickasha</t>
        </is>
      </c>
      <c r="D1318" s="9" t="inlineStr">
        <is>
          <t>OK</t>
        </is>
      </c>
      <c r="E1318" s="9" t="inlineStr">
        <is>
          <t>Public</t>
        </is>
      </c>
      <c r="F1318" s="11" t="n">
        <v>6624</v>
      </c>
      <c r="G1318" s="11" t="n">
        <v>41913</v>
      </c>
      <c r="H1318" s="9">
        <f>COUNTIF($G$5:$G$1531,"&gt;"&amp;G1318)+1</f>
        <v/>
      </c>
      <c r="I1318" s="9" t="inlineStr"/>
      <c r="J1318" s="11">
        <f>IF(E1318="Private",F1318,"")</f>
        <v/>
      </c>
      <c r="K1318" s="11">
        <f>IF(E1318="Private",G1318,"")</f>
        <v/>
      </c>
    </row>
    <row r="1319">
      <c r="A1319" s="9" t="n">
        <v>228501</v>
      </c>
      <c r="B1319" s="9" t="inlineStr">
        <is>
          <t>Sul Ross State University</t>
        </is>
      </c>
      <c r="C1319" s="9" t="inlineStr">
        <is>
          <t>Alpine</t>
        </is>
      </c>
      <c r="D1319" s="9" t="inlineStr">
        <is>
          <t>TX</t>
        </is>
      </c>
      <c r="E1319" s="9" t="inlineStr">
        <is>
          <t>Public</t>
        </is>
      </c>
      <c r="F1319" s="11" t="n">
        <v>13286</v>
      </c>
      <c r="G1319" s="11" t="n">
        <v>41871</v>
      </c>
      <c r="H1319" s="9">
        <f>COUNTIF($G$5:$G$1531,"&gt;"&amp;G1319)+1</f>
        <v/>
      </c>
      <c r="I1319" s="9" t="inlineStr"/>
      <c r="J1319" s="11">
        <f>IF(E1319="Private",F1319,"")</f>
        <v/>
      </c>
      <c r="K1319" s="11">
        <f>IF(E1319="Private",G1319,"")</f>
        <v/>
      </c>
    </row>
    <row r="1320">
      <c r="A1320" s="9" t="n">
        <v>106467</v>
      </c>
      <c r="B1320" s="9" t="inlineStr">
        <is>
          <t>Arkansas Tech University</t>
        </is>
      </c>
      <c r="C1320" s="9" t="inlineStr">
        <is>
          <t>Russellville</t>
        </is>
      </c>
      <c r="D1320" s="9" t="inlineStr">
        <is>
          <t>AR</t>
        </is>
      </c>
      <c r="E1320" s="9" t="inlineStr">
        <is>
          <t>Public</t>
        </is>
      </c>
      <c r="F1320" s="11" t="n">
        <v>12970</v>
      </c>
      <c r="G1320" s="11" t="n">
        <v>41766</v>
      </c>
      <c r="H1320" s="9">
        <f>COUNTIF($G$5:$G$1531,"&gt;"&amp;G1320)+1</f>
        <v/>
      </c>
      <c r="I1320" s="9" t="inlineStr"/>
      <c r="J1320" s="11">
        <f>IF(E1320="Private",F1320,"")</f>
        <v/>
      </c>
      <c r="K1320" s="11">
        <f>IF(E1320="Private",G1320,"")</f>
        <v/>
      </c>
    </row>
    <row r="1321">
      <c r="A1321" s="9" t="n">
        <v>137209</v>
      </c>
      <c r="B1321" s="9" t="inlineStr">
        <is>
          <t>Seminole State College of Florida</t>
        </is>
      </c>
      <c r="C1321" s="9" t="inlineStr">
        <is>
          <t>Sanford</t>
        </is>
      </c>
      <c r="D1321" s="9" t="inlineStr">
        <is>
          <t>FL</t>
        </is>
      </c>
      <c r="E1321" s="9" t="inlineStr">
        <is>
          <t>Public</t>
        </is>
      </c>
      <c r="F1321" s="11" t="n">
        <v>8970</v>
      </c>
      <c r="G1321" s="11" t="n">
        <v>41733</v>
      </c>
      <c r="H1321" s="9">
        <f>COUNTIF($G$5:$G$1531,"&gt;"&amp;G1321)+1</f>
        <v/>
      </c>
      <c r="I1321" s="9" t="inlineStr"/>
      <c r="J1321" s="11">
        <f>IF(E1321="Private",F1321,"")</f>
        <v/>
      </c>
      <c r="K1321" s="11">
        <f>IF(E1321="Private",G1321,"")</f>
        <v/>
      </c>
    </row>
    <row r="1322">
      <c r="A1322" s="9" t="n">
        <v>137281</v>
      </c>
      <c r="B1322" s="9" t="inlineStr">
        <is>
          <t>Saint Johns River State College</t>
        </is>
      </c>
      <c r="C1322" s="9" t="inlineStr">
        <is>
          <t>Palatka</t>
        </is>
      </c>
      <c r="D1322" s="9" t="inlineStr">
        <is>
          <t>FL</t>
        </is>
      </c>
      <c r="E1322" s="9" t="inlineStr">
        <is>
          <t>Public</t>
        </is>
      </c>
      <c r="F1322" s="11" t="n">
        <v>6135</v>
      </c>
      <c r="G1322" s="11" t="n">
        <v>41728</v>
      </c>
      <c r="H1322" s="9">
        <f>COUNTIF($G$5:$G$1531,"&gt;"&amp;G1322)+1</f>
        <v/>
      </c>
      <c r="I1322" s="9" t="inlineStr"/>
      <c r="J1322" s="11">
        <f>IF(E1322="Private",F1322,"")</f>
        <v/>
      </c>
      <c r="K1322" s="11">
        <f>IF(E1322="Private",G1322,"")</f>
        <v/>
      </c>
    </row>
    <row r="1323">
      <c r="A1323" s="9" t="n">
        <v>170000</v>
      </c>
      <c r="B1323" s="9" t="inlineStr">
        <is>
          <t>Grace Christian University</t>
        </is>
      </c>
      <c r="C1323" s="9" t="inlineStr">
        <is>
          <t>Wyoming</t>
        </is>
      </c>
      <c r="D1323" s="9" t="inlineStr">
        <is>
          <t>MI</t>
        </is>
      </c>
      <c r="E1323" s="9" t="inlineStr">
        <is>
          <t>Private</t>
        </is>
      </c>
      <c r="F1323" s="11" t="n">
        <v>12404</v>
      </c>
      <c r="G1323" s="11" t="n">
        <v>41663</v>
      </c>
      <c r="H1323" s="9">
        <f>COUNTIF($G$5:$G$1531,"&gt;"&amp;G1323)+1</f>
        <v/>
      </c>
      <c r="I1323" s="9" t="inlineStr"/>
      <c r="J1323" s="11">
        <f>IF(E1323="Private",F1323,"")</f>
        <v/>
      </c>
      <c r="K1323" s="11">
        <f>IF(E1323="Private",G1323,"")</f>
        <v/>
      </c>
    </row>
    <row r="1324">
      <c r="A1324" s="9" t="n">
        <v>178697</v>
      </c>
      <c r="B1324" s="9" t="inlineStr">
        <is>
          <t>College of the Ozarks</t>
        </is>
      </c>
      <c r="C1324" s="9" t="inlineStr">
        <is>
          <t>Point Lookout</t>
        </is>
      </c>
      <c r="D1324" s="9" t="inlineStr">
        <is>
          <t>MO</t>
        </is>
      </c>
      <c r="E1324" s="9" t="inlineStr">
        <is>
          <t>Private</t>
        </is>
      </c>
      <c r="F1324" s="11" t="n">
        <v>6100</v>
      </c>
      <c r="G1324" s="11" t="n">
        <v>41592</v>
      </c>
      <c r="H1324" s="9">
        <f>COUNTIF($G$5:$G$1531,"&gt;"&amp;G1324)+1</f>
        <v/>
      </c>
      <c r="I1324" s="9" t="inlineStr"/>
      <c r="J1324" s="11">
        <f>IF(E1324="Private",F1324,"")</f>
        <v/>
      </c>
      <c r="K1324" s="11">
        <f>IF(E1324="Private",G1324,"")</f>
        <v/>
      </c>
    </row>
    <row r="1325">
      <c r="A1325" s="9" t="n">
        <v>156365</v>
      </c>
      <c r="B1325" s="9" t="inlineStr">
        <is>
          <t>Campbellsville University</t>
        </is>
      </c>
      <c r="C1325" s="9" t="inlineStr">
        <is>
          <t>Campbellsville</t>
        </is>
      </c>
      <c r="D1325" s="9" t="inlineStr">
        <is>
          <t>KY</t>
        </is>
      </c>
      <c r="E1325" s="9" t="inlineStr">
        <is>
          <t>Private</t>
        </is>
      </c>
      <c r="F1325" s="11" t="n">
        <v>19341</v>
      </c>
      <c r="G1325" s="11" t="n">
        <v>41583</v>
      </c>
      <c r="H1325" s="9">
        <f>COUNTIF($G$5:$G$1531,"&gt;"&amp;G1325)+1</f>
        <v/>
      </c>
      <c r="I1325" s="9" t="inlineStr"/>
      <c r="J1325" s="11">
        <f>IF(E1325="Private",F1325,"")</f>
        <v/>
      </c>
      <c r="K1325" s="11">
        <f>IF(E1325="Private",G1325,"")</f>
        <v/>
      </c>
    </row>
    <row r="1326">
      <c r="A1326" s="9" t="n">
        <v>132842</v>
      </c>
      <c r="B1326" s="9" t="inlineStr">
        <is>
          <t>Albizu University-Miami</t>
        </is>
      </c>
      <c r="C1326" s="9" t="inlineStr">
        <is>
          <t>Miami</t>
        </is>
      </c>
      <c r="D1326" s="9" t="inlineStr">
        <is>
          <t>FL</t>
        </is>
      </c>
      <c r="E1326" s="9" t="inlineStr">
        <is>
          <t>Private</t>
        </is>
      </c>
      <c r="F1326" s="11" t="n">
        <v>19849</v>
      </c>
      <c r="G1326" s="11" t="n">
        <v>41544</v>
      </c>
      <c r="H1326" s="9">
        <f>COUNTIF($G$5:$G$1531,"&gt;"&amp;G1326)+1</f>
        <v/>
      </c>
      <c r="I1326" s="9" t="inlineStr"/>
      <c r="J1326" s="11">
        <f>IF(E1326="Private",F1326,"")</f>
        <v/>
      </c>
      <c r="K1326" s="11">
        <f>IF(E1326="Private",G1326,"")</f>
        <v/>
      </c>
    </row>
    <row r="1327">
      <c r="A1327" s="9" t="n">
        <v>206695</v>
      </c>
      <c r="B1327" s="9" t="inlineStr">
        <is>
          <t>Youngstown State University</t>
        </is>
      </c>
      <c r="C1327" s="9" t="inlineStr">
        <is>
          <t>Youngstown</t>
        </is>
      </c>
      <c r="D1327" s="9" t="inlineStr">
        <is>
          <t>OH</t>
        </is>
      </c>
      <c r="E1327" s="9" t="inlineStr">
        <is>
          <t>Public</t>
        </is>
      </c>
      <c r="F1327" s="11" t="n">
        <v>12767</v>
      </c>
      <c r="G1327" s="11" t="n">
        <v>41544</v>
      </c>
      <c r="H1327" s="9">
        <f>COUNTIF($G$5:$G$1531,"&gt;"&amp;G1327)+1</f>
        <v/>
      </c>
      <c r="I1327" s="9" t="inlineStr"/>
      <c r="J1327" s="11">
        <f>IF(E1327="Private",F1327,"")</f>
        <v/>
      </c>
      <c r="K1327" s="11">
        <f>IF(E1327="Private",G1327,"")</f>
        <v/>
      </c>
    </row>
    <row r="1328">
      <c r="A1328" s="9" t="n">
        <v>205203</v>
      </c>
      <c r="B1328" s="9" t="inlineStr">
        <is>
          <t>University of Rio Grande</t>
        </is>
      </c>
      <c r="C1328" s="9" t="inlineStr">
        <is>
          <t>Rio Grande</t>
        </is>
      </c>
      <c r="D1328" s="9" t="inlineStr">
        <is>
          <t>OH</t>
        </is>
      </c>
      <c r="E1328" s="9" t="inlineStr">
        <is>
          <t>Private</t>
        </is>
      </c>
      <c r="F1328" s="11" t="n">
        <v>23686</v>
      </c>
      <c r="G1328" s="11" t="n">
        <v>41478</v>
      </c>
      <c r="H1328" s="9">
        <f>COUNTIF($G$5:$G$1531,"&gt;"&amp;G1328)+1</f>
        <v/>
      </c>
      <c r="I1328" s="9" t="inlineStr"/>
      <c r="J1328" s="11">
        <f>IF(E1328="Private",F1328,"")</f>
        <v/>
      </c>
      <c r="K1328" s="11">
        <f>IF(E1328="Private",G1328,"")</f>
        <v/>
      </c>
    </row>
    <row r="1329">
      <c r="A1329" s="9" t="n">
        <v>217934</v>
      </c>
      <c r="B1329" s="9" t="inlineStr">
        <is>
          <t>Columbia College (Columbia, SC)</t>
        </is>
      </c>
      <c r="C1329" s="9" t="inlineStr">
        <is>
          <t>Columbia</t>
        </is>
      </c>
      <c r="D1329" s="9" t="inlineStr">
        <is>
          <t>SC</t>
        </is>
      </c>
      <c r="E1329" s="9" t="inlineStr">
        <is>
          <t>Private</t>
        </is>
      </c>
      <c r="F1329" s="11" t="n">
        <v>18408</v>
      </c>
      <c r="G1329" s="11" t="n">
        <v>41338</v>
      </c>
      <c r="H1329" s="9">
        <f>COUNTIF($G$5:$G$1531,"&gt;"&amp;G1329)+1</f>
        <v/>
      </c>
      <c r="I1329" s="9" t="inlineStr"/>
      <c r="J1329" s="11">
        <f>IF(E1329="Private",F1329,"")</f>
        <v/>
      </c>
      <c r="K1329" s="11">
        <f>IF(E1329="Private",G1329,"")</f>
        <v/>
      </c>
    </row>
    <row r="1330">
      <c r="A1330" s="9" t="n">
        <v>219505</v>
      </c>
      <c r="B1330" s="9" t="inlineStr">
        <is>
          <t>American Baptist College</t>
        </is>
      </c>
      <c r="C1330" s="9" t="inlineStr">
        <is>
          <t>Nashville</t>
        </is>
      </c>
      <c r="D1330" s="9" t="inlineStr">
        <is>
          <t>TN</t>
        </is>
      </c>
      <c r="E1330" s="9" t="inlineStr">
        <is>
          <t>Private</t>
        </is>
      </c>
      <c r="F1330" s="11" t="n">
        <v>9216</v>
      </c>
      <c r="G1330" s="11" t="n">
        <v>41216</v>
      </c>
      <c r="H1330" s="9">
        <f>COUNTIF($G$5:$G$1531,"&gt;"&amp;G1330)+1</f>
        <v/>
      </c>
      <c r="I1330" s="9" t="inlineStr"/>
      <c r="J1330" s="11">
        <f>IF(E1330="Private",F1330,"")</f>
        <v/>
      </c>
      <c r="K1330" s="11">
        <f>IF(E1330="Private",G1330,"")</f>
        <v/>
      </c>
    </row>
    <row r="1331">
      <c r="A1331" s="9" t="n">
        <v>111081</v>
      </c>
      <c r="B1331" s="9" t="inlineStr">
        <is>
          <t>California Institute of the Arts</t>
        </is>
      </c>
      <c r="C1331" s="9" t="inlineStr">
        <is>
          <t>Valencia</t>
        </is>
      </c>
      <c r="D1331" s="9" t="inlineStr">
        <is>
          <t>CA</t>
        </is>
      </c>
      <c r="E1331" s="9" t="inlineStr">
        <is>
          <t>Private</t>
        </is>
      </c>
      <c r="F1331" s="11" t="n">
        <v>46080</v>
      </c>
      <c r="G1331" s="11" t="n">
        <v>41198</v>
      </c>
      <c r="H1331" s="9">
        <f>COUNTIF($G$5:$G$1531,"&gt;"&amp;G1331)+1</f>
        <v/>
      </c>
      <c r="I1331" s="9" t="inlineStr"/>
      <c r="J1331" s="11">
        <f>IF(E1331="Private",F1331,"")</f>
        <v/>
      </c>
      <c r="K1331" s="11">
        <f>IF(E1331="Private",G1331,"")</f>
        <v/>
      </c>
    </row>
    <row r="1332">
      <c r="A1332" s="9" t="n">
        <v>157216</v>
      </c>
      <c r="B1332" s="9" t="inlineStr">
        <is>
          <t>Lindsey Wilson University</t>
        </is>
      </c>
      <c r="C1332" s="9" t="inlineStr">
        <is>
          <t>Columbia</t>
        </is>
      </c>
      <c r="D1332" s="9" t="inlineStr">
        <is>
          <t>KY</t>
        </is>
      </c>
      <c r="E1332" s="9" t="inlineStr">
        <is>
          <t>Private</t>
        </is>
      </c>
      <c r="F1332" s="11" t="n">
        <v>15070</v>
      </c>
      <c r="G1332" s="11" t="n">
        <v>41129</v>
      </c>
      <c r="H1332" s="9">
        <f>COUNTIF($G$5:$G$1531,"&gt;"&amp;G1332)+1</f>
        <v/>
      </c>
      <c r="I1332" s="9" t="inlineStr"/>
      <c r="J1332" s="11">
        <f>IF(E1332="Private",F1332,"")</f>
        <v/>
      </c>
      <c r="K1332" s="11">
        <f>IF(E1332="Private",G1332,"")</f>
        <v/>
      </c>
    </row>
    <row r="1333">
      <c r="A1333" s="9" t="n">
        <v>152637</v>
      </c>
      <c r="B1333" s="9" t="inlineStr">
        <is>
          <t>Vincennes University</t>
        </is>
      </c>
      <c r="C1333" s="9" t="inlineStr">
        <is>
          <t>Vincennes</t>
        </is>
      </c>
      <c r="D1333" s="9" t="inlineStr">
        <is>
          <t>IN</t>
        </is>
      </c>
      <c r="E1333" s="9" t="inlineStr">
        <is>
          <t>Public</t>
        </is>
      </c>
      <c r="F1333" s="11" t="n">
        <v>11225</v>
      </c>
      <c r="G1333" s="11" t="n">
        <v>41110</v>
      </c>
      <c r="H1333" s="9">
        <f>COUNTIF($G$5:$G$1531,"&gt;"&amp;G1333)+1</f>
        <v/>
      </c>
      <c r="I1333" s="9" t="inlineStr"/>
      <c r="J1333" s="11">
        <f>IF(E1333="Private",F1333,"")</f>
        <v/>
      </c>
      <c r="K1333" s="11">
        <f>IF(E1333="Private",G1333,"")</f>
        <v/>
      </c>
    </row>
    <row r="1334">
      <c r="A1334" s="9" t="n">
        <v>159009</v>
      </c>
      <c r="B1334" s="9" t="inlineStr">
        <is>
          <t>Grambling State University</t>
        </is>
      </c>
      <c r="C1334" s="9" t="inlineStr">
        <is>
          <t>Grambling</t>
        </is>
      </c>
      <c r="D1334" s="9" t="inlineStr">
        <is>
          <t>LA</t>
        </is>
      </c>
      <c r="E1334" s="9" t="inlineStr">
        <is>
          <t>Public</t>
        </is>
      </c>
      <c r="F1334" s="11" t="n">
        <v>19809</v>
      </c>
      <c r="G1334" s="11" t="n">
        <v>41109</v>
      </c>
      <c r="H1334" s="9">
        <f>COUNTIF($G$5:$G$1531,"&gt;"&amp;G1334)+1</f>
        <v/>
      </c>
      <c r="I1334" s="9" t="inlineStr"/>
      <c r="J1334" s="11">
        <f>IF(E1334="Private",F1334,"")</f>
        <v/>
      </c>
      <c r="K1334" s="11">
        <f>IF(E1334="Private",G1334,"")</f>
        <v/>
      </c>
    </row>
    <row r="1335">
      <c r="A1335" s="9" t="n">
        <v>108092</v>
      </c>
      <c r="B1335" s="9" t="inlineStr">
        <is>
          <t>University of Arkansas-Fort Smith</t>
        </is>
      </c>
      <c r="C1335" s="9" t="inlineStr">
        <is>
          <t>Fort Smith</t>
        </is>
      </c>
      <c r="D1335" s="9" t="inlineStr">
        <is>
          <t>AR</t>
        </is>
      </c>
      <c r="E1335" s="9" t="inlineStr">
        <is>
          <t>Public</t>
        </is>
      </c>
      <c r="F1335" s="11" t="n">
        <v>10574</v>
      </c>
      <c r="G1335" s="11" t="n">
        <v>41102</v>
      </c>
      <c r="H1335" s="9">
        <f>COUNTIF($G$5:$G$1531,"&gt;"&amp;G1335)+1</f>
        <v/>
      </c>
      <c r="I1335" s="9" t="inlineStr"/>
      <c r="J1335" s="11">
        <f>IF(E1335="Private",F1335,"")</f>
        <v/>
      </c>
      <c r="K1335" s="11">
        <f>IF(E1335="Private",G1335,"")</f>
        <v/>
      </c>
    </row>
    <row r="1336">
      <c r="A1336" s="9" t="n">
        <v>171881</v>
      </c>
      <c r="B1336" s="9" t="inlineStr">
        <is>
          <t>Kuyper College</t>
        </is>
      </c>
      <c r="C1336" s="9" t="inlineStr">
        <is>
          <t>Grand Rapids</t>
        </is>
      </c>
      <c r="D1336" s="9" t="inlineStr">
        <is>
          <t>MI</t>
        </is>
      </c>
      <c r="E1336" s="9" t="inlineStr">
        <is>
          <t>Private</t>
        </is>
      </c>
      <c r="F1336" s="11" t="n">
        <v>15644</v>
      </c>
      <c r="G1336" s="11" t="n">
        <v>41066</v>
      </c>
      <c r="H1336" s="9">
        <f>COUNTIF($G$5:$G$1531,"&gt;"&amp;G1336)+1</f>
        <v/>
      </c>
      <c r="I1336" s="9" t="inlineStr"/>
      <c r="J1336" s="11">
        <f>IF(E1336="Private",F1336,"")</f>
        <v/>
      </c>
      <c r="K1336" s="11">
        <f>IF(E1336="Private",G1336,"")</f>
        <v/>
      </c>
    </row>
    <row r="1337">
      <c r="A1337" s="9" t="n">
        <v>213376</v>
      </c>
      <c r="B1337" s="9" t="inlineStr">
        <is>
          <t>Lackawanna College</t>
        </is>
      </c>
      <c r="C1337" s="9" t="inlineStr">
        <is>
          <t>Scranton</t>
        </is>
      </c>
      <c r="D1337" s="9" t="inlineStr">
        <is>
          <t>PA</t>
        </is>
      </c>
      <c r="E1337" s="9" t="inlineStr">
        <is>
          <t>Private</t>
        </is>
      </c>
      <c r="F1337" s="11" t="n">
        <v>19951</v>
      </c>
      <c r="G1337" s="11" t="n">
        <v>41000</v>
      </c>
      <c r="H1337" s="9">
        <f>COUNTIF($G$5:$G$1531,"&gt;"&amp;G1337)+1</f>
        <v/>
      </c>
      <c r="I1337" s="9" t="inlineStr"/>
      <c r="J1337" s="11">
        <f>IF(E1337="Private",F1337,"")</f>
        <v/>
      </c>
      <c r="K1337" s="11">
        <f>IF(E1337="Private",G1337,"")</f>
        <v/>
      </c>
    </row>
    <row r="1338">
      <c r="A1338" s="9" t="n">
        <v>161341</v>
      </c>
      <c r="B1338" s="9" t="inlineStr">
        <is>
          <t>University of Maine at Presque Isle</t>
        </is>
      </c>
      <c r="C1338" s="9" t="inlineStr">
        <is>
          <t>Presque Isle</t>
        </is>
      </c>
      <c r="D1338" s="9" t="inlineStr">
        <is>
          <t>ME</t>
        </is>
      </c>
      <c r="E1338" s="9" t="inlineStr">
        <is>
          <t>Public</t>
        </is>
      </c>
      <c r="F1338" s="11" t="n">
        <v>7035</v>
      </c>
      <c r="G1338" s="11" t="n">
        <v>40956</v>
      </c>
      <c r="H1338" s="9">
        <f>COUNTIF($G$5:$G$1531,"&gt;"&amp;G1338)+1</f>
        <v/>
      </c>
      <c r="I1338" s="9" t="inlineStr"/>
      <c r="J1338" s="11">
        <f>IF(E1338="Private",F1338,"")</f>
        <v/>
      </c>
      <c r="K1338" s="11">
        <f>IF(E1338="Private",G1338,"")</f>
        <v/>
      </c>
    </row>
    <row r="1339">
      <c r="A1339" s="9" t="n">
        <v>217961</v>
      </c>
      <c r="B1339" s="9" t="inlineStr">
        <is>
          <t>Converse University</t>
        </is>
      </c>
      <c r="C1339" s="9" t="inlineStr">
        <is>
          <t>Spartanburg</t>
        </is>
      </c>
      <c r="D1339" s="9" t="inlineStr">
        <is>
          <t>SC</t>
        </is>
      </c>
      <c r="E1339" s="9" t="inlineStr">
        <is>
          <t>Private</t>
        </is>
      </c>
      <c r="F1339" s="11" t="n">
        <v>23283</v>
      </c>
      <c r="G1339" s="11" t="n">
        <v>40867</v>
      </c>
      <c r="H1339" s="9">
        <f>COUNTIF($G$5:$G$1531,"&gt;"&amp;G1339)+1</f>
        <v/>
      </c>
      <c r="I1339" s="9" t="inlineStr"/>
      <c r="J1339" s="11">
        <f>IF(E1339="Private",F1339,"")</f>
        <v/>
      </c>
      <c r="K1339" s="11">
        <f>IF(E1339="Private",G1339,"")</f>
        <v/>
      </c>
    </row>
    <row r="1340">
      <c r="A1340" s="9" t="n">
        <v>482158</v>
      </c>
      <c r="B1340" s="9" t="inlineStr">
        <is>
          <t>Middle Georgia State University</t>
        </is>
      </c>
      <c r="C1340" s="9" t="inlineStr">
        <is>
          <t>Macon</t>
        </is>
      </c>
      <c r="D1340" s="9" t="inlineStr">
        <is>
          <t>GA</t>
        </is>
      </c>
      <c r="E1340" s="9" t="inlineStr">
        <is>
          <t>Public</t>
        </is>
      </c>
      <c r="F1340" s="11" t="n">
        <v>12361</v>
      </c>
      <c r="G1340" s="11" t="n">
        <v>40863</v>
      </c>
      <c r="H1340" s="9">
        <f>COUNTIF($G$5:$G$1531,"&gt;"&amp;G1340)+1</f>
        <v/>
      </c>
      <c r="I1340" s="9" t="inlineStr"/>
      <c r="J1340" s="11">
        <f>IF(E1340="Private",F1340,"")</f>
        <v/>
      </c>
      <c r="K1340" s="11">
        <f>IF(E1340="Private",G1340,"")</f>
        <v/>
      </c>
    </row>
    <row r="1341">
      <c r="A1341" s="9" t="n">
        <v>459727</v>
      </c>
      <c r="B1341" s="9" t="inlineStr">
        <is>
          <t>Touro University Worldwide</t>
        </is>
      </c>
      <c r="C1341" s="9" t="inlineStr">
        <is>
          <t>Los Alamitos</t>
        </is>
      </c>
      <c r="D1341" s="9" t="inlineStr">
        <is>
          <t>CA</t>
        </is>
      </c>
      <c r="E1341" s="9" t="inlineStr">
        <is>
          <t>Private</t>
        </is>
      </c>
      <c r="F1341" s="11" t="n">
        <v>19058</v>
      </c>
      <c r="G1341" s="11" t="n">
        <v>40803</v>
      </c>
      <c r="H1341" s="9">
        <f>COUNTIF($G$5:$G$1531,"&gt;"&amp;G1341)+1</f>
        <v/>
      </c>
      <c r="I1341" s="9" t="inlineStr"/>
      <c r="J1341" s="11">
        <f>IF(E1341="Private",F1341,"")</f>
        <v/>
      </c>
      <c r="K1341" s="11">
        <f>IF(E1341="Private",G1341,"")</f>
        <v/>
      </c>
    </row>
    <row r="1342">
      <c r="A1342" s="9" t="n">
        <v>177214</v>
      </c>
      <c r="B1342" s="9" t="inlineStr">
        <is>
          <t>Drury University</t>
        </is>
      </c>
      <c r="C1342" s="9" t="inlineStr">
        <is>
          <t>Springfield</t>
        </is>
      </c>
      <c r="D1342" s="9" t="inlineStr">
        <is>
          <t>MO</t>
        </is>
      </c>
      <c r="E1342" s="9" t="inlineStr">
        <is>
          <t>Private</t>
        </is>
      </c>
      <c r="F1342" s="11" t="n">
        <v>20831</v>
      </c>
      <c r="G1342" s="11" t="n">
        <v>40694</v>
      </c>
      <c r="H1342" s="9">
        <f>COUNTIF($G$5:$G$1531,"&gt;"&amp;G1342)+1</f>
        <v/>
      </c>
      <c r="I1342" s="9" t="inlineStr"/>
      <c r="J1342" s="11">
        <f>IF(E1342="Private",F1342,"")</f>
        <v/>
      </c>
      <c r="K1342" s="11">
        <f>IF(E1342="Private",G1342,"")</f>
        <v/>
      </c>
    </row>
    <row r="1343">
      <c r="A1343" s="9" t="n">
        <v>492801</v>
      </c>
      <c r="B1343" s="9" t="inlineStr">
        <is>
          <t>Drury University-College of Continuing Professional Studies</t>
        </is>
      </c>
      <c r="C1343" s="9" t="inlineStr">
        <is>
          <t>Springfield</t>
        </is>
      </c>
      <c r="D1343" s="9" t="inlineStr">
        <is>
          <t>MO</t>
        </is>
      </c>
      <c r="E1343" s="9" t="inlineStr">
        <is>
          <t>Private</t>
        </is>
      </c>
      <c r="F1343" s="11" t="n">
        <v>10566</v>
      </c>
      <c r="G1343" s="11" t="n">
        <v>40694</v>
      </c>
      <c r="H1343" s="9">
        <f>COUNTIF($G$5:$G$1531,"&gt;"&amp;G1343)+1</f>
        <v/>
      </c>
      <c r="I1343" s="9" t="inlineStr"/>
      <c r="J1343" s="11">
        <f>IF(E1343="Private",F1343,"")</f>
        <v/>
      </c>
      <c r="K1343" s="11">
        <f>IF(E1343="Private",G1343,"")</f>
        <v/>
      </c>
    </row>
    <row r="1344">
      <c r="A1344" s="9" t="n">
        <v>138716</v>
      </c>
      <c r="B1344" s="9" t="inlineStr">
        <is>
          <t>Albany State University</t>
        </is>
      </c>
      <c r="C1344" s="9" t="inlineStr">
        <is>
          <t>Albany</t>
        </is>
      </c>
      <c r="D1344" s="9" t="inlineStr">
        <is>
          <t>GA</t>
        </is>
      </c>
      <c r="E1344" s="9" t="inlineStr">
        <is>
          <t>Public</t>
        </is>
      </c>
      <c r="F1344" s="11" t="n">
        <v>11898</v>
      </c>
      <c r="G1344" s="11" t="n">
        <v>40674</v>
      </c>
      <c r="H1344" s="9">
        <f>COUNTIF($G$5:$G$1531,"&gt;"&amp;G1344)+1</f>
        <v/>
      </c>
      <c r="I1344" s="9" t="inlineStr"/>
      <c r="J1344" s="11">
        <f>IF(E1344="Private",F1344,"")</f>
        <v/>
      </c>
      <c r="K1344" s="11">
        <f>IF(E1344="Private",G1344,"")</f>
        <v/>
      </c>
    </row>
    <row r="1345">
      <c r="A1345" s="9" t="n">
        <v>446233</v>
      </c>
      <c r="B1345" s="9" t="inlineStr">
        <is>
          <t>Ecclesia College</t>
        </is>
      </c>
      <c r="C1345" s="9" t="inlineStr">
        <is>
          <t>Springdale</t>
        </is>
      </c>
      <c r="D1345" s="9" t="inlineStr">
        <is>
          <t>AR</t>
        </is>
      </c>
      <c r="E1345" s="9" t="inlineStr">
        <is>
          <t>Private</t>
        </is>
      </c>
      <c r="F1345" s="11" t="n">
        <v>22075</v>
      </c>
      <c r="G1345" s="11" t="n">
        <v>40650</v>
      </c>
      <c r="H1345" s="9">
        <f>COUNTIF($G$5:$G$1531,"&gt;"&amp;G1345)+1</f>
        <v/>
      </c>
      <c r="I1345" s="9" t="inlineStr"/>
      <c r="J1345" s="11">
        <f>IF(E1345="Private",F1345,"")</f>
        <v/>
      </c>
      <c r="K1345" s="11">
        <f>IF(E1345="Private",G1345,"")</f>
        <v/>
      </c>
    </row>
    <row r="1346">
      <c r="A1346" s="9" t="n">
        <v>153320</v>
      </c>
      <c r="B1346" s="9" t="inlineStr">
        <is>
          <t>Faith Baptist Bible College and Theological Seminary</t>
        </is>
      </c>
      <c r="C1346" s="9" t="inlineStr">
        <is>
          <t>Ankeny</t>
        </is>
      </c>
      <c r="D1346" s="9" t="inlineStr">
        <is>
          <t>IA</t>
        </is>
      </c>
      <c r="E1346" s="9" t="inlineStr">
        <is>
          <t>Private</t>
        </is>
      </c>
      <c r="F1346" s="11" t="n">
        <v>16282</v>
      </c>
      <c r="G1346" s="11" t="n">
        <v>40650</v>
      </c>
      <c r="H1346" s="9">
        <f>COUNTIF($G$5:$G$1531,"&gt;"&amp;G1346)+1</f>
        <v/>
      </c>
      <c r="I1346" s="9" t="inlineStr"/>
      <c r="J1346" s="11">
        <f>IF(E1346="Private",F1346,"")</f>
        <v/>
      </c>
      <c r="K1346" s="11">
        <f>IF(E1346="Private",G1346,"")</f>
        <v/>
      </c>
    </row>
    <row r="1347">
      <c r="A1347" s="9" t="n">
        <v>100654</v>
      </c>
      <c r="B1347" s="9" t="inlineStr">
        <is>
          <t>Alabama A &amp; M University</t>
        </is>
      </c>
      <c r="C1347" s="9" t="inlineStr">
        <is>
          <t>Normal</t>
        </is>
      </c>
      <c r="D1347" s="9" t="inlineStr">
        <is>
          <t>AL</t>
        </is>
      </c>
      <c r="E1347" s="9" t="inlineStr">
        <is>
          <t>Public</t>
        </is>
      </c>
      <c r="F1347" s="11" t="n">
        <v>17621</v>
      </c>
      <c r="G1347" s="11" t="n">
        <v>40628</v>
      </c>
      <c r="H1347" s="9">
        <f>COUNTIF($G$5:$G$1531,"&gt;"&amp;G1347)+1</f>
        <v/>
      </c>
      <c r="I1347" s="9" t="inlineStr"/>
      <c r="J1347" s="11">
        <f>IF(E1347="Private",F1347,"")</f>
        <v/>
      </c>
      <c r="K1347" s="11">
        <f>IF(E1347="Private",G1347,"")</f>
        <v/>
      </c>
    </row>
    <row r="1348">
      <c r="A1348" s="9" t="n">
        <v>136516</v>
      </c>
      <c r="B1348" s="9" t="inlineStr">
        <is>
          <t>Polk State College</t>
        </is>
      </c>
      <c r="C1348" s="9" t="inlineStr">
        <is>
          <t>Winter Haven</t>
        </is>
      </c>
      <c r="D1348" s="9" t="inlineStr">
        <is>
          <t>FL</t>
        </is>
      </c>
      <c r="E1348" s="9" t="inlineStr">
        <is>
          <t>Public</t>
        </is>
      </c>
      <c r="F1348" s="11" t="n">
        <v>9427</v>
      </c>
      <c r="G1348" s="11" t="n">
        <v>40624</v>
      </c>
      <c r="H1348" s="9">
        <f>COUNTIF($G$5:$G$1531,"&gt;"&amp;G1348)+1</f>
        <v/>
      </c>
      <c r="I1348" s="9" t="inlineStr"/>
      <c r="J1348" s="11">
        <f>IF(E1348="Private",F1348,"")</f>
        <v/>
      </c>
      <c r="K1348" s="11">
        <f>IF(E1348="Private",G1348,"")</f>
        <v/>
      </c>
    </row>
    <row r="1349">
      <c r="A1349" s="9" t="n">
        <v>220473</v>
      </c>
      <c r="B1349" s="9" t="inlineStr">
        <is>
          <t>Johnson University</t>
        </is>
      </c>
      <c r="C1349" s="9" t="inlineStr">
        <is>
          <t>Knoxville</t>
        </is>
      </c>
      <c r="D1349" s="9" t="inlineStr">
        <is>
          <t>TN</t>
        </is>
      </c>
      <c r="E1349" s="9" t="inlineStr">
        <is>
          <t>Private</t>
        </is>
      </c>
      <c r="F1349" s="11" t="n">
        <v>22063</v>
      </c>
      <c r="G1349" s="11" t="n">
        <v>40596</v>
      </c>
      <c r="H1349" s="9">
        <f>COUNTIF($G$5:$G$1531,"&gt;"&amp;G1349)+1</f>
        <v/>
      </c>
      <c r="I1349" s="9" t="inlineStr"/>
      <c r="J1349" s="11">
        <f>IF(E1349="Private",F1349,"")</f>
        <v/>
      </c>
      <c r="K1349" s="11">
        <f>IF(E1349="Private",G1349,"")</f>
        <v/>
      </c>
    </row>
    <row r="1350">
      <c r="A1350" s="9" t="n">
        <v>156189</v>
      </c>
      <c r="B1350" s="9" t="inlineStr">
        <is>
          <t>Alice Lloyd College</t>
        </is>
      </c>
      <c r="C1350" s="9" t="inlineStr">
        <is>
          <t>Pippa Passes</t>
        </is>
      </c>
      <c r="D1350" s="9" t="inlineStr">
        <is>
          <t>KY</t>
        </is>
      </c>
      <c r="E1350" s="9" t="inlineStr">
        <is>
          <t>Private</t>
        </is>
      </c>
      <c r="F1350" s="11" t="n">
        <v>18600</v>
      </c>
      <c r="G1350" s="11" t="n">
        <v>40573</v>
      </c>
      <c r="H1350" s="9">
        <f>COUNTIF($G$5:$G$1531,"&gt;"&amp;G1350)+1</f>
        <v/>
      </c>
      <c r="I1350" s="9" t="inlineStr"/>
      <c r="J1350" s="11">
        <f>IF(E1350="Private",F1350,"")</f>
        <v/>
      </c>
      <c r="K1350" s="11">
        <f>IF(E1350="Private",G1350,"")</f>
        <v/>
      </c>
    </row>
    <row r="1351">
      <c r="A1351" s="9" t="n">
        <v>457484</v>
      </c>
      <c r="B1351" s="9" t="inlineStr">
        <is>
          <t>Pacific Rim Christian University</t>
        </is>
      </c>
      <c r="C1351" s="9" t="inlineStr">
        <is>
          <t>Honolulu</t>
        </is>
      </c>
      <c r="D1351" s="9" t="inlineStr">
        <is>
          <t>HI</t>
        </is>
      </c>
      <c r="E1351" s="9" t="inlineStr">
        <is>
          <t>Private</t>
        </is>
      </c>
      <c r="F1351" s="11" t="n">
        <v>23151</v>
      </c>
      <c r="G1351" s="11" t="n">
        <v>40523</v>
      </c>
      <c r="H1351" s="9">
        <f>COUNTIF($G$5:$G$1531,"&gt;"&amp;G1351)+1</f>
        <v/>
      </c>
      <c r="I1351" s="9" t="inlineStr"/>
      <c r="J1351" s="11">
        <f>IF(E1351="Private",F1351,"")</f>
        <v/>
      </c>
      <c r="K1351" s="11">
        <f>IF(E1351="Private",G1351,"")</f>
        <v/>
      </c>
    </row>
    <row r="1352">
      <c r="A1352" s="9" t="n">
        <v>237899</v>
      </c>
      <c r="B1352" s="9" t="inlineStr">
        <is>
          <t>West Virginia State University</t>
        </is>
      </c>
      <c r="C1352" s="9" t="inlineStr">
        <is>
          <t>Institute</t>
        </is>
      </c>
      <c r="D1352" s="9" t="inlineStr">
        <is>
          <t>WV</t>
        </is>
      </c>
      <c r="E1352" s="9" t="inlineStr">
        <is>
          <t>Public</t>
        </is>
      </c>
      <c r="F1352" s="11" t="n">
        <v>11139</v>
      </c>
      <c r="G1352" s="11" t="n">
        <v>40492</v>
      </c>
      <c r="H1352" s="9">
        <f>COUNTIF($G$5:$G$1531,"&gt;"&amp;G1352)+1</f>
        <v/>
      </c>
      <c r="I1352" s="9" t="inlineStr"/>
      <c r="J1352" s="11">
        <f>IF(E1352="Private",F1352,"")</f>
        <v/>
      </c>
      <c r="K1352" s="11">
        <f>IF(E1352="Private",G1352,"")</f>
        <v/>
      </c>
    </row>
    <row r="1353">
      <c r="A1353" s="9" t="n">
        <v>210492</v>
      </c>
      <c r="B1353" s="9" t="inlineStr">
        <is>
          <t>Bryn Athyn College of the New Church</t>
        </is>
      </c>
      <c r="C1353" s="9" t="inlineStr">
        <is>
          <t>Bryn Athyn</t>
        </is>
      </c>
      <c r="D1353" s="9" t="inlineStr">
        <is>
          <t>PA</t>
        </is>
      </c>
      <c r="E1353" s="9" t="inlineStr">
        <is>
          <t>Private</t>
        </is>
      </c>
      <c r="F1353" s="11" t="n">
        <v>20586</v>
      </c>
      <c r="G1353" s="11" t="n">
        <v>40457</v>
      </c>
      <c r="H1353" s="9">
        <f>COUNTIF($G$5:$G$1531,"&gt;"&amp;G1353)+1</f>
        <v/>
      </c>
      <c r="I1353" s="9" t="inlineStr"/>
      <c r="J1353" s="11">
        <f>IF(E1353="Private",F1353,"")</f>
        <v/>
      </c>
      <c r="K1353" s="11">
        <f>IF(E1353="Private",G1353,"")</f>
        <v/>
      </c>
    </row>
    <row r="1354">
      <c r="A1354" s="9" t="n">
        <v>175430</v>
      </c>
      <c r="B1354" s="9" t="inlineStr">
        <is>
          <t>Blue Mountain Christian University</t>
        </is>
      </c>
      <c r="C1354" s="9" t="inlineStr">
        <is>
          <t>Blue Mountain</t>
        </is>
      </c>
      <c r="D1354" s="9" t="inlineStr">
        <is>
          <t>MS</t>
        </is>
      </c>
      <c r="E1354" s="9" t="inlineStr">
        <is>
          <t>Private</t>
        </is>
      </c>
      <c r="F1354" s="11" t="n">
        <v>24016</v>
      </c>
      <c r="G1354" s="11" t="n">
        <v>40421</v>
      </c>
      <c r="H1354" s="9">
        <f>COUNTIF($G$5:$G$1531,"&gt;"&amp;G1354)+1</f>
        <v/>
      </c>
      <c r="I1354" s="9" t="inlineStr"/>
      <c r="J1354" s="11">
        <f>IF(E1354="Private",F1354,"")</f>
        <v/>
      </c>
      <c r="K1354" s="11">
        <f>IF(E1354="Private",G1354,"")</f>
        <v/>
      </c>
    </row>
    <row r="1355">
      <c r="A1355" s="9" t="n">
        <v>207856</v>
      </c>
      <c r="B1355" s="9" t="inlineStr">
        <is>
          <t>Southwestern Christian University</t>
        </is>
      </c>
      <c r="C1355" s="9" t="inlineStr">
        <is>
          <t>Bethany</t>
        </is>
      </c>
      <c r="D1355" s="9" t="inlineStr">
        <is>
          <t>OK</t>
        </is>
      </c>
      <c r="E1355" s="9" t="inlineStr">
        <is>
          <t>Private</t>
        </is>
      </c>
      <c r="F1355" s="11" t="n">
        <v>20146</v>
      </c>
      <c r="G1355" s="11" t="n">
        <v>40391</v>
      </c>
      <c r="H1355" s="9">
        <f>COUNTIF($G$5:$G$1531,"&gt;"&amp;G1355)+1</f>
        <v/>
      </c>
      <c r="I1355" s="9" t="inlineStr"/>
      <c r="J1355" s="11">
        <f>IF(E1355="Private",F1355,"")</f>
        <v/>
      </c>
      <c r="K1355" s="11">
        <f>IF(E1355="Private",G1355,"")</f>
        <v/>
      </c>
    </row>
    <row r="1356">
      <c r="A1356" s="9" t="n">
        <v>161217</v>
      </c>
      <c r="B1356" s="9" t="inlineStr">
        <is>
          <t>University of Maine at Augusta</t>
        </is>
      </c>
      <c r="C1356" s="9" t="inlineStr">
        <is>
          <t>Augusta</t>
        </is>
      </c>
      <c r="D1356" s="9" t="inlineStr">
        <is>
          <t>ME</t>
        </is>
      </c>
      <c r="E1356" s="9" t="inlineStr">
        <is>
          <t>Public</t>
        </is>
      </c>
      <c r="F1356" s="11" t="n">
        <v>10924</v>
      </c>
      <c r="G1356" s="11" t="n">
        <v>40342</v>
      </c>
      <c r="H1356" s="9">
        <f>COUNTIF($G$5:$G$1531,"&gt;"&amp;G1356)+1</f>
        <v/>
      </c>
      <c r="I1356" s="9" t="inlineStr"/>
      <c r="J1356" s="11">
        <f>IF(E1356="Private",F1356,"")</f>
        <v/>
      </c>
      <c r="K1356" s="11">
        <f>IF(E1356="Private",G1356,"")</f>
        <v/>
      </c>
    </row>
    <row r="1357">
      <c r="A1357" s="9" t="n">
        <v>135391</v>
      </c>
      <c r="B1357" s="9" t="inlineStr">
        <is>
          <t>State College of Florida-Manatee-Sarasota</t>
        </is>
      </c>
      <c r="C1357" s="9" t="inlineStr">
        <is>
          <t>Bradenton</t>
        </is>
      </c>
      <c r="D1357" s="9" t="inlineStr">
        <is>
          <t>FL</t>
        </is>
      </c>
      <c r="E1357" s="9" t="inlineStr">
        <is>
          <t>Public</t>
        </is>
      </c>
      <c r="F1357" s="11" t="n">
        <v>22356</v>
      </c>
      <c r="G1357" s="11" t="n">
        <v>40318</v>
      </c>
      <c r="H1357" s="9">
        <f>COUNTIF($G$5:$G$1531,"&gt;"&amp;G1357)+1</f>
        <v/>
      </c>
      <c r="I1357" s="9" t="inlineStr"/>
      <c r="J1357" s="11">
        <f>IF(E1357="Private",F1357,"")</f>
        <v/>
      </c>
      <c r="K1357" s="11">
        <f>IF(E1357="Private",G1357,"")</f>
        <v/>
      </c>
    </row>
    <row r="1358">
      <c r="A1358" s="9" t="n">
        <v>217873</v>
      </c>
      <c r="B1358" s="9" t="inlineStr">
        <is>
          <t>Claflin University</t>
        </is>
      </c>
      <c r="C1358" s="9" t="inlineStr">
        <is>
          <t>Orangeburg</t>
        </is>
      </c>
      <c r="D1358" s="9" t="inlineStr">
        <is>
          <t>SC</t>
        </is>
      </c>
      <c r="E1358" s="9" t="inlineStr">
        <is>
          <t>Private</t>
        </is>
      </c>
      <c r="F1358" s="11" t="n">
        <v>17800</v>
      </c>
      <c r="G1358" s="11" t="n">
        <v>40304</v>
      </c>
      <c r="H1358" s="9">
        <f>COUNTIF($G$5:$G$1531,"&gt;"&amp;G1358)+1</f>
        <v/>
      </c>
      <c r="I1358" s="9" t="inlineStr"/>
      <c r="J1358" s="11">
        <f>IF(E1358="Private",F1358,"")</f>
        <v/>
      </c>
      <c r="K1358" s="11">
        <f>IF(E1358="Private",G1358,"")</f>
        <v/>
      </c>
    </row>
    <row r="1359">
      <c r="A1359" s="9" t="n">
        <v>160959</v>
      </c>
      <c r="B1359" s="9" t="inlineStr">
        <is>
          <t>College of the Atlantic</t>
        </is>
      </c>
      <c r="C1359" s="9" t="inlineStr">
        <is>
          <t>Bar Harbor</t>
        </is>
      </c>
      <c r="D1359" s="9" t="inlineStr">
        <is>
          <t>ME</t>
        </is>
      </c>
      <c r="E1359" s="9" t="inlineStr">
        <is>
          <t>Private</t>
        </is>
      </c>
      <c r="F1359" s="11" t="n">
        <v>25184</v>
      </c>
      <c r="G1359" s="11" t="n">
        <v>40264</v>
      </c>
      <c r="H1359" s="9">
        <f>COUNTIF($G$5:$G$1531,"&gt;"&amp;G1359)+1</f>
        <v/>
      </c>
      <c r="I1359" s="9" t="inlineStr"/>
      <c r="J1359" s="11">
        <f>IF(E1359="Private",F1359,"")</f>
        <v/>
      </c>
      <c r="K1359" s="11">
        <f>IF(E1359="Private",G1359,"")</f>
        <v/>
      </c>
    </row>
    <row r="1360">
      <c r="A1360" s="9" t="n">
        <v>139463</v>
      </c>
      <c r="B1360" s="9" t="inlineStr">
        <is>
          <t>Dalton State College</t>
        </is>
      </c>
      <c r="C1360" s="9" t="inlineStr">
        <is>
          <t>Dalton</t>
        </is>
      </c>
      <c r="D1360" s="9" t="inlineStr">
        <is>
          <t>GA</t>
        </is>
      </c>
      <c r="E1360" s="9" t="inlineStr">
        <is>
          <t>Public</t>
        </is>
      </c>
      <c r="F1360" s="11" t="n">
        <v>5012</v>
      </c>
      <c r="G1360" s="11" t="n">
        <v>40251</v>
      </c>
      <c r="H1360" s="9">
        <f>COUNTIF($G$5:$G$1531,"&gt;"&amp;G1360)+1</f>
        <v/>
      </c>
      <c r="I1360" s="9" t="inlineStr"/>
      <c r="J1360" s="11">
        <f>IF(E1360="Private",F1360,"")</f>
        <v/>
      </c>
      <c r="K1360" s="11">
        <f>IF(E1360="Private",G1360,"")</f>
        <v/>
      </c>
    </row>
    <row r="1361">
      <c r="A1361" s="9" t="n">
        <v>225201</v>
      </c>
      <c r="B1361" s="9" t="inlineStr">
        <is>
          <t>Hallmark University</t>
        </is>
      </c>
      <c r="C1361" s="9" t="inlineStr">
        <is>
          <t>San Antonio</t>
        </is>
      </c>
      <c r="D1361" s="9" t="inlineStr">
        <is>
          <t>TX</t>
        </is>
      </c>
      <c r="E1361" s="9" t="inlineStr">
        <is>
          <t>Private</t>
        </is>
      </c>
      <c r="F1361" s="11" t="n">
        <v>12513</v>
      </c>
      <c r="G1361" s="11" t="n">
        <v>40183</v>
      </c>
      <c r="H1361" s="9">
        <f>COUNTIF($G$5:$G$1531,"&gt;"&amp;G1361)+1</f>
        <v/>
      </c>
      <c r="I1361" s="9" t="inlineStr"/>
      <c r="J1361" s="11">
        <f>IF(E1361="Private",F1361,"")</f>
        <v/>
      </c>
      <c r="K1361" s="11">
        <f>IF(E1361="Private",G1361,"")</f>
        <v/>
      </c>
    </row>
    <row r="1362">
      <c r="A1362" s="9" t="n">
        <v>198543</v>
      </c>
      <c r="B1362" s="9" t="inlineStr">
        <is>
          <t>Fayetteville State University</t>
        </is>
      </c>
      <c r="C1362" s="9" t="inlineStr">
        <is>
          <t>Fayetteville</t>
        </is>
      </c>
      <c r="D1362" s="9" t="inlineStr">
        <is>
          <t>NC</t>
        </is>
      </c>
      <c r="E1362" s="9" t="inlineStr">
        <is>
          <t>Public</t>
        </is>
      </c>
      <c r="F1362" s="11" t="n">
        <v>7892</v>
      </c>
      <c r="G1362" s="11" t="n">
        <v>40144</v>
      </c>
      <c r="H1362" s="9">
        <f>COUNTIF($G$5:$G$1531,"&gt;"&amp;G1362)+1</f>
        <v/>
      </c>
      <c r="I1362" s="9" t="inlineStr"/>
      <c r="J1362" s="11">
        <f>IF(E1362="Private",F1362,"")</f>
        <v/>
      </c>
      <c r="K1362" s="11">
        <f>IF(E1362="Private",G1362,"")</f>
        <v/>
      </c>
    </row>
    <row r="1363">
      <c r="A1363" s="9" t="n">
        <v>206914</v>
      </c>
      <c r="B1363" s="9" t="inlineStr">
        <is>
          <t>Cameron University</t>
        </is>
      </c>
      <c r="C1363" s="9" t="inlineStr">
        <is>
          <t>Lawton</t>
        </is>
      </c>
      <c r="D1363" s="9" t="inlineStr">
        <is>
          <t>OK</t>
        </is>
      </c>
      <c r="E1363" s="9" t="inlineStr">
        <is>
          <t>Public</t>
        </is>
      </c>
      <c r="F1363" s="11" t="n">
        <v>10912</v>
      </c>
      <c r="G1363" s="11" t="n">
        <v>40118</v>
      </c>
      <c r="H1363" s="9">
        <f>COUNTIF($G$5:$G$1531,"&gt;"&amp;G1363)+1</f>
        <v/>
      </c>
      <c r="I1363" s="9" t="inlineStr"/>
      <c r="J1363" s="11">
        <f>IF(E1363="Private",F1363,"")</f>
        <v/>
      </c>
      <c r="K1363" s="11">
        <f>IF(E1363="Private",G1363,"")</f>
        <v/>
      </c>
    </row>
    <row r="1364">
      <c r="A1364" s="9" t="n">
        <v>217907</v>
      </c>
      <c r="B1364" s="9" t="inlineStr">
        <is>
          <t>Coker University</t>
        </is>
      </c>
      <c r="C1364" s="9" t="inlineStr">
        <is>
          <t>Hartsville</t>
        </is>
      </c>
      <c r="D1364" s="9" t="inlineStr">
        <is>
          <t>SC</t>
        </is>
      </c>
      <c r="E1364" s="9" t="inlineStr">
        <is>
          <t>Private</t>
        </is>
      </c>
      <c r="F1364" s="11" t="n">
        <v>20286</v>
      </c>
      <c r="G1364" s="11" t="n">
        <v>40117</v>
      </c>
      <c r="H1364" s="9">
        <f>COUNTIF($G$5:$G$1531,"&gt;"&amp;G1364)+1</f>
        <v/>
      </c>
      <c r="I1364" s="9" t="inlineStr"/>
      <c r="J1364" s="11">
        <f>IF(E1364="Private",F1364,"")</f>
        <v/>
      </c>
      <c r="K1364" s="11">
        <f>IF(E1364="Private",G1364,"")</f>
        <v/>
      </c>
    </row>
    <row r="1365">
      <c r="A1365" s="9" t="n">
        <v>232308</v>
      </c>
      <c r="B1365" s="9" t="inlineStr">
        <is>
          <t>Hollins University</t>
        </is>
      </c>
      <c r="C1365" s="9" t="inlineStr">
        <is>
          <t>Roanoke</t>
        </is>
      </c>
      <c r="D1365" s="9" t="inlineStr">
        <is>
          <t>VA</t>
        </is>
      </c>
      <c r="E1365" s="9" t="inlineStr">
        <is>
          <t>Private</t>
        </is>
      </c>
      <c r="F1365" s="11" t="n">
        <v>20896</v>
      </c>
      <c r="G1365" s="11" t="n">
        <v>40075</v>
      </c>
      <c r="H1365" s="9">
        <f>COUNTIF($G$5:$G$1531,"&gt;"&amp;G1365)+1</f>
        <v/>
      </c>
      <c r="I1365" s="9" t="inlineStr"/>
      <c r="J1365" s="11">
        <f>IF(E1365="Private",F1365,"")</f>
        <v/>
      </c>
      <c r="K1365" s="11">
        <f>IF(E1365="Private",G1365,"")</f>
        <v/>
      </c>
    </row>
    <row r="1366">
      <c r="A1366" s="9" t="n">
        <v>198507</v>
      </c>
      <c r="B1366" s="9" t="inlineStr">
        <is>
          <t>Elizabeth City State University</t>
        </is>
      </c>
      <c r="C1366" s="9" t="inlineStr">
        <is>
          <t>Elizabeth City</t>
        </is>
      </c>
      <c r="D1366" s="9" t="inlineStr">
        <is>
          <t>NC</t>
        </is>
      </c>
      <c r="E1366" s="9" t="inlineStr">
        <is>
          <t>Public</t>
        </is>
      </c>
      <c r="F1366" s="11" t="n">
        <v>6364</v>
      </c>
      <c r="G1366" s="11" t="n">
        <v>40026</v>
      </c>
      <c r="H1366" s="9">
        <f>COUNTIF($G$5:$G$1531,"&gt;"&amp;G1366)+1</f>
        <v/>
      </c>
      <c r="I1366" s="9" t="inlineStr"/>
      <c r="J1366" s="11">
        <f>IF(E1366="Private",F1366,"")</f>
        <v/>
      </c>
      <c r="K1366" s="11">
        <f>IF(E1366="Private",G1366,"")</f>
        <v/>
      </c>
    </row>
    <row r="1367">
      <c r="A1367" s="9" t="n">
        <v>137315</v>
      </c>
      <c r="B1367" s="9" t="inlineStr">
        <is>
          <t>South Florida State College</t>
        </is>
      </c>
      <c r="C1367" s="9" t="inlineStr">
        <is>
          <t>Avon Park</t>
        </is>
      </c>
      <c r="D1367" s="9" t="inlineStr">
        <is>
          <t>FL</t>
        </is>
      </c>
      <c r="E1367" s="9" t="inlineStr">
        <is>
          <t>Public</t>
        </is>
      </c>
      <c r="F1367" s="11" t="n">
        <v>3877</v>
      </c>
      <c r="G1367" s="11" t="n">
        <v>39990</v>
      </c>
      <c r="H1367" s="9">
        <f>COUNTIF($G$5:$G$1531,"&gt;"&amp;G1367)+1</f>
        <v/>
      </c>
      <c r="I1367" s="9" t="inlineStr"/>
      <c r="J1367" s="11">
        <f>IF(E1367="Private",F1367,"")</f>
        <v/>
      </c>
      <c r="K1367" s="11">
        <f>IF(E1367="Private",G1367,"")</f>
        <v/>
      </c>
    </row>
    <row r="1368">
      <c r="A1368" s="9" t="n">
        <v>136400</v>
      </c>
      <c r="B1368" s="9" t="inlineStr">
        <is>
          <t>Pasco-Hernando State College</t>
        </is>
      </c>
      <c r="C1368" s="9" t="inlineStr">
        <is>
          <t>New Port Richey</t>
        </is>
      </c>
      <c r="D1368" s="9" t="inlineStr">
        <is>
          <t>FL</t>
        </is>
      </c>
      <c r="E1368" s="9" t="inlineStr">
        <is>
          <t>Public</t>
        </is>
      </c>
      <c r="F1368" s="11" t="n">
        <v>5203</v>
      </c>
      <c r="G1368" s="11" t="n">
        <v>39903</v>
      </c>
      <c r="H1368" s="9">
        <f>COUNTIF($G$5:$G$1531,"&gt;"&amp;G1368)+1</f>
        <v/>
      </c>
      <c r="I1368" s="9" t="inlineStr"/>
      <c r="J1368" s="11">
        <f>IF(E1368="Private",F1368,"")</f>
        <v/>
      </c>
      <c r="K1368" s="11">
        <f>IF(E1368="Private",G1368,"")</f>
        <v/>
      </c>
    </row>
    <row r="1369">
      <c r="A1369" s="9" t="n">
        <v>134510</v>
      </c>
      <c r="B1369" s="9" t="inlineStr">
        <is>
          <t>Hobe Sound Bible College</t>
        </is>
      </c>
      <c r="C1369" s="9" t="inlineStr">
        <is>
          <t>Hobe Sound</t>
        </is>
      </c>
      <c r="D1369" s="9" t="inlineStr">
        <is>
          <t>FL</t>
        </is>
      </c>
      <c r="E1369" s="9" t="inlineStr">
        <is>
          <t>Private</t>
        </is>
      </c>
      <c r="F1369" s="11" t="n">
        <v>12074</v>
      </c>
      <c r="G1369" s="11" t="n">
        <v>39863</v>
      </c>
      <c r="H1369" s="9">
        <f>COUNTIF($G$5:$G$1531,"&gt;"&amp;G1369)+1</f>
        <v/>
      </c>
      <c r="I1369" s="9" t="inlineStr"/>
      <c r="J1369" s="11">
        <f>IF(E1369="Private",F1369,"")</f>
        <v/>
      </c>
      <c r="K1369" s="11">
        <f>IF(E1369="Private",G1369,"")</f>
        <v/>
      </c>
    </row>
    <row r="1370">
      <c r="A1370" s="9" t="n">
        <v>201964</v>
      </c>
      <c r="B1370" s="9" t="inlineStr">
        <is>
          <t>Ohio Christian University</t>
        </is>
      </c>
      <c r="C1370" s="9" t="inlineStr">
        <is>
          <t>Circleville</t>
        </is>
      </c>
      <c r="D1370" s="9" t="inlineStr">
        <is>
          <t>OH</t>
        </is>
      </c>
      <c r="E1370" s="9" t="inlineStr">
        <is>
          <t>Private</t>
        </is>
      </c>
      <c r="F1370" s="11" t="n">
        <v>20607</v>
      </c>
      <c r="G1370" s="11" t="n">
        <v>39813</v>
      </c>
      <c r="H1370" s="9">
        <f>COUNTIF($G$5:$G$1531,"&gt;"&amp;G1370)+1</f>
        <v/>
      </c>
      <c r="I1370" s="9" t="inlineStr"/>
      <c r="J1370" s="11">
        <f>IF(E1370="Private",F1370,"")</f>
        <v/>
      </c>
      <c r="K1370" s="11">
        <f>IF(E1370="Private",G1370,"")</f>
        <v/>
      </c>
    </row>
    <row r="1371">
      <c r="A1371" s="9" t="n">
        <v>135081</v>
      </c>
      <c r="B1371" s="9" t="inlineStr">
        <is>
          <t>Keiser University-Ft Lauderdale</t>
        </is>
      </c>
      <c r="C1371" s="9" t="inlineStr">
        <is>
          <t>Fort Lauderdale</t>
        </is>
      </c>
      <c r="D1371" s="9" t="inlineStr">
        <is>
          <t>FL</t>
        </is>
      </c>
      <c r="E1371" s="9" t="inlineStr">
        <is>
          <t>Private</t>
        </is>
      </c>
      <c r="F1371" s="11" t="n">
        <v>30498</v>
      </c>
      <c r="G1371" s="11" t="n">
        <v>39696</v>
      </c>
      <c r="H1371" s="9">
        <f>COUNTIF($G$5:$G$1531,"&gt;"&amp;G1371)+1</f>
        <v/>
      </c>
      <c r="I1371" s="9" t="inlineStr"/>
      <c r="J1371" s="11">
        <f>IF(E1371="Private",F1371,"")</f>
        <v/>
      </c>
      <c r="K1371" s="11">
        <f>IF(E1371="Private",G1371,"")</f>
        <v/>
      </c>
    </row>
    <row r="1372">
      <c r="A1372" s="9" t="n">
        <v>136233</v>
      </c>
      <c r="B1372" s="9" t="inlineStr">
        <is>
          <t>Northwest Florida State College</t>
        </is>
      </c>
      <c r="C1372" s="9" t="inlineStr">
        <is>
          <t>Niceville</t>
        </is>
      </c>
      <c r="D1372" s="9" t="inlineStr">
        <is>
          <t>FL</t>
        </is>
      </c>
      <c r="E1372" s="9" t="inlineStr">
        <is>
          <t>Public</t>
        </is>
      </c>
      <c r="F1372" s="11" t="n">
        <v>4571</v>
      </c>
      <c r="G1372" s="11" t="n">
        <v>39664</v>
      </c>
      <c r="H1372" s="9">
        <f>COUNTIF($G$5:$G$1531,"&gt;"&amp;G1372)+1</f>
        <v/>
      </c>
      <c r="I1372" s="9" t="inlineStr"/>
      <c r="J1372" s="11">
        <f>IF(E1372="Private",F1372,"")</f>
        <v/>
      </c>
      <c r="K1372" s="11">
        <f>IF(E1372="Private",G1372,"")</f>
        <v/>
      </c>
    </row>
    <row r="1373">
      <c r="A1373" s="9" t="n">
        <v>205443</v>
      </c>
      <c r="B1373" s="9" t="inlineStr">
        <is>
          <t>Shawnee State University</t>
        </is>
      </c>
      <c r="C1373" s="9" t="inlineStr">
        <is>
          <t>Portsmouth</t>
        </is>
      </c>
      <c r="D1373" s="9" t="inlineStr">
        <is>
          <t>OH</t>
        </is>
      </c>
      <c r="E1373" s="9" t="inlineStr">
        <is>
          <t>Public</t>
        </is>
      </c>
      <c r="F1373" s="11" t="n">
        <v>14381</v>
      </c>
      <c r="G1373" s="11" t="n">
        <v>39596</v>
      </c>
      <c r="H1373" s="9">
        <f>COUNTIF($G$5:$G$1531,"&gt;"&amp;G1373)+1</f>
        <v/>
      </c>
      <c r="I1373" s="9" t="inlineStr"/>
      <c r="J1373" s="11">
        <f>IF(E1373="Private",F1373,"")</f>
        <v/>
      </c>
      <c r="K1373" s="11">
        <f>IF(E1373="Private",G1373,"")</f>
        <v/>
      </c>
    </row>
    <row r="1374">
      <c r="A1374" s="9" t="n">
        <v>106810</v>
      </c>
      <c r="B1374" s="9" t="inlineStr">
        <is>
          <t>Crowley's Ridge College</t>
        </is>
      </c>
      <c r="C1374" s="9" t="inlineStr">
        <is>
          <t>Paragould</t>
        </is>
      </c>
      <c r="D1374" s="9" t="inlineStr">
        <is>
          <t>AR</t>
        </is>
      </c>
      <c r="E1374" s="9" t="inlineStr">
        <is>
          <t>Private</t>
        </is>
      </c>
      <c r="F1374" s="11" t="n">
        <v>16315</v>
      </c>
      <c r="G1374" s="11" t="n">
        <v>39533</v>
      </c>
      <c r="H1374" s="9">
        <f>COUNTIF($G$5:$G$1531,"&gt;"&amp;G1374)+1</f>
        <v/>
      </c>
      <c r="I1374" s="9" t="inlineStr"/>
      <c r="J1374" s="11">
        <f>IF(E1374="Private",F1374,"")</f>
        <v/>
      </c>
      <c r="K1374" s="11">
        <f>IF(E1374="Private",G1374,"")</f>
        <v/>
      </c>
    </row>
    <row r="1375">
      <c r="A1375" s="9" t="n">
        <v>177940</v>
      </c>
      <c r="B1375" s="9" t="inlineStr">
        <is>
          <t>Lincoln University (Jefferson City, MO)</t>
        </is>
      </c>
      <c r="C1375" s="9" t="inlineStr">
        <is>
          <t>Jefferson City</t>
        </is>
      </c>
      <c r="D1375" s="9" t="inlineStr">
        <is>
          <t>MO</t>
        </is>
      </c>
      <c r="E1375" s="9" t="inlineStr">
        <is>
          <t>Public</t>
        </is>
      </c>
      <c r="F1375" s="11" t="n">
        <v>19092</v>
      </c>
      <c r="G1375" s="11" t="n">
        <v>39463</v>
      </c>
      <c r="H1375" s="9">
        <f>COUNTIF($G$5:$G$1531,"&gt;"&amp;G1375)+1</f>
        <v/>
      </c>
      <c r="I1375" s="9" t="inlineStr"/>
      <c r="J1375" s="11">
        <f>IF(E1375="Private",F1375,"")</f>
        <v/>
      </c>
      <c r="K1375" s="11">
        <f>IF(E1375="Private",G1375,"")</f>
        <v/>
      </c>
    </row>
    <row r="1376">
      <c r="A1376" s="9" t="n">
        <v>139250</v>
      </c>
      <c r="B1376" s="9" t="inlineStr">
        <is>
          <t>College of Coastal Georgia</t>
        </is>
      </c>
      <c r="C1376" s="9" t="inlineStr">
        <is>
          <t>Brunswick</t>
        </is>
      </c>
      <c r="D1376" s="9" t="inlineStr">
        <is>
          <t>GA</t>
        </is>
      </c>
      <c r="E1376" s="9" t="inlineStr">
        <is>
          <t>Public</t>
        </is>
      </c>
      <c r="F1376" s="11" t="n">
        <v>15261</v>
      </c>
      <c r="G1376" s="11" t="n">
        <v>39318</v>
      </c>
      <c r="H1376" s="9">
        <f>COUNTIF($G$5:$G$1531,"&gt;"&amp;G1376)+1</f>
        <v/>
      </c>
      <c r="I1376" s="9" t="inlineStr"/>
      <c r="J1376" s="11">
        <f>IF(E1376="Private",F1376,"")</f>
        <v/>
      </c>
      <c r="K1376" s="11">
        <f>IF(E1376="Private",G1376,"")</f>
        <v/>
      </c>
    </row>
    <row r="1377">
      <c r="A1377" s="9" t="n">
        <v>237385</v>
      </c>
      <c r="B1377" s="9" t="inlineStr">
        <is>
          <t>Glenville State University</t>
        </is>
      </c>
      <c r="C1377" s="9" t="inlineStr">
        <is>
          <t>Glenville</t>
        </is>
      </c>
      <c r="D1377" s="9" t="inlineStr">
        <is>
          <t>WV</t>
        </is>
      </c>
      <c r="E1377" s="9" t="inlineStr">
        <is>
          <t>Public</t>
        </is>
      </c>
      <c r="F1377" s="11" t="n">
        <v>14006</v>
      </c>
      <c r="G1377" s="11" t="n">
        <v>39315</v>
      </c>
      <c r="H1377" s="9">
        <f>COUNTIF($G$5:$G$1531,"&gt;"&amp;G1377)+1</f>
        <v/>
      </c>
      <c r="I1377" s="9" t="inlineStr"/>
      <c r="J1377" s="11">
        <f>IF(E1377="Private",F1377,"")</f>
        <v/>
      </c>
      <c r="K1377" s="11">
        <f>IF(E1377="Private",G1377,"")</f>
        <v/>
      </c>
    </row>
    <row r="1378">
      <c r="A1378" s="9" t="n">
        <v>182306</v>
      </c>
      <c r="B1378" s="9" t="inlineStr">
        <is>
          <t>Great Basin College</t>
        </is>
      </c>
      <c r="C1378" s="9" t="inlineStr">
        <is>
          <t>Elko</t>
        </is>
      </c>
      <c r="D1378" s="9" t="inlineStr">
        <is>
          <t>NV</t>
        </is>
      </c>
      <c r="E1378" s="9" t="inlineStr">
        <is>
          <t>Public</t>
        </is>
      </c>
      <c r="F1378" s="11" t="n">
        <v>8471</v>
      </c>
      <c r="G1378" s="11" t="n">
        <v>39289</v>
      </c>
      <c r="H1378" s="9">
        <f>COUNTIF($G$5:$G$1531,"&gt;"&amp;G1378)+1</f>
        <v/>
      </c>
      <c r="I1378" s="9" t="inlineStr"/>
      <c r="J1378" s="11">
        <f>IF(E1378="Private",F1378,"")</f>
        <v/>
      </c>
      <c r="K1378" s="11">
        <f>IF(E1378="Private",G1378,"")</f>
        <v/>
      </c>
    </row>
    <row r="1379">
      <c r="A1379" s="9" t="n">
        <v>115773</v>
      </c>
      <c r="B1379" s="9" t="inlineStr">
        <is>
          <t>Humphreys University</t>
        </is>
      </c>
      <c r="C1379" s="9" t="inlineStr">
        <is>
          <t>Stockton</t>
        </is>
      </c>
      <c r="D1379" s="9" t="inlineStr">
        <is>
          <t>CA</t>
        </is>
      </c>
      <c r="E1379" s="9" t="inlineStr">
        <is>
          <t>Private</t>
        </is>
      </c>
      <c r="F1379" s="11" t="n">
        <v>5524</v>
      </c>
      <c r="G1379" s="11" t="n">
        <v>39248</v>
      </c>
      <c r="H1379" s="9">
        <f>COUNTIF($G$5:$G$1531,"&gt;"&amp;G1379)+1</f>
        <v/>
      </c>
      <c r="I1379" s="9" t="inlineStr"/>
      <c r="J1379" s="11">
        <f>IF(E1379="Private",F1379,"")</f>
        <v/>
      </c>
      <c r="K1379" s="11">
        <f>IF(E1379="Private",G1379,"")</f>
        <v/>
      </c>
    </row>
    <row r="1380">
      <c r="A1380" s="9" t="n">
        <v>158802</v>
      </c>
      <c r="B1380" s="9" t="inlineStr">
        <is>
          <t>Dillard University</t>
        </is>
      </c>
      <c r="C1380" s="9" t="inlineStr">
        <is>
          <t>New Orleans</t>
        </is>
      </c>
      <c r="D1380" s="9" t="inlineStr">
        <is>
          <t>LA</t>
        </is>
      </c>
      <c r="E1380" s="9" t="inlineStr">
        <is>
          <t>Private</t>
        </is>
      </c>
      <c r="F1380" s="11" t="n">
        <v>22094</v>
      </c>
      <c r="G1380" s="11" t="n">
        <v>39196</v>
      </c>
      <c r="H1380" s="9">
        <f>COUNTIF($G$5:$G$1531,"&gt;"&amp;G1380)+1</f>
        <v/>
      </c>
      <c r="I1380" s="9" t="inlineStr"/>
      <c r="J1380" s="11">
        <f>IF(E1380="Private",F1380,"")</f>
        <v/>
      </c>
      <c r="K1380" s="11">
        <f>IF(E1380="Private",G1380,"")</f>
        <v/>
      </c>
    </row>
    <row r="1381">
      <c r="A1381" s="9" t="n">
        <v>129774</v>
      </c>
      <c r="B1381" s="9" t="inlineStr">
        <is>
          <t>Mitchell College</t>
        </is>
      </c>
      <c r="C1381" s="9" t="inlineStr">
        <is>
          <t>New London</t>
        </is>
      </c>
      <c r="D1381" s="9" t="inlineStr">
        <is>
          <t>CT</t>
        </is>
      </c>
      <c r="E1381" s="9" t="inlineStr">
        <is>
          <t>Private</t>
        </is>
      </c>
      <c r="F1381" s="11" t="n">
        <v>30260</v>
      </c>
      <c r="G1381" s="11" t="n">
        <v>39115</v>
      </c>
      <c r="H1381" s="9">
        <f>COUNTIF($G$5:$G$1531,"&gt;"&amp;G1381)+1</f>
        <v/>
      </c>
      <c r="I1381" s="9" t="inlineStr"/>
      <c r="J1381" s="11">
        <f>IF(E1381="Private",F1381,"")</f>
        <v/>
      </c>
      <c r="K1381" s="11">
        <f>IF(E1381="Private",G1381,"")</f>
        <v/>
      </c>
    </row>
    <row r="1382">
      <c r="A1382" s="9" t="n">
        <v>188304</v>
      </c>
      <c r="B1382" s="9" t="inlineStr">
        <is>
          <t>Western New Mexico University</t>
        </is>
      </c>
      <c r="C1382" s="9" t="inlineStr">
        <is>
          <t>Silver City</t>
        </is>
      </c>
      <c r="D1382" s="9" t="inlineStr">
        <is>
          <t>NM</t>
        </is>
      </c>
      <c r="E1382" s="9" t="inlineStr">
        <is>
          <t>Public</t>
        </is>
      </c>
      <c r="F1382" s="11" t="n">
        <v>8522</v>
      </c>
      <c r="G1382" s="11" t="n">
        <v>39095</v>
      </c>
      <c r="H1382" s="9">
        <f>COUNTIF($G$5:$G$1531,"&gt;"&amp;G1382)+1</f>
        <v/>
      </c>
      <c r="I1382" s="9" t="inlineStr"/>
      <c r="J1382" s="11">
        <f>IF(E1382="Private",F1382,"")</f>
        <v/>
      </c>
      <c r="K1382" s="11">
        <f>IF(E1382="Private",G1382,"")</f>
        <v/>
      </c>
    </row>
    <row r="1383">
      <c r="A1383" s="9" t="n">
        <v>188030</v>
      </c>
      <c r="B1383" s="9" t="inlineStr">
        <is>
          <t>New Mexico State University-Main Campus</t>
        </is>
      </c>
      <c r="C1383" s="9" t="inlineStr">
        <is>
          <t>Las Cruces</t>
        </is>
      </c>
      <c r="D1383" s="9" t="inlineStr">
        <is>
          <t>NM</t>
        </is>
      </c>
      <c r="E1383" s="9" t="inlineStr">
        <is>
          <t>Public</t>
        </is>
      </c>
      <c r="F1383" s="11" t="n">
        <v>8889</v>
      </c>
      <c r="G1383" s="11" t="n">
        <v>39067</v>
      </c>
      <c r="H1383" s="9">
        <f>COUNTIF($G$5:$G$1531,"&gt;"&amp;G1383)+1</f>
        <v/>
      </c>
      <c r="I1383" s="9" t="inlineStr"/>
      <c r="J1383" s="11">
        <f>IF(E1383="Private",F1383,"")</f>
        <v/>
      </c>
      <c r="K1383" s="11">
        <f>IF(E1383="Private",G1383,"")</f>
        <v/>
      </c>
    </row>
    <row r="1384">
      <c r="A1384" s="9" t="n">
        <v>175856</v>
      </c>
      <c r="B1384" s="9" t="inlineStr">
        <is>
          <t>Jackson State University</t>
        </is>
      </c>
      <c r="C1384" s="9" t="inlineStr">
        <is>
          <t>Jackson</t>
        </is>
      </c>
      <c r="D1384" s="9" t="inlineStr">
        <is>
          <t>MS</t>
        </is>
      </c>
      <c r="E1384" s="9" t="inlineStr">
        <is>
          <t>Public</t>
        </is>
      </c>
      <c r="F1384" s="11" t="n">
        <v>23836</v>
      </c>
      <c r="G1384" s="11" t="n">
        <v>39060</v>
      </c>
      <c r="H1384" s="9">
        <f>COUNTIF($G$5:$G$1531,"&gt;"&amp;G1384)+1</f>
        <v/>
      </c>
      <c r="I1384" s="9" t="inlineStr"/>
      <c r="J1384" s="11">
        <f>IF(E1384="Private",F1384,"")</f>
        <v/>
      </c>
      <c r="K1384" s="11">
        <f>IF(E1384="Private",G1384,"")</f>
        <v/>
      </c>
    </row>
    <row r="1385">
      <c r="A1385" s="9" t="n">
        <v>216542</v>
      </c>
      <c r="B1385" s="9" t="inlineStr">
        <is>
          <t>University of Valley Forge</t>
        </is>
      </c>
      <c r="C1385" s="9" t="inlineStr">
        <is>
          <t>Phoenixville</t>
        </is>
      </c>
      <c r="D1385" s="9" t="inlineStr">
        <is>
          <t>PA</t>
        </is>
      </c>
      <c r="E1385" s="9" t="inlineStr">
        <is>
          <t>Private</t>
        </is>
      </c>
      <c r="F1385" s="11" t="n">
        <v>32265</v>
      </c>
      <c r="G1385" s="11" t="n">
        <v>39016</v>
      </c>
      <c r="H1385" s="9">
        <f>COUNTIF($G$5:$G$1531,"&gt;"&amp;G1385)+1</f>
        <v/>
      </c>
      <c r="I1385" s="9" t="inlineStr"/>
      <c r="J1385" s="11">
        <f>IF(E1385="Private",F1385,"")</f>
        <v/>
      </c>
      <c r="K1385" s="11">
        <f>IF(E1385="Private",G1385,"")</f>
        <v/>
      </c>
    </row>
    <row r="1386">
      <c r="A1386" s="9" t="n">
        <v>217925</v>
      </c>
      <c r="B1386" s="9" t="inlineStr">
        <is>
          <t>Columbia International University</t>
        </is>
      </c>
      <c r="C1386" s="9" t="inlineStr">
        <is>
          <t>Columbia</t>
        </is>
      </c>
      <c r="D1386" s="9" t="inlineStr">
        <is>
          <t>SC</t>
        </is>
      </c>
      <c r="E1386" s="9" t="inlineStr">
        <is>
          <t>Private</t>
        </is>
      </c>
      <c r="F1386" s="11" t="n">
        <v>26036</v>
      </c>
      <c r="G1386" s="11" t="n">
        <v>38951</v>
      </c>
      <c r="H1386" s="9">
        <f>COUNTIF($G$5:$G$1531,"&gt;"&amp;G1386)+1</f>
        <v/>
      </c>
      <c r="I1386" s="9" t="inlineStr"/>
      <c r="J1386" s="11">
        <f>IF(E1386="Private",F1386,"")</f>
        <v/>
      </c>
      <c r="K1386" s="11">
        <f>IF(E1386="Private",G1386,"")</f>
        <v/>
      </c>
    </row>
    <row r="1387">
      <c r="A1387" s="9" t="n">
        <v>229063</v>
      </c>
      <c r="B1387" s="9" t="inlineStr">
        <is>
          <t>Texas Southern University</t>
        </is>
      </c>
      <c r="C1387" s="9" t="inlineStr">
        <is>
          <t>Houston</t>
        </is>
      </c>
      <c r="D1387" s="9" t="inlineStr">
        <is>
          <t>TX</t>
        </is>
      </c>
      <c r="E1387" s="9" t="inlineStr">
        <is>
          <t>Public</t>
        </is>
      </c>
      <c r="F1387" s="11" t="n">
        <v>16590</v>
      </c>
      <c r="G1387" s="11" t="n">
        <v>38924</v>
      </c>
      <c r="H1387" s="9">
        <f>COUNTIF($G$5:$G$1531,"&gt;"&amp;G1387)+1</f>
        <v/>
      </c>
      <c r="I1387" s="9" t="inlineStr"/>
      <c r="J1387" s="11">
        <f>IF(E1387="Private",F1387,"")</f>
        <v/>
      </c>
      <c r="K1387" s="11">
        <f>IF(E1387="Private",G1387,"")</f>
        <v/>
      </c>
    </row>
    <row r="1388">
      <c r="A1388" s="9" t="n">
        <v>220701</v>
      </c>
      <c r="B1388" s="9" t="inlineStr">
        <is>
          <t>The University of Tennessee Southern</t>
        </is>
      </c>
      <c r="C1388" s="9" t="inlineStr">
        <is>
          <t>Pulaski</t>
        </is>
      </c>
      <c r="D1388" s="9" t="inlineStr">
        <is>
          <t>TN</t>
        </is>
      </c>
      <c r="E1388" s="9" t="inlineStr">
        <is>
          <t>Public</t>
        </is>
      </c>
      <c r="F1388" s="11" t="n">
        <v>12798</v>
      </c>
      <c r="G1388" s="11" t="n">
        <v>38924</v>
      </c>
      <c r="H1388" s="9">
        <f>COUNTIF($G$5:$G$1531,"&gt;"&amp;G1388)+1</f>
        <v/>
      </c>
      <c r="I1388" s="9" t="inlineStr"/>
      <c r="J1388" s="11">
        <f>IF(E1388="Private",F1388,"")</f>
        <v/>
      </c>
      <c r="K1388" s="11">
        <f>IF(E1388="Private",G1388,"")</f>
        <v/>
      </c>
    </row>
    <row r="1389">
      <c r="A1389" s="9" t="n">
        <v>197142</v>
      </c>
      <c r="B1389" s="9" t="inlineStr">
        <is>
          <t>Villa Maria College</t>
        </is>
      </c>
      <c r="C1389" s="9" t="inlineStr">
        <is>
          <t>Buffalo</t>
        </is>
      </c>
      <c r="D1389" s="9" t="inlineStr">
        <is>
          <t>NY</t>
        </is>
      </c>
      <c r="E1389" s="9" t="inlineStr">
        <is>
          <t>Private</t>
        </is>
      </c>
      <c r="F1389" s="11" t="n">
        <v>13494</v>
      </c>
      <c r="G1389" s="11" t="n">
        <v>38857</v>
      </c>
      <c r="H1389" s="9">
        <f>COUNTIF($G$5:$G$1531,"&gt;"&amp;G1389)+1</f>
        <v/>
      </c>
      <c r="I1389" s="9" t="inlineStr"/>
      <c r="J1389" s="11">
        <f>IF(E1389="Private",F1389,"")</f>
        <v/>
      </c>
      <c r="K1389" s="11">
        <f>IF(E1389="Private",G1389,"")</f>
        <v/>
      </c>
    </row>
    <row r="1390">
      <c r="A1390" s="9" t="n">
        <v>138868</v>
      </c>
      <c r="B1390" s="9" t="inlineStr">
        <is>
          <t>Point University</t>
        </is>
      </c>
      <c r="C1390" s="9" t="inlineStr">
        <is>
          <t>West Point</t>
        </is>
      </c>
      <c r="D1390" s="9" t="inlineStr">
        <is>
          <t>GA</t>
        </is>
      </c>
      <c r="E1390" s="9" t="inlineStr">
        <is>
          <t>Private</t>
        </is>
      </c>
      <c r="F1390" s="11" t="n">
        <v>25335</v>
      </c>
      <c r="G1390" s="11" t="n">
        <v>38740</v>
      </c>
      <c r="H1390" s="9">
        <f>COUNTIF($G$5:$G$1531,"&gt;"&amp;G1390)+1</f>
        <v/>
      </c>
      <c r="I1390" s="9" t="inlineStr"/>
      <c r="J1390" s="11">
        <f>IF(E1390="Private",F1390,"")</f>
        <v/>
      </c>
      <c r="K1390" s="11">
        <f>IF(E1390="Private",G1390,"")</f>
        <v/>
      </c>
    </row>
    <row r="1391">
      <c r="A1391" s="9" t="n">
        <v>243665</v>
      </c>
      <c r="B1391" s="9" t="inlineStr">
        <is>
          <t>University of the Virgin Islands</t>
        </is>
      </c>
      <c r="C1391" s="9" t="inlineStr">
        <is>
          <t>Charlotte Amalie</t>
        </is>
      </c>
      <c r="D1391" s="9" t="inlineStr">
        <is>
          <t>VI</t>
        </is>
      </c>
      <c r="E1391" s="9" t="inlineStr">
        <is>
          <t>Public</t>
        </is>
      </c>
      <c r="F1391" s="11" t="n">
        <v>7469</v>
      </c>
      <c r="G1391" s="11" t="n">
        <v>38681</v>
      </c>
      <c r="H1391" s="9">
        <f>COUNTIF($G$5:$G$1531,"&gt;"&amp;G1391)+1</f>
        <v/>
      </c>
      <c r="I1391" s="9" t="inlineStr"/>
      <c r="J1391" s="11">
        <f>IF(E1391="Private",F1391,"")</f>
        <v/>
      </c>
      <c r="K1391" s="11">
        <f>IF(E1391="Private",G1391,"")</f>
        <v/>
      </c>
    </row>
    <row r="1392">
      <c r="A1392" s="9" t="n">
        <v>187648</v>
      </c>
      <c r="B1392" s="9" t="inlineStr">
        <is>
          <t>Eastern New Mexico University-Main Campus</t>
        </is>
      </c>
      <c r="C1392" s="9" t="inlineStr">
        <is>
          <t>Portales</t>
        </is>
      </c>
      <c r="D1392" s="9" t="inlineStr">
        <is>
          <t>NM</t>
        </is>
      </c>
      <c r="E1392" s="9" t="inlineStr">
        <is>
          <t>Public</t>
        </is>
      </c>
      <c r="F1392" s="11" t="n">
        <v>4904</v>
      </c>
      <c r="G1392" s="11" t="n">
        <v>38550</v>
      </c>
      <c r="H1392" s="9">
        <f>COUNTIF($G$5:$G$1531,"&gt;"&amp;G1392)+1</f>
        <v/>
      </c>
      <c r="I1392" s="9" t="inlineStr"/>
      <c r="J1392" s="11">
        <f>IF(E1392="Private",F1392,"")</f>
        <v/>
      </c>
      <c r="K1392" s="11">
        <f>IF(E1392="Private",G1392,"")</f>
        <v/>
      </c>
    </row>
    <row r="1393">
      <c r="A1393" s="9" t="n">
        <v>132602</v>
      </c>
      <c r="B1393" s="9" t="inlineStr">
        <is>
          <t>Bethune-Cookman University</t>
        </is>
      </c>
      <c r="C1393" s="9" t="inlineStr">
        <is>
          <t>Daytona Beach</t>
        </is>
      </c>
      <c r="D1393" s="9" t="inlineStr">
        <is>
          <t>FL</t>
        </is>
      </c>
      <c r="E1393" s="9" t="inlineStr">
        <is>
          <t>Private</t>
        </is>
      </c>
      <c r="F1393" s="11" t="n">
        <v>12030</v>
      </c>
      <c r="G1393" s="11" t="n">
        <v>38518</v>
      </c>
      <c r="H1393" s="9">
        <f>COUNTIF($G$5:$G$1531,"&gt;"&amp;G1393)+1</f>
        <v/>
      </c>
      <c r="I1393" s="9" t="inlineStr"/>
      <c r="J1393" s="11">
        <f>IF(E1393="Private",F1393,"")</f>
        <v/>
      </c>
      <c r="K1393" s="11">
        <f>IF(E1393="Private",G1393,"")</f>
        <v/>
      </c>
    </row>
    <row r="1394">
      <c r="A1394" s="9" t="n">
        <v>107877</v>
      </c>
      <c r="B1394" s="9" t="inlineStr">
        <is>
          <t>Williams Baptist University</t>
        </is>
      </c>
      <c r="C1394" s="9" t="inlineStr">
        <is>
          <t>Walnut Ridge</t>
        </is>
      </c>
      <c r="D1394" s="9" t="inlineStr">
        <is>
          <t>AR</t>
        </is>
      </c>
      <c r="E1394" s="9" t="inlineStr">
        <is>
          <t>Private</t>
        </is>
      </c>
      <c r="F1394" s="11" t="n">
        <v>15745</v>
      </c>
      <c r="G1394" s="11" t="n">
        <v>38484</v>
      </c>
      <c r="H1394" s="9">
        <f>COUNTIF($G$5:$G$1531,"&gt;"&amp;G1394)+1</f>
        <v/>
      </c>
      <c r="I1394" s="9" t="inlineStr"/>
      <c r="J1394" s="11">
        <f>IF(E1394="Private",F1394,"")</f>
        <v/>
      </c>
      <c r="K1394" s="11">
        <f>IF(E1394="Private",G1394,"")</f>
        <v/>
      </c>
    </row>
    <row r="1395">
      <c r="A1395" s="9" t="n">
        <v>107600</v>
      </c>
      <c r="B1395" s="9" t="inlineStr">
        <is>
          <t>Philander Smith University</t>
        </is>
      </c>
      <c r="C1395" s="9" t="inlineStr">
        <is>
          <t>Little Rock</t>
        </is>
      </c>
      <c r="D1395" s="9" t="inlineStr">
        <is>
          <t>AR</t>
        </is>
      </c>
      <c r="E1395" s="9" t="inlineStr">
        <is>
          <t>Private</t>
        </is>
      </c>
      <c r="F1395" s="11" t="n">
        <v>14224</v>
      </c>
      <c r="G1395" s="11" t="n">
        <v>38427</v>
      </c>
      <c r="H1395" s="9">
        <f>COUNTIF($G$5:$G$1531,"&gt;"&amp;G1395)+1</f>
        <v/>
      </c>
      <c r="I1395" s="9" t="inlineStr"/>
      <c r="J1395" s="11">
        <f>IF(E1395="Private",F1395,"")</f>
        <v/>
      </c>
      <c r="K1395" s="11">
        <f>IF(E1395="Private",G1395,"")</f>
        <v/>
      </c>
    </row>
    <row r="1396">
      <c r="A1396" s="9" t="n">
        <v>198303</v>
      </c>
      <c r="B1396" s="9" t="inlineStr">
        <is>
          <t>Chowan University</t>
        </is>
      </c>
      <c r="C1396" s="9" t="inlineStr">
        <is>
          <t>Murfreesboro</t>
        </is>
      </c>
      <c r="D1396" s="9" t="inlineStr">
        <is>
          <t>NC</t>
        </is>
      </c>
      <c r="E1396" s="9" t="inlineStr">
        <is>
          <t>Private</t>
        </is>
      </c>
      <c r="F1396" s="11" t="n">
        <v>14086</v>
      </c>
      <c r="G1396" s="11" t="n">
        <v>38412</v>
      </c>
      <c r="H1396" s="9">
        <f>COUNTIF($G$5:$G$1531,"&gt;"&amp;G1396)+1</f>
        <v/>
      </c>
      <c r="I1396" s="9" t="inlineStr"/>
      <c r="J1396" s="11">
        <f>IF(E1396="Private",F1396,"")</f>
        <v/>
      </c>
      <c r="K1396" s="11">
        <f>IF(E1396="Private",G1396,"")</f>
        <v/>
      </c>
    </row>
    <row r="1397">
      <c r="A1397" s="9" t="n">
        <v>199458</v>
      </c>
      <c r="B1397" s="9" t="inlineStr">
        <is>
          <t>Mid-Atlantic Christian University</t>
        </is>
      </c>
      <c r="C1397" s="9" t="inlineStr">
        <is>
          <t>Elizabeth City</t>
        </is>
      </c>
      <c r="D1397" s="9" t="inlineStr">
        <is>
          <t>NC</t>
        </is>
      </c>
      <c r="E1397" s="9" t="inlineStr">
        <is>
          <t>Private</t>
        </is>
      </c>
      <c r="F1397" s="11" t="n">
        <v>18328</v>
      </c>
      <c r="G1397" s="11" t="n">
        <v>38342</v>
      </c>
      <c r="H1397" s="9">
        <f>COUNTIF($G$5:$G$1531,"&gt;"&amp;G1397)+1</f>
        <v/>
      </c>
      <c r="I1397" s="9" t="inlineStr"/>
      <c r="J1397" s="11">
        <f>IF(E1397="Private",F1397,"")</f>
        <v/>
      </c>
      <c r="K1397" s="11">
        <f>IF(E1397="Private",G1397,"")</f>
        <v/>
      </c>
    </row>
    <row r="1398">
      <c r="A1398" s="9" t="n">
        <v>134608</v>
      </c>
      <c r="B1398" s="9" t="inlineStr">
        <is>
          <t>Indian River State College</t>
        </is>
      </c>
      <c r="C1398" s="9" t="inlineStr">
        <is>
          <t>Fort Pierce</t>
        </is>
      </c>
      <c r="D1398" s="9" t="inlineStr">
        <is>
          <t>FL</t>
        </is>
      </c>
      <c r="E1398" s="9" t="inlineStr">
        <is>
          <t>Public</t>
        </is>
      </c>
      <c r="F1398" s="11" t="n">
        <v>3815</v>
      </c>
      <c r="G1398" s="11" t="n">
        <v>38315</v>
      </c>
      <c r="H1398" s="9">
        <f>COUNTIF($G$5:$G$1531,"&gt;"&amp;G1398)+1</f>
        <v/>
      </c>
      <c r="I1398" s="9" t="inlineStr"/>
      <c r="J1398" s="11">
        <f>IF(E1398="Private",F1398,"")</f>
        <v/>
      </c>
      <c r="K1398" s="11">
        <f>IF(E1398="Private",G1398,"")</f>
        <v/>
      </c>
    </row>
    <row r="1399">
      <c r="A1399" s="9" t="n">
        <v>206491</v>
      </c>
      <c r="B1399" s="9" t="inlineStr">
        <is>
          <t>Wilberforce University</t>
        </is>
      </c>
      <c r="C1399" s="9" t="inlineStr">
        <is>
          <t>Wilberforce</t>
        </is>
      </c>
      <c r="D1399" s="9" t="inlineStr">
        <is>
          <t>OH</t>
        </is>
      </c>
      <c r="E1399" s="9" t="inlineStr">
        <is>
          <t>Private</t>
        </is>
      </c>
      <c r="F1399" s="11" t="n">
        <v>5567</v>
      </c>
      <c r="G1399" s="11" t="n">
        <v>38298</v>
      </c>
      <c r="H1399" s="9">
        <f>COUNTIF($G$5:$G$1531,"&gt;"&amp;G1399)+1</f>
        <v/>
      </c>
      <c r="I1399" s="9" t="inlineStr"/>
      <c r="J1399" s="11">
        <f>IF(E1399="Private",F1399,"")</f>
        <v/>
      </c>
      <c r="K1399" s="11">
        <f>IF(E1399="Private",G1399,"")</f>
        <v/>
      </c>
    </row>
    <row r="1400">
      <c r="A1400" s="9" t="n">
        <v>230816</v>
      </c>
      <c r="B1400" s="9" t="inlineStr">
        <is>
          <t>Bennington College</t>
        </is>
      </c>
      <c r="C1400" s="9" t="inlineStr">
        <is>
          <t>Bennington</t>
        </is>
      </c>
      <c r="D1400" s="9" t="inlineStr">
        <is>
          <t>VT</t>
        </is>
      </c>
      <c r="E1400" s="9" t="inlineStr">
        <is>
          <t>Private</t>
        </is>
      </c>
      <c r="F1400" s="11" t="n">
        <v>30947</v>
      </c>
      <c r="G1400" s="11" t="n">
        <v>38289</v>
      </c>
      <c r="H1400" s="9">
        <f>COUNTIF($G$5:$G$1531,"&gt;"&amp;G1400)+1</f>
        <v/>
      </c>
      <c r="I1400" s="9" t="inlineStr"/>
      <c r="J1400" s="11">
        <f>IF(E1400="Private",F1400,"")</f>
        <v/>
      </c>
      <c r="K1400" s="11">
        <f>IF(E1400="Private",G1400,"")</f>
        <v/>
      </c>
    </row>
    <row r="1401">
      <c r="A1401" s="9" t="n">
        <v>234164</v>
      </c>
      <c r="B1401" s="9" t="inlineStr">
        <is>
          <t>Virginia Union University</t>
        </is>
      </c>
      <c r="C1401" s="9" t="inlineStr">
        <is>
          <t>Richmond</t>
        </is>
      </c>
      <c r="D1401" s="9" t="inlineStr">
        <is>
          <t>VA</t>
        </is>
      </c>
      <c r="E1401" s="9" t="inlineStr">
        <is>
          <t>Private</t>
        </is>
      </c>
      <c r="F1401" s="11" t="n">
        <v>13235</v>
      </c>
      <c r="G1401" s="11" t="n">
        <v>38275</v>
      </c>
      <c r="H1401" s="9">
        <f>COUNTIF($G$5:$G$1531,"&gt;"&amp;G1401)+1</f>
        <v/>
      </c>
      <c r="I1401" s="9" t="inlineStr"/>
      <c r="J1401" s="11">
        <f>IF(E1401="Private",F1401,"")</f>
        <v/>
      </c>
      <c r="K1401" s="11">
        <f>IF(E1401="Private",G1401,"")</f>
        <v/>
      </c>
    </row>
    <row r="1402">
      <c r="A1402" s="9" t="n">
        <v>218733</v>
      </c>
      <c r="B1402" s="9" t="inlineStr">
        <is>
          <t>South Carolina State University</t>
        </is>
      </c>
      <c r="C1402" s="9" t="inlineStr">
        <is>
          <t>Orangeburg</t>
        </is>
      </c>
      <c r="D1402" s="9" t="inlineStr">
        <is>
          <t>SC</t>
        </is>
      </c>
      <c r="E1402" s="9" t="inlineStr">
        <is>
          <t>Public</t>
        </is>
      </c>
      <c r="F1402" s="11" t="n">
        <v>18097</v>
      </c>
      <c r="G1402" s="11" t="n">
        <v>38262</v>
      </c>
      <c r="H1402" s="9">
        <f>COUNTIF($G$5:$G$1531,"&gt;"&amp;G1402)+1</f>
        <v/>
      </c>
      <c r="I1402" s="9" t="inlineStr"/>
      <c r="J1402" s="11">
        <f>IF(E1402="Private",F1402,"")</f>
        <v/>
      </c>
      <c r="K1402" s="11">
        <f>IF(E1402="Private",G1402,"")</f>
        <v/>
      </c>
    </row>
    <row r="1403">
      <c r="A1403" s="9" t="n">
        <v>237215</v>
      </c>
      <c r="B1403" s="9" t="inlineStr">
        <is>
          <t>Bluefield State University</t>
        </is>
      </c>
      <c r="C1403" s="9" t="inlineStr">
        <is>
          <t>Bluefield</t>
        </is>
      </c>
      <c r="D1403" s="9" t="inlineStr">
        <is>
          <t>WV</t>
        </is>
      </c>
      <c r="E1403" s="9" t="inlineStr">
        <is>
          <t>Public</t>
        </is>
      </c>
      <c r="F1403" s="11" t="n">
        <v>13684</v>
      </c>
      <c r="G1403" s="11" t="n">
        <v>38217</v>
      </c>
      <c r="H1403" s="9">
        <f>COUNTIF($G$5:$G$1531,"&gt;"&amp;G1403)+1</f>
        <v/>
      </c>
      <c r="I1403" s="9" t="inlineStr"/>
      <c r="J1403" s="11">
        <f>IF(E1403="Private",F1403,"")</f>
        <v/>
      </c>
      <c r="K1403" s="11">
        <f>IF(E1403="Private",G1403,"")</f>
        <v/>
      </c>
    </row>
    <row r="1404">
      <c r="A1404" s="9" t="n">
        <v>139630</v>
      </c>
      <c r="B1404" s="9" t="inlineStr">
        <is>
          <t>Emmanuel University</t>
        </is>
      </c>
      <c r="C1404" s="9" t="inlineStr">
        <is>
          <t>Franklin Springs</t>
        </is>
      </c>
      <c r="D1404" s="9" t="inlineStr">
        <is>
          <t>GA</t>
        </is>
      </c>
      <c r="E1404" s="9" t="inlineStr">
        <is>
          <t>Private</t>
        </is>
      </c>
      <c r="F1404" s="11" t="n">
        <v>20925</v>
      </c>
      <c r="G1404" s="11" t="n">
        <v>38208</v>
      </c>
      <c r="H1404" s="9">
        <f>COUNTIF($G$5:$G$1531,"&gt;"&amp;G1404)+1</f>
        <v/>
      </c>
      <c r="I1404" s="9" t="inlineStr"/>
      <c r="J1404" s="11">
        <f>IF(E1404="Private",F1404,"")</f>
        <v/>
      </c>
      <c r="K1404" s="11">
        <f>IF(E1404="Private",G1404,"")</f>
        <v/>
      </c>
    </row>
    <row r="1405">
      <c r="A1405" s="9" t="n">
        <v>132851</v>
      </c>
      <c r="B1405" s="9" t="inlineStr">
        <is>
          <t>College of Central Florida</t>
        </is>
      </c>
      <c r="C1405" s="9" t="inlineStr">
        <is>
          <t>Ocala</t>
        </is>
      </c>
      <c r="D1405" s="9" t="inlineStr">
        <is>
          <t>FL</t>
        </is>
      </c>
      <c r="E1405" s="9" t="inlineStr">
        <is>
          <t>Public</t>
        </is>
      </c>
      <c r="F1405" s="11" t="n">
        <v>12088</v>
      </c>
      <c r="G1405" s="11" t="n">
        <v>38203</v>
      </c>
      <c r="H1405" s="9">
        <f>COUNTIF($G$5:$G$1531,"&gt;"&amp;G1405)+1</f>
        <v/>
      </c>
      <c r="I1405" s="9" t="inlineStr"/>
      <c r="J1405" s="11">
        <f>IF(E1405="Private",F1405,"")</f>
        <v/>
      </c>
      <c r="K1405" s="11">
        <f>IF(E1405="Private",G1405,"")</f>
        <v/>
      </c>
    </row>
    <row r="1406">
      <c r="A1406" s="9" t="n">
        <v>188058</v>
      </c>
      <c r="B1406" s="9" t="inlineStr">
        <is>
          <t>Northern New Mexico College</t>
        </is>
      </c>
      <c r="C1406" s="9" t="inlineStr">
        <is>
          <t>Espanola</t>
        </is>
      </c>
      <c r="D1406" s="9" t="inlineStr">
        <is>
          <t>NM</t>
        </is>
      </c>
      <c r="E1406" s="9" t="inlineStr">
        <is>
          <t>Public</t>
        </is>
      </c>
      <c r="F1406" s="11" t="n">
        <v>7276</v>
      </c>
      <c r="G1406" s="11" t="n">
        <v>38112</v>
      </c>
      <c r="H1406" s="9">
        <f>COUNTIF($G$5:$G$1531,"&gt;"&amp;G1406)+1</f>
        <v/>
      </c>
      <c r="I1406" s="9" t="inlineStr"/>
      <c r="J1406" s="11">
        <f>IF(E1406="Private",F1406,"")</f>
        <v/>
      </c>
      <c r="K1406" s="11">
        <f>IF(E1406="Private",G1406,"")</f>
        <v/>
      </c>
    </row>
    <row r="1407">
      <c r="A1407" s="9" t="n">
        <v>165574</v>
      </c>
      <c r="B1407" s="9" t="inlineStr">
        <is>
          <t>Dean College</t>
        </is>
      </c>
      <c r="C1407" s="9" t="inlineStr">
        <is>
          <t>Franklin</t>
        </is>
      </c>
      <c r="D1407" s="9" t="inlineStr">
        <is>
          <t>MA</t>
        </is>
      </c>
      <c r="E1407" s="9" t="inlineStr">
        <is>
          <t>Private</t>
        </is>
      </c>
      <c r="F1407" s="11" t="n">
        <v>30684</v>
      </c>
      <c r="G1407" s="11" t="n">
        <v>38109</v>
      </c>
      <c r="H1407" s="9">
        <f>COUNTIF($G$5:$G$1531,"&gt;"&amp;G1407)+1</f>
        <v/>
      </c>
      <c r="I1407" s="9" t="inlineStr"/>
      <c r="J1407" s="11">
        <f>IF(E1407="Private",F1407,"")</f>
        <v/>
      </c>
      <c r="K1407" s="11">
        <f>IF(E1407="Private",G1407,"")</f>
        <v/>
      </c>
    </row>
    <row r="1408">
      <c r="A1408" s="9" t="n">
        <v>140960</v>
      </c>
      <c r="B1408" s="9" t="inlineStr">
        <is>
          <t>Savannah State University</t>
        </is>
      </c>
      <c r="C1408" s="9" t="inlineStr">
        <is>
          <t>Savannah</t>
        </is>
      </c>
      <c r="D1408" s="9" t="inlineStr">
        <is>
          <t>GA</t>
        </is>
      </c>
      <c r="E1408" s="9" t="inlineStr">
        <is>
          <t>Public</t>
        </is>
      </c>
      <c r="F1408" s="11" t="n">
        <v>8172</v>
      </c>
      <c r="G1408" s="11" t="n">
        <v>37981</v>
      </c>
      <c r="H1408" s="9">
        <f>COUNTIF($G$5:$G$1531,"&gt;"&amp;G1408)+1</f>
        <v/>
      </c>
      <c r="I1408" s="9" t="inlineStr"/>
      <c r="J1408" s="11">
        <f>IF(E1408="Private",F1408,"")</f>
        <v/>
      </c>
      <c r="K1408" s="11">
        <f>IF(E1408="Private",G1408,"")</f>
        <v/>
      </c>
    </row>
    <row r="1409">
      <c r="A1409" s="9" t="n">
        <v>135160</v>
      </c>
      <c r="B1409" s="9" t="inlineStr">
        <is>
          <t>Florida Gateway College</t>
        </is>
      </c>
      <c r="C1409" s="9" t="inlineStr">
        <is>
          <t>Lake City</t>
        </is>
      </c>
      <c r="D1409" s="9" t="inlineStr">
        <is>
          <t>FL</t>
        </is>
      </c>
      <c r="E1409" s="9" t="inlineStr">
        <is>
          <t>Public</t>
        </is>
      </c>
      <c r="F1409" s="11" t="n">
        <v>5364</v>
      </c>
      <c r="G1409" s="11" t="n">
        <v>37894</v>
      </c>
      <c r="H1409" s="9">
        <f>COUNTIF($G$5:$G$1531,"&gt;"&amp;G1409)+1</f>
        <v/>
      </c>
      <c r="I1409" s="9" t="inlineStr"/>
      <c r="J1409" s="11">
        <f>IF(E1409="Private",F1409,"")</f>
        <v/>
      </c>
      <c r="K1409" s="11">
        <f>IF(E1409="Private",G1409,"")</f>
        <v/>
      </c>
    </row>
    <row r="1410">
      <c r="A1410" s="9" t="n">
        <v>139968</v>
      </c>
      <c r="B1410" s="9" t="inlineStr">
        <is>
          <t>Gordon State College</t>
        </is>
      </c>
      <c r="C1410" s="9" t="inlineStr">
        <is>
          <t>Barnesville</t>
        </is>
      </c>
      <c r="D1410" s="9" t="inlineStr">
        <is>
          <t>GA</t>
        </is>
      </c>
      <c r="E1410" s="9" t="inlineStr">
        <is>
          <t>Public</t>
        </is>
      </c>
      <c r="F1410" s="11" t="n">
        <v>8105</v>
      </c>
      <c r="G1410" s="11" t="n">
        <v>37871</v>
      </c>
      <c r="H1410" s="9">
        <f>COUNTIF($G$5:$G$1531,"&gt;"&amp;G1410)+1</f>
        <v/>
      </c>
      <c r="I1410" s="9" t="inlineStr"/>
      <c r="J1410" s="11">
        <f>IF(E1410="Private",F1410,"")</f>
        <v/>
      </c>
      <c r="K1410" s="11">
        <f>IF(E1410="Private",G1410,"")</f>
        <v/>
      </c>
    </row>
    <row r="1411">
      <c r="A1411" s="9" t="n">
        <v>161572</v>
      </c>
      <c r="B1411" s="9" t="inlineStr">
        <is>
          <t>Unity Environmental University</t>
        </is>
      </c>
      <c r="C1411" s="9" t="inlineStr">
        <is>
          <t>New Gloucester</t>
        </is>
      </c>
      <c r="D1411" s="9" t="inlineStr">
        <is>
          <t>ME</t>
        </is>
      </c>
      <c r="E1411" s="9" t="inlineStr">
        <is>
          <t>Private</t>
        </is>
      </c>
      <c r="F1411" s="11" t="n">
        <v>19104</v>
      </c>
      <c r="G1411" s="11" t="n">
        <v>37852</v>
      </c>
      <c r="H1411" s="9">
        <f>COUNTIF($G$5:$G$1531,"&gt;"&amp;G1411)+1</f>
        <v/>
      </c>
      <c r="I1411" s="9" t="inlineStr"/>
      <c r="J1411" s="11">
        <f>IF(E1411="Private",F1411,"")</f>
        <v/>
      </c>
      <c r="K1411" s="11">
        <f>IF(E1411="Private",G1411,"")</f>
        <v/>
      </c>
    </row>
    <row r="1412">
      <c r="A1412" s="9" t="n">
        <v>211608</v>
      </c>
      <c r="B1412" s="9" t="inlineStr">
        <is>
          <t>Cheyney University of Pennsylvania</t>
        </is>
      </c>
      <c r="C1412" s="9" t="inlineStr">
        <is>
          <t>Cheyney</t>
        </is>
      </c>
      <c r="D1412" s="9" t="inlineStr">
        <is>
          <t>PA</t>
        </is>
      </c>
      <c r="E1412" s="9" t="inlineStr">
        <is>
          <t>Public</t>
        </is>
      </c>
      <c r="F1412" s="11" t="n">
        <v>14265</v>
      </c>
      <c r="G1412" s="11" t="n">
        <v>37837</v>
      </c>
      <c r="H1412" s="9">
        <f>COUNTIF($G$5:$G$1531,"&gt;"&amp;G1412)+1</f>
        <v/>
      </c>
      <c r="I1412" s="9" t="inlineStr"/>
      <c r="J1412" s="11">
        <f>IF(E1412="Private",F1412,"")</f>
        <v/>
      </c>
      <c r="K1412" s="11">
        <f>IF(E1412="Private",G1412,"")</f>
        <v/>
      </c>
    </row>
    <row r="1413">
      <c r="A1413" s="9" t="n">
        <v>202903</v>
      </c>
      <c r="B1413" s="9" t="inlineStr">
        <is>
          <t>Gods Bible School and College</t>
        </is>
      </c>
      <c r="C1413" s="9" t="inlineStr">
        <is>
          <t>Cincinnati</t>
        </is>
      </c>
      <c r="D1413" s="9" t="inlineStr">
        <is>
          <t>OH</t>
        </is>
      </c>
      <c r="E1413" s="9" t="inlineStr">
        <is>
          <t>Private</t>
        </is>
      </c>
      <c r="F1413" s="11" t="n">
        <v>9329</v>
      </c>
      <c r="G1413" s="11" t="n">
        <v>37722</v>
      </c>
      <c r="H1413" s="9">
        <f>COUNTIF($G$5:$G$1531,"&gt;"&amp;G1413)+1</f>
        <v/>
      </c>
      <c r="I1413" s="9" t="inlineStr"/>
      <c r="J1413" s="11">
        <f>IF(E1413="Private",F1413,"")</f>
        <v/>
      </c>
      <c r="K1413" s="11">
        <f>IF(E1413="Private",G1413,"")</f>
        <v/>
      </c>
    </row>
    <row r="1414">
      <c r="A1414" s="9" t="n">
        <v>444398</v>
      </c>
      <c r="B1414" s="9" t="inlineStr">
        <is>
          <t>Baptist University of the Americas</t>
        </is>
      </c>
      <c r="C1414" s="9" t="inlineStr">
        <is>
          <t>San Antonio</t>
        </is>
      </c>
      <c r="D1414" s="9" t="inlineStr">
        <is>
          <t>TX</t>
        </is>
      </c>
      <c r="E1414" s="9" t="inlineStr">
        <is>
          <t>Private</t>
        </is>
      </c>
      <c r="F1414" s="11" t="n">
        <v>10964</v>
      </c>
      <c r="G1414" s="11" t="n">
        <v>37709</v>
      </c>
      <c r="H1414" s="9">
        <f>COUNTIF($G$5:$G$1531,"&gt;"&amp;G1414)+1</f>
        <v/>
      </c>
      <c r="I1414" s="9" t="inlineStr"/>
      <c r="J1414" s="11">
        <f>IF(E1414="Private",F1414,"")</f>
        <v/>
      </c>
      <c r="K1414" s="11">
        <f>IF(E1414="Private",G1414,"")</f>
        <v/>
      </c>
    </row>
    <row r="1415">
      <c r="A1415" s="9" t="n">
        <v>133021</v>
      </c>
      <c r="B1415" s="9" t="inlineStr">
        <is>
          <t>Chipola College</t>
        </is>
      </c>
      <c r="C1415" s="9" t="inlineStr">
        <is>
          <t>Marianna</t>
        </is>
      </c>
      <c r="D1415" s="9" t="inlineStr">
        <is>
          <t>FL</t>
        </is>
      </c>
      <c r="E1415" s="9" t="inlineStr">
        <is>
          <t>Public</t>
        </is>
      </c>
      <c r="F1415" s="11" t="n">
        <v>1133</v>
      </c>
      <c r="G1415" s="11" t="n">
        <v>37378</v>
      </c>
      <c r="H1415" s="9">
        <f>COUNTIF($G$5:$G$1531,"&gt;"&amp;G1415)+1</f>
        <v/>
      </c>
      <c r="I1415" s="9" t="inlineStr"/>
      <c r="J1415" s="11">
        <f>IF(E1415="Private",F1415,"")</f>
        <v/>
      </c>
      <c r="K1415" s="11">
        <f>IF(E1415="Private",G1415,"")</f>
        <v/>
      </c>
    </row>
    <row r="1416">
      <c r="A1416" s="9" t="n">
        <v>137953</v>
      </c>
      <c r="B1416" s="9" t="inlineStr">
        <is>
          <t>Trinity College of Jacksonville</t>
        </is>
      </c>
      <c r="C1416" s="9" t="inlineStr">
        <is>
          <t>Jacksonville</t>
        </is>
      </c>
      <c r="D1416" s="9" t="inlineStr">
        <is>
          <t>FL</t>
        </is>
      </c>
      <c r="E1416" s="9" t="inlineStr">
        <is>
          <t>Private</t>
        </is>
      </c>
      <c r="F1416" s="11" t="n">
        <v>20011</v>
      </c>
      <c r="G1416" s="11" t="n">
        <v>37275</v>
      </c>
      <c r="H1416" s="9">
        <f>COUNTIF($G$5:$G$1531,"&gt;"&amp;G1416)+1</f>
        <v/>
      </c>
      <c r="I1416" s="9" t="inlineStr"/>
      <c r="J1416" s="11">
        <f>IF(E1416="Private",F1416,"")</f>
        <v/>
      </c>
      <c r="K1416" s="11">
        <f>IF(E1416="Private",G1416,"")</f>
        <v/>
      </c>
    </row>
    <row r="1417">
      <c r="A1417" s="9" t="n">
        <v>132693</v>
      </c>
      <c r="B1417" s="9" t="inlineStr">
        <is>
          <t>Eastern Florida State College</t>
        </is>
      </c>
      <c r="C1417" s="9" t="inlineStr">
        <is>
          <t>Melbourne</t>
        </is>
      </c>
      <c r="D1417" s="9" t="inlineStr">
        <is>
          <t>FL</t>
        </is>
      </c>
      <c r="E1417" s="9" t="inlineStr">
        <is>
          <t>Public</t>
        </is>
      </c>
      <c r="F1417" s="11" t="n">
        <v>6440</v>
      </c>
      <c r="G1417" s="11" t="n">
        <v>37195</v>
      </c>
      <c r="H1417" s="9">
        <f>COUNTIF($G$5:$G$1531,"&gt;"&amp;G1417)+1</f>
        <v/>
      </c>
      <c r="I1417" s="9" t="inlineStr"/>
      <c r="J1417" s="11">
        <f>IF(E1417="Private",F1417,"")</f>
        <v/>
      </c>
      <c r="K1417" s="11">
        <f>IF(E1417="Private",G1417,"")</f>
        <v/>
      </c>
    </row>
    <row r="1418">
      <c r="A1418" s="9" t="n">
        <v>133386</v>
      </c>
      <c r="B1418" s="9" t="inlineStr">
        <is>
          <t>Daytona State College</t>
        </is>
      </c>
      <c r="C1418" s="9" t="inlineStr">
        <is>
          <t>Daytona Beach</t>
        </is>
      </c>
      <c r="D1418" s="9" t="inlineStr">
        <is>
          <t>FL</t>
        </is>
      </c>
      <c r="E1418" s="9" t="inlineStr">
        <is>
          <t>Public</t>
        </is>
      </c>
      <c r="F1418" s="11" t="n">
        <v>7177</v>
      </c>
      <c r="G1418" s="11" t="n">
        <v>37096</v>
      </c>
      <c r="H1418" s="9">
        <f>COUNTIF($G$5:$G$1531,"&gt;"&amp;G1418)+1</f>
        <v/>
      </c>
      <c r="I1418" s="9" t="inlineStr"/>
      <c r="J1418" s="11">
        <f>IF(E1418="Private",F1418,"")</f>
        <v/>
      </c>
      <c r="K1418" s="11">
        <f>IF(E1418="Private",G1418,"")</f>
        <v/>
      </c>
    </row>
    <row r="1419">
      <c r="A1419" s="9" t="n">
        <v>240392</v>
      </c>
      <c r="B1419" s="9" t="inlineStr">
        <is>
          <t>Herzing University-Madison</t>
        </is>
      </c>
      <c r="C1419" s="9" t="inlineStr">
        <is>
          <t>Madison</t>
        </is>
      </c>
      <c r="D1419" s="9" t="inlineStr">
        <is>
          <t>WI</t>
        </is>
      </c>
      <c r="E1419" s="9" t="inlineStr">
        <is>
          <t>Private</t>
        </is>
      </c>
      <c r="F1419" s="11" t="n">
        <v>22327</v>
      </c>
      <c r="G1419" s="11" t="n">
        <v>36909</v>
      </c>
      <c r="H1419" s="9">
        <f>COUNTIF($G$5:$G$1531,"&gt;"&amp;G1419)+1</f>
        <v/>
      </c>
      <c r="I1419" s="9" t="inlineStr"/>
      <c r="J1419" s="11">
        <f>IF(E1419="Private",F1419,"")</f>
        <v/>
      </c>
      <c r="K1419" s="11">
        <f>IF(E1419="Private",G1419,"")</f>
        <v/>
      </c>
    </row>
    <row r="1420">
      <c r="A1420" s="9" t="n">
        <v>433536</v>
      </c>
      <c r="B1420" s="9" t="inlineStr">
        <is>
          <t>Herzing University-New Orleans</t>
        </is>
      </c>
      <c r="C1420" s="9" t="inlineStr">
        <is>
          <t>Metairie</t>
        </is>
      </c>
      <c r="D1420" s="9" t="inlineStr">
        <is>
          <t>LA</t>
        </is>
      </c>
      <c r="E1420" s="9" t="inlineStr">
        <is>
          <t>Private</t>
        </is>
      </c>
      <c r="F1420" s="11" t="n">
        <v>21269</v>
      </c>
      <c r="G1420" s="11" t="n">
        <v>36909</v>
      </c>
      <c r="H1420" s="9">
        <f>COUNTIF($G$5:$G$1531,"&gt;"&amp;G1420)+1</f>
        <v/>
      </c>
      <c r="I1420" s="9" t="inlineStr"/>
      <c r="J1420" s="11">
        <f>IF(E1420="Private",F1420,"")</f>
        <v/>
      </c>
      <c r="K1420" s="11">
        <f>IF(E1420="Private",G1420,"")</f>
        <v/>
      </c>
    </row>
    <row r="1421">
      <c r="A1421" s="9" t="n">
        <v>200785</v>
      </c>
      <c r="B1421" s="9" t="inlineStr">
        <is>
          <t>Herzing University-Akron</t>
        </is>
      </c>
      <c r="C1421" s="9" t="inlineStr">
        <is>
          <t>Akron</t>
        </is>
      </c>
      <c r="D1421" s="9" t="inlineStr">
        <is>
          <t>OH</t>
        </is>
      </c>
      <c r="E1421" s="9" t="inlineStr">
        <is>
          <t>Private</t>
        </is>
      </c>
      <c r="F1421" s="11" t="n">
        <v>18934</v>
      </c>
      <c r="G1421" s="11" t="n">
        <v>36909</v>
      </c>
      <c r="H1421" s="9">
        <f>COUNTIF($G$5:$G$1531,"&gt;"&amp;G1421)+1</f>
        <v/>
      </c>
      <c r="I1421" s="9" t="inlineStr"/>
      <c r="J1421" s="11">
        <f>IF(E1421="Private",F1421,"")</f>
        <v/>
      </c>
      <c r="K1421" s="11">
        <f>IF(E1421="Private",G1421,"")</f>
        <v/>
      </c>
    </row>
    <row r="1422">
      <c r="A1422" s="9" t="n">
        <v>140340</v>
      </c>
      <c r="B1422" s="9" t="inlineStr">
        <is>
          <t>Herzing University-Atlanta</t>
        </is>
      </c>
      <c r="C1422" s="9" t="inlineStr">
        <is>
          <t>Atlanta</t>
        </is>
      </c>
      <c r="D1422" s="9" t="inlineStr">
        <is>
          <t>GA</t>
        </is>
      </c>
      <c r="E1422" s="9" t="inlineStr">
        <is>
          <t>Private</t>
        </is>
      </c>
      <c r="F1422" s="11" t="n">
        <v>21679</v>
      </c>
      <c r="G1422" s="11" t="n">
        <v>36909</v>
      </c>
      <c r="H1422" s="9">
        <f>COUNTIF($G$5:$G$1531,"&gt;"&amp;G1422)+1</f>
        <v/>
      </c>
      <c r="I1422" s="9" t="inlineStr"/>
      <c r="J1422" s="11">
        <f>IF(E1422="Private",F1422,"")</f>
        <v/>
      </c>
      <c r="K1422" s="11">
        <f>IF(E1422="Private",G1422,"")</f>
        <v/>
      </c>
    </row>
    <row r="1423">
      <c r="A1423" s="9" t="n">
        <v>106485</v>
      </c>
      <c r="B1423" s="9" t="inlineStr">
        <is>
          <t>University of Arkansas at Monticello</t>
        </is>
      </c>
      <c r="C1423" s="9" t="inlineStr">
        <is>
          <t>Monticello</t>
        </is>
      </c>
      <c r="D1423" s="9" t="inlineStr">
        <is>
          <t>AR</t>
        </is>
      </c>
      <c r="E1423" s="9" t="inlineStr">
        <is>
          <t>Public</t>
        </is>
      </c>
      <c r="F1423" s="11" t="n">
        <v>14287</v>
      </c>
      <c r="G1423" s="11" t="n">
        <v>36902</v>
      </c>
      <c r="H1423" s="9">
        <f>COUNTIF($G$5:$G$1531,"&gt;"&amp;G1423)+1</f>
        <v/>
      </c>
      <c r="I1423" s="9" t="inlineStr"/>
      <c r="J1423" s="11">
        <f>IF(E1423="Private",F1423,"")</f>
        <v/>
      </c>
      <c r="K1423" s="11">
        <f>IF(E1423="Private",G1423,"")</f>
        <v/>
      </c>
    </row>
    <row r="1424">
      <c r="A1424" s="9" t="n">
        <v>136473</v>
      </c>
      <c r="B1424" s="9" t="inlineStr">
        <is>
          <t>Pensacola State College</t>
        </is>
      </c>
      <c r="C1424" s="9" t="inlineStr">
        <is>
          <t>Pensacola</t>
        </is>
      </c>
      <c r="D1424" s="9" t="inlineStr">
        <is>
          <t>FL</t>
        </is>
      </c>
      <c r="E1424" s="9" t="inlineStr">
        <is>
          <t>Public</t>
        </is>
      </c>
      <c r="F1424" s="11" t="n">
        <v>3957</v>
      </c>
      <c r="G1424" s="11" t="n">
        <v>36739</v>
      </c>
      <c r="H1424" s="9">
        <f>COUNTIF($G$5:$G$1531,"&gt;"&amp;G1424)+1</f>
        <v/>
      </c>
      <c r="I1424" s="9" t="inlineStr"/>
      <c r="J1424" s="11">
        <f>IF(E1424="Private",F1424,"")</f>
        <v/>
      </c>
      <c r="K1424" s="11">
        <f>IF(E1424="Private",G1424,"")</f>
        <v/>
      </c>
    </row>
    <row r="1425">
      <c r="A1425" s="9" t="n">
        <v>139719</v>
      </c>
      <c r="B1425" s="9" t="inlineStr">
        <is>
          <t>Fort Valley State University</t>
        </is>
      </c>
      <c r="C1425" s="9" t="inlineStr">
        <is>
          <t>Fort Valley</t>
        </is>
      </c>
      <c r="D1425" s="9" t="inlineStr">
        <is>
          <t>GA</t>
        </is>
      </c>
      <c r="E1425" s="9" t="inlineStr">
        <is>
          <t>Public</t>
        </is>
      </c>
      <c r="F1425" s="11" t="n">
        <v>10338</v>
      </c>
      <c r="G1425" s="11" t="n">
        <v>36666</v>
      </c>
      <c r="H1425" s="9">
        <f>COUNTIF($G$5:$G$1531,"&gt;"&amp;G1425)+1</f>
        <v/>
      </c>
      <c r="I1425" s="9" t="inlineStr"/>
      <c r="J1425" s="11">
        <f>IF(E1425="Private",F1425,"")</f>
        <v/>
      </c>
      <c r="K1425" s="11">
        <f>IF(E1425="Private",G1425,"")</f>
        <v/>
      </c>
    </row>
    <row r="1426">
      <c r="A1426" s="9" t="n">
        <v>197993</v>
      </c>
      <c r="B1426" s="9" t="inlineStr">
        <is>
          <t>Bennett College</t>
        </is>
      </c>
      <c r="C1426" s="9" t="inlineStr">
        <is>
          <t>Greensboro</t>
        </is>
      </c>
      <c r="D1426" s="9" t="inlineStr">
        <is>
          <t>NC</t>
        </is>
      </c>
      <c r="E1426" s="9" t="inlineStr">
        <is>
          <t>Private</t>
        </is>
      </c>
      <c r="F1426" s="11" t="n">
        <v>28299</v>
      </c>
      <c r="G1426" s="11" t="n">
        <v>36654</v>
      </c>
      <c r="H1426" s="9">
        <f>COUNTIF($G$5:$G$1531,"&gt;"&amp;G1426)+1</f>
        <v/>
      </c>
      <c r="I1426" s="9" t="inlineStr"/>
      <c r="J1426" s="11">
        <f>IF(E1426="Private",F1426,"")</f>
        <v/>
      </c>
      <c r="K1426" s="11">
        <f>IF(E1426="Private",G1426,"")</f>
        <v/>
      </c>
    </row>
    <row r="1427">
      <c r="A1427" s="9" t="n">
        <v>141185</v>
      </c>
      <c r="B1427" s="9" t="inlineStr">
        <is>
          <t>Toccoa Falls College</t>
        </is>
      </c>
      <c r="C1427" s="9" t="inlineStr">
        <is>
          <t>Toccoa Falls</t>
        </is>
      </c>
      <c r="D1427" s="9" t="inlineStr">
        <is>
          <t>GA</t>
        </is>
      </c>
      <c r="E1427" s="9" t="inlineStr">
        <is>
          <t>Private</t>
        </is>
      </c>
      <c r="F1427" s="11" t="n">
        <v>21642</v>
      </c>
      <c r="G1427" s="11" t="n">
        <v>36630</v>
      </c>
      <c r="H1427" s="9">
        <f>COUNTIF($G$5:$G$1531,"&gt;"&amp;G1427)+1</f>
        <v/>
      </c>
      <c r="I1427" s="9" t="inlineStr"/>
      <c r="J1427" s="11">
        <f>IF(E1427="Private",F1427,"")</f>
        <v/>
      </c>
      <c r="K1427" s="11">
        <f>IF(E1427="Private",G1427,"")</f>
        <v/>
      </c>
    </row>
    <row r="1428">
      <c r="A1428" s="9" t="n">
        <v>133979</v>
      </c>
      <c r="B1428" s="9" t="inlineStr">
        <is>
          <t>Florida Memorial University</t>
        </is>
      </c>
      <c r="C1428" s="9" t="inlineStr">
        <is>
          <t>Miami Gardens</t>
        </is>
      </c>
      <c r="D1428" s="9" t="inlineStr">
        <is>
          <t>FL</t>
        </is>
      </c>
      <c r="E1428" s="9" t="inlineStr">
        <is>
          <t>Private</t>
        </is>
      </c>
      <c r="F1428" s="11" t="n">
        <v>23238</v>
      </c>
      <c r="G1428" s="11" t="n">
        <v>36624</v>
      </c>
      <c r="H1428" s="9">
        <f>COUNTIF($G$5:$G$1531,"&gt;"&amp;G1428)+1</f>
        <v/>
      </c>
      <c r="I1428" s="9" t="inlineStr"/>
      <c r="J1428" s="11">
        <f>IF(E1428="Private",F1428,"")</f>
        <v/>
      </c>
      <c r="K1428" s="11">
        <f>IF(E1428="Private",G1428,"")</f>
        <v/>
      </c>
    </row>
    <row r="1429">
      <c r="A1429" s="9" t="n">
        <v>489779</v>
      </c>
      <c r="B1429" s="9" t="inlineStr">
        <is>
          <t>Purdue University Global</t>
        </is>
      </c>
      <c r="C1429" s="9" t="inlineStr">
        <is>
          <t>West Lafayette</t>
        </is>
      </c>
      <c r="D1429" s="9" t="inlineStr">
        <is>
          <t>IN</t>
        </is>
      </c>
      <c r="E1429" s="9" t="inlineStr">
        <is>
          <t>Public</t>
        </is>
      </c>
      <c r="F1429" s="11" t="n">
        <v>7770</v>
      </c>
      <c r="G1429" s="11" t="n">
        <v>36596</v>
      </c>
      <c r="H1429" s="9">
        <f>COUNTIF($G$5:$G$1531,"&gt;"&amp;G1429)+1</f>
        <v/>
      </c>
      <c r="I1429" s="9" t="inlineStr"/>
      <c r="J1429" s="11">
        <f>IF(E1429="Private",F1429,"")</f>
        <v/>
      </c>
      <c r="K1429" s="11">
        <f>IF(E1429="Private",G1429,"")</f>
        <v/>
      </c>
    </row>
    <row r="1430">
      <c r="A1430" s="9" t="n">
        <v>175342</v>
      </c>
      <c r="B1430" s="9" t="inlineStr">
        <is>
          <t>Alcorn State University</t>
        </is>
      </c>
      <c r="C1430" s="9" t="inlineStr">
        <is>
          <t>Alcorn State</t>
        </is>
      </c>
      <c r="D1430" s="9" t="inlineStr">
        <is>
          <t>MS</t>
        </is>
      </c>
      <c r="E1430" s="9" t="inlineStr">
        <is>
          <t>Public</t>
        </is>
      </c>
      <c r="F1430" s="11" t="n">
        <v>13265</v>
      </c>
      <c r="G1430" s="11" t="n">
        <v>36421</v>
      </c>
      <c r="H1430" s="9">
        <f>COUNTIF($G$5:$G$1531,"&gt;"&amp;G1430)+1</f>
        <v/>
      </c>
      <c r="I1430" s="9" t="inlineStr"/>
      <c r="J1430" s="11">
        <f>IF(E1430="Private",F1430,"")</f>
        <v/>
      </c>
      <c r="K1430" s="11">
        <f>IF(E1430="Private",G1430,"")</f>
        <v/>
      </c>
    </row>
    <row r="1431">
      <c r="A1431" s="9" t="n">
        <v>157058</v>
      </c>
      <c r="B1431" s="9" t="inlineStr">
        <is>
          <t>Kentucky State University</t>
        </is>
      </c>
      <c r="C1431" s="9" t="inlineStr">
        <is>
          <t>Frankfort</t>
        </is>
      </c>
      <c r="D1431" s="9" t="inlineStr">
        <is>
          <t>KY</t>
        </is>
      </c>
      <c r="E1431" s="9" t="inlineStr">
        <is>
          <t>Public</t>
        </is>
      </c>
      <c r="F1431" s="11" t="n">
        <v>8040</v>
      </c>
      <c r="G1431" s="11" t="n">
        <v>36382</v>
      </c>
      <c r="H1431" s="9">
        <f>COUNTIF($G$5:$G$1531,"&gt;"&amp;G1431)+1</f>
        <v/>
      </c>
      <c r="I1431" s="9" t="inlineStr"/>
      <c r="J1431" s="11">
        <f>IF(E1431="Private",F1431,"")</f>
        <v/>
      </c>
      <c r="K1431" s="11">
        <f>IF(E1431="Private",G1431,"")</f>
        <v/>
      </c>
    </row>
    <row r="1432">
      <c r="A1432" s="9" t="n">
        <v>155070</v>
      </c>
      <c r="B1432" s="9" t="inlineStr">
        <is>
          <t>Barclay College</t>
        </is>
      </c>
      <c r="C1432" s="9" t="inlineStr">
        <is>
          <t>Haviland</t>
        </is>
      </c>
      <c r="D1432" s="9" t="inlineStr">
        <is>
          <t>KS</t>
        </is>
      </c>
      <c r="E1432" s="9" t="inlineStr">
        <is>
          <t>Private</t>
        </is>
      </c>
      <c r="F1432" s="11" t="n">
        <v>29290</v>
      </c>
      <c r="G1432" s="11" t="n">
        <v>36355</v>
      </c>
      <c r="H1432" s="9">
        <f>COUNTIF($G$5:$G$1531,"&gt;"&amp;G1432)+1</f>
        <v/>
      </c>
      <c r="I1432" s="9" t="inlineStr"/>
      <c r="J1432" s="11">
        <f>IF(E1432="Private",F1432,"")</f>
        <v/>
      </c>
      <c r="K1432" s="11">
        <f>IF(E1432="Private",G1432,"")</f>
        <v/>
      </c>
    </row>
    <row r="1433">
      <c r="A1433" s="9" t="n">
        <v>199865</v>
      </c>
      <c r="B1433" s="9" t="inlineStr">
        <is>
          <t>Warren Wilson College</t>
        </is>
      </c>
      <c r="C1433" s="9" t="inlineStr">
        <is>
          <t>Swannanoa</t>
        </is>
      </c>
      <c r="D1433" s="9" t="inlineStr">
        <is>
          <t>NC</t>
        </is>
      </c>
      <c r="E1433" s="9" t="inlineStr">
        <is>
          <t>Private</t>
        </is>
      </c>
      <c r="F1433" s="11" t="n">
        <v>21249</v>
      </c>
      <c r="G1433" s="11" t="n">
        <v>36260</v>
      </c>
      <c r="H1433" s="9">
        <f>COUNTIF($G$5:$G$1531,"&gt;"&amp;G1433)+1</f>
        <v/>
      </c>
      <c r="I1433" s="9" t="inlineStr"/>
      <c r="J1433" s="11">
        <f>IF(E1433="Private",F1433,"")</f>
        <v/>
      </c>
      <c r="K1433" s="11">
        <f>IF(E1433="Private",G1433,"")</f>
        <v/>
      </c>
    </row>
    <row r="1434">
      <c r="A1434" s="9" t="n">
        <v>174525</v>
      </c>
      <c r="B1434" s="9" t="inlineStr">
        <is>
          <t>Oak Hills Christian College</t>
        </is>
      </c>
      <c r="C1434" s="9" t="inlineStr">
        <is>
          <t>Bemidji</t>
        </is>
      </c>
      <c r="D1434" s="9" t="inlineStr">
        <is>
          <t>MN</t>
        </is>
      </c>
      <c r="E1434" s="9" t="inlineStr">
        <is>
          <t>Private</t>
        </is>
      </c>
      <c r="F1434" s="11" t="n">
        <v>20227</v>
      </c>
      <c r="G1434" s="11" t="n">
        <v>35983</v>
      </c>
      <c r="H1434" s="9">
        <f>COUNTIF($G$5:$G$1531,"&gt;"&amp;G1434)+1</f>
        <v/>
      </c>
      <c r="I1434" s="9" t="inlineStr"/>
      <c r="J1434" s="11">
        <f>IF(E1434="Private",F1434,"")</f>
        <v/>
      </c>
      <c r="K1434" s="11">
        <f>IF(E1434="Private",G1434,"")</f>
        <v/>
      </c>
    </row>
    <row r="1435">
      <c r="A1435" s="9" t="n">
        <v>240754</v>
      </c>
      <c r="B1435" s="9" t="inlineStr">
        <is>
          <t>University of Guam</t>
        </is>
      </c>
      <c r="C1435" s="9" t="inlineStr">
        <is>
          <t>Mangilao</t>
        </is>
      </c>
      <c r="D1435" s="9" t="inlineStr">
        <is>
          <t>GU</t>
        </is>
      </c>
      <c r="E1435" s="9" t="inlineStr">
        <is>
          <t>Public</t>
        </is>
      </c>
      <c r="F1435" s="11" t="n">
        <v>8598</v>
      </c>
      <c r="G1435" s="11" t="n">
        <v>35946</v>
      </c>
      <c r="H1435" s="9">
        <f>COUNTIF($G$5:$G$1531,"&gt;"&amp;G1435)+1</f>
        <v/>
      </c>
      <c r="I1435" s="9" t="inlineStr"/>
      <c r="J1435" s="11">
        <f>IF(E1435="Private",F1435,"")</f>
        <v/>
      </c>
      <c r="K1435" s="11">
        <f>IF(E1435="Private",G1435,"")</f>
        <v/>
      </c>
    </row>
    <row r="1436">
      <c r="A1436" s="9" t="n">
        <v>206048</v>
      </c>
      <c r="B1436" s="9" t="inlineStr">
        <is>
          <t>Tiffin University</t>
        </is>
      </c>
      <c r="C1436" s="9" t="inlineStr">
        <is>
          <t>Tiffin</t>
        </is>
      </c>
      <c r="D1436" s="9" t="inlineStr">
        <is>
          <t>OH</t>
        </is>
      </c>
      <c r="E1436" s="9" t="inlineStr">
        <is>
          <t>Private</t>
        </is>
      </c>
      <c r="F1436" s="11" t="n">
        <v>26500</v>
      </c>
      <c r="G1436" s="11" t="n">
        <v>35942</v>
      </c>
      <c r="H1436" s="9">
        <f>COUNTIF($G$5:$G$1531,"&gt;"&amp;G1436)+1</f>
        <v/>
      </c>
      <c r="I1436" s="9" t="inlineStr"/>
      <c r="J1436" s="11">
        <f>IF(E1436="Private",F1436,"")</f>
        <v/>
      </c>
      <c r="K1436" s="11">
        <f>IF(E1436="Private",G1436,"")</f>
        <v/>
      </c>
    </row>
    <row r="1437">
      <c r="A1437" s="9" t="n">
        <v>168847</v>
      </c>
      <c r="B1437" s="9" t="inlineStr">
        <is>
          <t>Baker College</t>
        </is>
      </c>
      <c r="C1437" s="9" t="inlineStr">
        <is>
          <t>Owosso</t>
        </is>
      </c>
      <c r="D1437" s="9" t="inlineStr">
        <is>
          <t>MI</t>
        </is>
      </c>
      <c r="E1437" s="9" t="inlineStr">
        <is>
          <t>Private</t>
        </is>
      </c>
      <c r="F1437" s="11" t="n">
        <v>13157</v>
      </c>
      <c r="G1437" s="11" t="n">
        <v>35833</v>
      </c>
      <c r="H1437" s="9">
        <f>COUNTIF($G$5:$G$1531,"&gt;"&amp;G1437)+1</f>
        <v/>
      </c>
      <c r="I1437" s="9" t="inlineStr"/>
      <c r="J1437" s="11">
        <f>IF(E1437="Private",F1437,"")</f>
        <v/>
      </c>
      <c r="K1437" s="11">
        <f>IF(E1437="Private",G1437,"")</f>
        <v/>
      </c>
    </row>
    <row r="1438">
      <c r="A1438" s="9" t="n">
        <v>199582</v>
      </c>
      <c r="B1438" s="9" t="inlineStr">
        <is>
          <t>Saint Augustine's University</t>
        </is>
      </c>
      <c r="C1438" s="9" t="inlineStr">
        <is>
          <t>Raleigh</t>
        </is>
      </c>
      <c r="D1438" s="9" t="inlineStr">
        <is>
          <t>NC</t>
        </is>
      </c>
      <c r="E1438" s="9" t="inlineStr">
        <is>
          <t>Private</t>
        </is>
      </c>
      <c r="F1438" s="11" t="n">
        <v>24313</v>
      </c>
      <c r="G1438" s="11" t="n">
        <v>35730</v>
      </c>
      <c r="H1438" s="9">
        <f>COUNTIF($G$5:$G$1531,"&gt;"&amp;G1438)+1</f>
        <v/>
      </c>
      <c r="I1438" s="9" t="inlineStr"/>
      <c r="J1438" s="11">
        <f>IF(E1438="Private",F1438,"")</f>
        <v/>
      </c>
      <c r="K1438" s="11">
        <f>IF(E1438="Private",G1438,"")</f>
        <v/>
      </c>
    </row>
    <row r="1439">
      <c r="A1439" s="9" t="n">
        <v>243221</v>
      </c>
      <c r="B1439" s="9" t="inlineStr">
        <is>
          <t>University of Puerto Rico-Rio Piedras</t>
        </is>
      </c>
      <c r="C1439" s="9" t="inlineStr">
        <is>
          <t>San Juan</t>
        </is>
      </c>
      <c r="D1439" s="9" t="inlineStr">
        <is>
          <t>PR</t>
        </is>
      </c>
      <c r="E1439" s="9" t="inlineStr">
        <is>
          <t>Public</t>
        </is>
      </c>
      <c r="F1439" s="11" t="n">
        <v>9175</v>
      </c>
      <c r="G1439" s="11" t="n">
        <v>35723</v>
      </c>
      <c r="H1439" s="9">
        <f>COUNTIF($G$5:$G$1531,"&gt;"&amp;G1439)+1</f>
        <v/>
      </c>
      <c r="I1439" s="9" t="inlineStr"/>
      <c r="J1439" s="11">
        <f>IF(E1439="Private",F1439,"")</f>
        <v/>
      </c>
      <c r="K1439" s="11">
        <f>IF(E1439="Private",G1439,"")</f>
        <v/>
      </c>
    </row>
    <row r="1440">
      <c r="A1440" s="9" t="n">
        <v>155007</v>
      </c>
      <c r="B1440" s="9" t="inlineStr">
        <is>
          <t>Donnelly College</t>
        </is>
      </c>
      <c r="C1440" s="9" t="inlineStr">
        <is>
          <t>Kansas City</t>
        </is>
      </c>
      <c r="D1440" s="9" t="inlineStr">
        <is>
          <t>KS</t>
        </is>
      </c>
      <c r="E1440" s="9" t="inlineStr">
        <is>
          <t>Private</t>
        </is>
      </c>
      <c r="F1440" s="11" t="n">
        <v>11476</v>
      </c>
      <c r="G1440" s="11" t="n">
        <v>35715</v>
      </c>
      <c r="H1440" s="9">
        <f>COUNTIF($G$5:$G$1531,"&gt;"&amp;G1440)+1</f>
        <v/>
      </c>
      <c r="I1440" s="9" t="inlineStr"/>
      <c r="J1440" s="11">
        <f>IF(E1440="Private",F1440,"")</f>
        <v/>
      </c>
      <c r="K1440" s="11">
        <f>IF(E1440="Private",G1440,"")</f>
        <v/>
      </c>
    </row>
    <row r="1441">
      <c r="A1441" s="9" t="n">
        <v>482699</v>
      </c>
      <c r="B1441" s="9" t="inlineStr">
        <is>
          <t>South Georgia State College</t>
        </is>
      </c>
      <c r="C1441" s="9" t="inlineStr">
        <is>
          <t>Douglas</t>
        </is>
      </c>
      <c r="D1441" s="9" t="inlineStr">
        <is>
          <t>GA</t>
        </is>
      </c>
      <c r="E1441" s="9" t="inlineStr">
        <is>
          <t>Public</t>
        </is>
      </c>
      <c r="F1441" s="11" t="n">
        <v>8767</v>
      </c>
      <c r="G1441" s="11" t="n">
        <v>35697</v>
      </c>
      <c r="H1441" s="9">
        <f>COUNTIF($G$5:$G$1531,"&gt;"&amp;G1441)+1</f>
        <v/>
      </c>
      <c r="I1441" s="9" t="inlineStr"/>
      <c r="J1441" s="11">
        <f>IF(E1441="Private",F1441,"")</f>
        <v/>
      </c>
      <c r="K1441" s="11">
        <f>IF(E1441="Private",G1441,"")</f>
        <v/>
      </c>
    </row>
    <row r="1442">
      <c r="A1442" s="9" t="n">
        <v>220604</v>
      </c>
      <c r="B1442" s="9" t="inlineStr">
        <is>
          <t>Le Moyne-Owen College</t>
        </is>
      </c>
      <c r="C1442" s="9" t="inlineStr">
        <is>
          <t>Memphis</t>
        </is>
      </c>
      <c r="D1442" s="9" t="inlineStr">
        <is>
          <t>TN</t>
        </is>
      </c>
      <c r="E1442" s="9" t="inlineStr">
        <is>
          <t>Private</t>
        </is>
      </c>
      <c r="F1442" s="11" t="n">
        <v>7099</v>
      </c>
      <c r="G1442" s="11" t="n">
        <v>35594</v>
      </c>
      <c r="H1442" s="9">
        <f>COUNTIF($G$5:$G$1531,"&gt;"&amp;G1442)+1</f>
        <v/>
      </c>
      <c r="I1442" s="9" t="inlineStr"/>
      <c r="J1442" s="11">
        <f>IF(E1442="Private",F1442,"")</f>
        <v/>
      </c>
      <c r="K1442" s="11">
        <f>IF(E1442="Private",G1442,"")</f>
        <v/>
      </c>
    </row>
    <row r="1443">
      <c r="A1443" s="9" t="n">
        <v>106412</v>
      </c>
      <c r="B1443" s="9" t="inlineStr">
        <is>
          <t>University of Arkansas at Pine Bluff</t>
        </is>
      </c>
      <c r="C1443" s="9" t="inlineStr">
        <is>
          <t>Pine Bluff</t>
        </is>
      </c>
      <c r="D1443" s="9" t="inlineStr">
        <is>
          <t>AR</t>
        </is>
      </c>
      <c r="E1443" s="9" t="inlineStr">
        <is>
          <t>Public</t>
        </is>
      </c>
      <c r="F1443" s="11" t="n">
        <v>12653</v>
      </c>
      <c r="G1443" s="11" t="n">
        <v>35550</v>
      </c>
      <c r="H1443" s="9">
        <f>COUNTIF($G$5:$G$1531,"&gt;"&amp;G1443)+1</f>
        <v/>
      </c>
      <c r="I1443" s="9" t="inlineStr"/>
      <c r="J1443" s="11">
        <f>IF(E1443="Private",F1443,"")</f>
        <v/>
      </c>
      <c r="K1443" s="11">
        <f>IF(E1443="Private",G1443,"")</f>
        <v/>
      </c>
    </row>
    <row r="1444">
      <c r="A1444" s="9" t="n">
        <v>177117</v>
      </c>
      <c r="B1444" s="9" t="inlineStr">
        <is>
          <t>Cottey College</t>
        </is>
      </c>
      <c r="C1444" s="9" t="inlineStr">
        <is>
          <t>Nevada</t>
        </is>
      </c>
      <c r="D1444" s="9" t="inlineStr">
        <is>
          <t>MO</t>
        </is>
      </c>
      <c r="E1444" s="9" t="inlineStr">
        <is>
          <t>Private</t>
        </is>
      </c>
      <c r="F1444" s="11" t="n">
        <v>13805</v>
      </c>
      <c r="G1444" s="11" t="n">
        <v>35422</v>
      </c>
      <c r="H1444" s="9">
        <f>COUNTIF($G$5:$G$1531,"&gt;"&amp;G1444)+1</f>
        <v/>
      </c>
      <c r="I1444" s="9" t="inlineStr"/>
      <c r="J1444" s="11">
        <f>IF(E1444="Private",F1444,"")</f>
        <v/>
      </c>
      <c r="K1444" s="11">
        <f>IF(E1444="Private",G1444,"")</f>
        <v/>
      </c>
    </row>
    <row r="1445">
      <c r="A1445" s="9" t="n">
        <v>102270</v>
      </c>
      <c r="B1445" s="9" t="inlineStr">
        <is>
          <t>Stillman College</t>
        </is>
      </c>
      <c r="C1445" s="9" t="inlineStr">
        <is>
          <t>Tuscaloosa</t>
        </is>
      </c>
      <c r="D1445" s="9" t="inlineStr">
        <is>
          <t>AL</t>
        </is>
      </c>
      <c r="E1445" s="9" t="inlineStr">
        <is>
          <t>Private</t>
        </is>
      </c>
      <c r="F1445" s="11" t="n">
        <v>15258</v>
      </c>
      <c r="G1445" s="11" t="n">
        <v>35421</v>
      </c>
      <c r="H1445" s="9">
        <f>COUNTIF($G$5:$G$1531,"&gt;"&amp;G1445)+1</f>
        <v/>
      </c>
      <c r="I1445" s="9" t="inlineStr"/>
      <c r="J1445" s="11">
        <f>IF(E1445="Private",F1445,"")</f>
        <v/>
      </c>
      <c r="K1445" s="11">
        <f>IF(E1445="Private",G1445,"")</f>
        <v/>
      </c>
    </row>
    <row r="1446">
      <c r="A1446" s="9" t="n">
        <v>189413</v>
      </c>
      <c r="B1446" s="9" t="inlineStr">
        <is>
          <t>Boricua College</t>
        </is>
      </c>
      <c r="C1446" s="9" t="inlineStr">
        <is>
          <t>New York</t>
        </is>
      </c>
      <c r="D1446" s="9" t="inlineStr">
        <is>
          <t>NY</t>
        </is>
      </c>
      <c r="E1446" s="9" t="inlineStr">
        <is>
          <t>Private</t>
        </is>
      </c>
      <c r="F1446" s="11" t="n">
        <v>15245</v>
      </c>
      <c r="G1446" s="11" t="n">
        <v>35348</v>
      </c>
      <c r="H1446" s="9">
        <f>COUNTIF($G$5:$G$1531,"&gt;"&amp;G1446)+1</f>
        <v/>
      </c>
      <c r="I1446" s="9" t="inlineStr"/>
      <c r="J1446" s="11">
        <f>IF(E1446="Private",F1446,"")</f>
        <v/>
      </c>
      <c r="K1446" s="11">
        <f>IF(E1446="Private",G1446,"")</f>
        <v/>
      </c>
    </row>
    <row r="1447">
      <c r="A1447" s="9" t="n">
        <v>218919</v>
      </c>
      <c r="B1447" s="9" t="inlineStr">
        <is>
          <t>Voorhees University</t>
        </is>
      </c>
      <c r="C1447" s="9" t="inlineStr">
        <is>
          <t>Denmark</t>
        </is>
      </c>
      <c r="D1447" s="9" t="inlineStr">
        <is>
          <t>SC</t>
        </is>
      </c>
      <c r="E1447" s="9" t="inlineStr">
        <is>
          <t>Private</t>
        </is>
      </c>
      <c r="F1447" s="11" t="n">
        <v>13335</v>
      </c>
      <c r="G1447" s="11" t="n">
        <v>35339</v>
      </c>
      <c r="H1447" s="9">
        <f>COUNTIF($G$5:$G$1531,"&gt;"&amp;G1447)+1</f>
        <v/>
      </c>
      <c r="I1447" s="9" t="inlineStr"/>
      <c r="J1447" s="11">
        <f>IF(E1447="Private",F1447,"")</f>
        <v/>
      </c>
      <c r="K1447" s="11">
        <f>IF(E1447="Private",G1447,"")</f>
        <v/>
      </c>
    </row>
    <row r="1448">
      <c r="A1448" s="9" t="n">
        <v>237686</v>
      </c>
      <c r="B1448" s="9" t="inlineStr">
        <is>
          <t>West Virginia University at Parkersburg</t>
        </is>
      </c>
      <c r="C1448" s="9" t="inlineStr">
        <is>
          <t>Parkersburg</t>
        </is>
      </c>
      <c r="D1448" s="9" t="inlineStr">
        <is>
          <t>WV</t>
        </is>
      </c>
      <c r="E1448" s="9" t="inlineStr">
        <is>
          <t>Public</t>
        </is>
      </c>
      <c r="F1448" s="11" t="n">
        <v>1807</v>
      </c>
      <c r="G1448" s="11" t="n">
        <v>35171</v>
      </c>
      <c r="H1448" s="9">
        <f>COUNTIF($G$5:$G$1531,"&gt;"&amp;G1448)+1</f>
        <v/>
      </c>
      <c r="I1448" s="9" t="inlineStr"/>
      <c r="J1448" s="11">
        <f>IF(E1448="Private",F1448,"")</f>
        <v/>
      </c>
      <c r="K1448" s="11">
        <f>IF(E1448="Private",G1448,"")</f>
        <v/>
      </c>
    </row>
    <row r="1449">
      <c r="A1449" s="9" t="n">
        <v>138558</v>
      </c>
      <c r="B1449" s="9" t="inlineStr">
        <is>
          <t>Abraham Baldwin Agricultural College</t>
        </is>
      </c>
      <c r="C1449" s="9" t="inlineStr">
        <is>
          <t>Tifton</t>
        </is>
      </c>
      <c r="D1449" s="9" t="inlineStr">
        <is>
          <t>GA</t>
        </is>
      </c>
      <c r="E1449" s="9" t="inlineStr">
        <is>
          <t>Public</t>
        </is>
      </c>
      <c r="F1449" s="11" t="n">
        <v>6842</v>
      </c>
      <c r="G1449" s="11" t="n">
        <v>34996</v>
      </c>
      <c r="H1449" s="9">
        <f>COUNTIF($G$5:$G$1531,"&gt;"&amp;G1449)+1</f>
        <v/>
      </c>
      <c r="I1449" s="9" t="inlineStr"/>
      <c r="J1449" s="11">
        <f>IF(E1449="Private",F1449,"")</f>
        <v/>
      </c>
      <c r="K1449" s="11">
        <f>IF(E1449="Private",G1449,"")</f>
        <v/>
      </c>
    </row>
    <row r="1450">
      <c r="A1450" s="9" t="n">
        <v>133526</v>
      </c>
      <c r="B1450" s="9" t="inlineStr">
        <is>
          <t>Edward Waters University</t>
        </is>
      </c>
      <c r="C1450" s="9" t="inlineStr">
        <is>
          <t>Jacksonville</t>
        </is>
      </c>
      <c r="D1450" s="9" t="inlineStr">
        <is>
          <t>FL</t>
        </is>
      </c>
      <c r="E1450" s="9" t="inlineStr">
        <is>
          <t>Private</t>
        </is>
      </c>
      <c r="F1450" s="11" t="n">
        <v>13649</v>
      </c>
      <c r="G1450" s="11" t="n">
        <v>34782</v>
      </c>
      <c r="H1450" s="9">
        <f>COUNTIF($G$5:$G$1531,"&gt;"&amp;G1450)+1</f>
        <v/>
      </c>
      <c r="I1450" s="9" t="inlineStr"/>
      <c r="J1450" s="11">
        <f>IF(E1450="Private",F1450,"")</f>
        <v/>
      </c>
      <c r="K1450" s="11">
        <f>IF(E1450="Private",G1450,"")</f>
        <v/>
      </c>
    </row>
    <row r="1451">
      <c r="A1451" s="9" t="n">
        <v>176406</v>
      </c>
      <c r="B1451" s="9" t="inlineStr">
        <is>
          <t>Tougaloo College</t>
        </is>
      </c>
      <c r="C1451" s="9" t="inlineStr">
        <is>
          <t>Tougaloo</t>
        </is>
      </c>
      <c r="D1451" s="9" t="inlineStr">
        <is>
          <t>MS</t>
        </is>
      </c>
      <c r="E1451" s="9" t="inlineStr">
        <is>
          <t>Private</t>
        </is>
      </c>
      <c r="F1451" s="11" t="n">
        <v>17043</v>
      </c>
      <c r="G1451" s="11" t="n">
        <v>34724</v>
      </c>
      <c r="H1451" s="9">
        <f>COUNTIF($G$5:$G$1531,"&gt;"&amp;G1451)+1</f>
        <v/>
      </c>
      <c r="I1451" s="9" t="inlineStr"/>
      <c r="J1451" s="11">
        <f>IF(E1451="Private",F1451,"")</f>
        <v/>
      </c>
      <c r="K1451" s="11">
        <f>IF(E1451="Private",G1451,"")</f>
        <v/>
      </c>
    </row>
    <row r="1452">
      <c r="A1452" s="9" t="n">
        <v>100724</v>
      </c>
      <c r="B1452" s="9" t="inlineStr">
        <is>
          <t>Alabama State University</t>
        </is>
      </c>
      <c r="C1452" s="9" t="inlineStr">
        <is>
          <t>Montgomery</t>
        </is>
      </c>
      <c r="D1452" s="9" t="inlineStr">
        <is>
          <t>AL</t>
        </is>
      </c>
      <c r="E1452" s="9" t="inlineStr">
        <is>
          <t>Public</t>
        </is>
      </c>
      <c r="F1452" s="11" t="n">
        <v>20435</v>
      </c>
      <c r="G1452" s="11" t="n">
        <v>34502</v>
      </c>
      <c r="H1452" s="9">
        <f>COUNTIF($G$5:$G$1531,"&gt;"&amp;G1452)+1</f>
        <v/>
      </c>
      <c r="I1452" s="9" t="inlineStr"/>
      <c r="J1452" s="11">
        <f>IF(E1452="Private",F1452,"")</f>
        <v/>
      </c>
      <c r="K1452" s="11">
        <f>IF(E1452="Private",G1452,"")</f>
        <v/>
      </c>
    </row>
    <row r="1453">
      <c r="A1453" s="9" t="n">
        <v>199643</v>
      </c>
      <c r="B1453" s="9" t="inlineStr">
        <is>
          <t>Shaw University</t>
        </is>
      </c>
      <c r="C1453" s="9" t="inlineStr">
        <is>
          <t>Raleigh</t>
        </is>
      </c>
      <c r="D1453" s="9" t="inlineStr">
        <is>
          <t>NC</t>
        </is>
      </c>
      <c r="E1453" s="9" t="inlineStr">
        <is>
          <t>Private</t>
        </is>
      </c>
      <c r="F1453" s="11" t="n">
        <v>16512</v>
      </c>
      <c r="G1453" s="11" t="n">
        <v>34409</v>
      </c>
      <c r="H1453" s="9">
        <f>COUNTIF($G$5:$G$1531,"&gt;"&amp;G1453)+1</f>
        <v/>
      </c>
      <c r="I1453" s="9" t="inlineStr"/>
      <c r="J1453" s="11">
        <f>IF(E1453="Private",F1453,"")</f>
        <v/>
      </c>
      <c r="K1453" s="11">
        <f>IF(E1453="Private",G1453,"")</f>
        <v/>
      </c>
    </row>
    <row r="1454">
      <c r="A1454" s="9" t="n">
        <v>243133</v>
      </c>
      <c r="B1454" s="9" t="inlineStr">
        <is>
          <t>University of Puerto Rico</t>
        </is>
      </c>
      <c r="C1454" s="9" t="inlineStr">
        <is>
          <t>Bayamon</t>
        </is>
      </c>
      <c r="D1454" s="9" t="inlineStr">
        <is>
          <t>PR</t>
        </is>
      </c>
      <c r="E1454" s="9" t="inlineStr">
        <is>
          <t>Public</t>
        </is>
      </c>
      <c r="F1454" s="11" t="n">
        <v>8484</v>
      </c>
      <c r="G1454" s="11" t="n">
        <v>34409</v>
      </c>
      <c r="H1454" s="9">
        <f>COUNTIF($G$5:$G$1531,"&gt;"&amp;G1454)+1</f>
        <v/>
      </c>
      <c r="I1454" s="9" t="inlineStr"/>
      <c r="J1454" s="11">
        <f>IF(E1454="Private",F1454,"")</f>
        <v/>
      </c>
      <c r="K1454" s="11">
        <f>IF(E1454="Private",G1454,"")</f>
        <v/>
      </c>
    </row>
    <row r="1455">
      <c r="A1455" s="9" t="n">
        <v>160630</v>
      </c>
      <c r="B1455" s="9" t="inlineStr">
        <is>
          <t>Southern University at New Orleans</t>
        </is>
      </c>
      <c r="C1455" s="9" t="inlineStr">
        <is>
          <t>New Orleans</t>
        </is>
      </c>
      <c r="D1455" s="9" t="inlineStr">
        <is>
          <t>LA</t>
        </is>
      </c>
      <c r="E1455" s="9" t="inlineStr">
        <is>
          <t>Public</t>
        </is>
      </c>
      <c r="F1455" s="11" t="n">
        <v>14810</v>
      </c>
      <c r="G1455" s="11" t="n">
        <v>34042</v>
      </c>
      <c r="H1455" s="9">
        <f>COUNTIF($G$5:$G$1531,"&gt;"&amp;G1455)+1</f>
        <v/>
      </c>
      <c r="I1455" s="9" t="inlineStr"/>
      <c r="J1455" s="11">
        <f>IF(E1455="Private",F1455,"")</f>
        <v/>
      </c>
      <c r="K1455" s="11">
        <f>IF(E1455="Private",G1455,"")</f>
        <v/>
      </c>
    </row>
    <row r="1456">
      <c r="A1456" s="9" t="n">
        <v>228884</v>
      </c>
      <c r="B1456" s="9" t="inlineStr">
        <is>
          <t>Texas College</t>
        </is>
      </c>
      <c r="C1456" s="9" t="inlineStr">
        <is>
          <t>Tyler</t>
        </is>
      </c>
      <c r="D1456" s="9" t="inlineStr">
        <is>
          <t>TX</t>
        </is>
      </c>
      <c r="E1456" s="9" t="inlineStr">
        <is>
          <t>Private</t>
        </is>
      </c>
      <c r="F1456" s="11" t="n">
        <v>10958</v>
      </c>
      <c r="G1456" s="11" t="n">
        <v>33752</v>
      </c>
      <c r="H1456" s="9">
        <f>COUNTIF($G$5:$G$1531,"&gt;"&amp;G1456)+1</f>
        <v/>
      </c>
      <c r="I1456" s="9" t="inlineStr"/>
      <c r="J1456" s="11">
        <f>IF(E1456="Private",F1456,"")</f>
        <v/>
      </c>
      <c r="K1456" s="11">
        <f>IF(E1456="Private",G1456,"")</f>
        <v/>
      </c>
    </row>
    <row r="1457">
      <c r="A1457" s="9" t="n">
        <v>164748</v>
      </c>
      <c r="B1457" s="9" t="inlineStr">
        <is>
          <t>Berklee College of Music</t>
        </is>
      </c>
      <c r="C1457" s="9" t="inlineStr">
        <is>
          <t>Boston</t>
        </is>
      </c>
      <c r="D1457" s="9" t="inlineStr">
        <is>
          <t>MA</t>
        </is>
      </c>
      <c r="E1457" s="9" t="inlineStr">
        <is>
          <t>Private</t>
        </is>
      </c>
      <c r="F1457" s="11" t="n">
        <v>49465</v>
      </c>
      <c r="G1457" s="11" t="n">
        <v>33647</v>
      </c>
      <c r="H1457" s="9">
        <f>COUNTIF($G$5:$G$1531,"&gt;"&amp;G1457)+1</f>
        <v/>
      </c>
      <c r="I1457" s="9" t="inlineStr"/>
      <c r="J1457" s="11">
        <f>IF(E1457="Private",F1457,"")</f>
        <v/>
      </c>
      <c r="K1457" s="11">
        <f>IF(E1457="Private",G1457,"")</f>
        <v/>
      </c>
    </row>
    <row r="1458">
      <c r="A1458" s="9" t="n">
        <v>140720</v>
      </c>
      <c r="B1458" s="9" t="inlineStr">
        <is>
          <t>Paine College</t>
        </is>
      </c>
      <c r="C1458" s="9" t="inlineStr">
        <is>
          <t>Augusta</t>
        </is>
      </c>
      <c r="D1458" s="9" t="inlineStr">
        <is>
          <t>GA</t>
        </is>
      </c>
      <c r="E1458" s="9" t="inlineStr">
        <is>
          <t>Private</t>
        </is>
      </c>
      <c r="F1458" s="11" t="n">
        <v>16670</v>
      </c>
      <c r="G1458" s="11" t="n">
        <v>33338</v>
      </c>
      <c r="H1458" s="9">
        <f>COUNTIF($G$5:$G$1531,"&gt;"&amp;G1458)+1</f>
        <v/>
      </c>
      <c r="I1458" s="9" t="inlineStr"/>
      <c r="J1458" s="11">
        <f>IF(E1458="Private",F1458,"")</f>
        <v/>
      </c>
      <c r="K1458" s="11">
        <f>IF(E1458="Private",G1458,"")</f>
        <v/>
      </c>
    </row>
    <row r="1459">
      <c r="A1459" s="9" t="n">
        <v>145497</v>
      </c>
      <c r="B1459" s="9" t="inlineStr">
        <is>
          <t>Hebrew Theological College</t>
        </is>
      </c>
      <c r="C1459" s="9" t="inlineStr">
        <is>
          <t>Skokie</t>
        </is>
      </c>
      <c r="D1459" s="9" t="inlineStr">
        <is>
          <t>IL</t>
        </is>
      </c>
      <c r="E1459" s="9" t="inlineStr">
        <is>
          <t>Private</t>
        </is>
      </c>
      <c r="F1459" s="11" t="n">
        <v>26861</v>
      </c>
      <c r="G1459" s="11" t="n">
        <v>33291</v>
      </c>
      <c r="H1459" s="9">
        <f>COUNTIF($G$5:$G$1531,"&gt;"&amp;G1459)+1</f>
        <v/>
      </c>
      <c r="I1459" s="9" t="inlineStr"/>
      <c r="J1459" s="11">
        <f>IF(E1459="Private",F1459,"")</f>
        <v/>
      </c>
      <c r="K1459" s="11">
        <f>IF(E1459="Private",G1459,"")</f>
        <v/>
      </c>
    </row>
    <row r="1460">
      <c r="A1460" s="9" t="n">
        <v>201690</v>
      </c>
      <c r="B1460" s="9" t="inlineStr">
        <is>
          <t>Central State University</t>
        </is>
      </c>
      <c r="C1460" s="9" t="inlineStr">
        <is>
          <t>Wilberforce</t>
        </is>
      </c>
      <c r="D1460" s="9" t="inlineStr">
        <is>
          <t>OH</t>
        </is>
      </c>
      <c r="E1460" s="9" t="inlineStr">
        <is>
          <t>Public</t>
        </is>
      </c>
      <c r="F1460" s="11" t="n">
        <v>13096</v>
      </c>
      <c r="G1460" s="11" t="n">
        <v>33267</v>
      </c>
      <c r="H1460" s="9">
        <f>COUNTIF($G$5:$G$1531,"&gt;"&amp;G1460)+1</f>
        <v/>
      </c>
      <c r="I1460" s="9" t="inlineStr"/>
      <c r="J1460" s="11">
        <f>IF(E1460="Private",F1460,"")</f>
        <v/>
      </c>
      <c r="K1460" s="11">
        <f>IF(E1460="Private",G1460,"")</f>
        <v/>
      </c>
    </row>
    <row r="1461">
      <c r="A1461" s="9" t="n">
        <v>207209</v>
      </c>
      <c r="B1461" s="9" t="inlineStr">
        <is>
          <t>Langston University</t>
        </is>
      </c>
      <c r="C1461" s="9" t="inlineStr">
        <is>
          <t>Langston</t>
        </is>
      </c>
      <c r="D1461" s="9" t="inlineStr">
        <is>
          <t>OK</t>
        </is>
      </c>
      <c r="E1461" s="9" t="inlineStr">
        <is>
          <t>Public</t>
        </is>
      </c>
      <c r="F1461" s="11" t="n">
        <v>11504</v>
      </c>
      <c r="G1461" s="11" t="n">
        <v>33261</v>
      </c>
      <c r="H1461" s="9">
        <f>COUNTIF($G$5:$G$1531,"&gt;"&amp;G1461)+1</f>
        <v/>
      </c>
      <c r="I1461" s="9" t="inlineStr"/>
      <c r="J1461" s="11">
        <f>IF(E1461="Private",F1461,"")</f>
        <v/>
      </c>
      <c r="K1461" s="11">
        <f>IF(E1461="Private",G1461,"")</f>
        <v/>
      </c>
    </row>
    <row r="1462">
      <c r="A1462" s="9" t="n">
        <v>138901</v>
      </c>
      <c r="B1462" s="9" t="inlineStr">
        <is>
          <t>Atlanta Metropolitan State College</t>
        </is>
      </c>
      <c r="C1462" s="9" t="inlineStr">
        <is>
          <t>Atlanta</t>
        </is>
      </c>
      <c r="D1462" s="9" t="inlineStr">
        <is>
          <t>GA</t>
        </is>
      </c>
      <c r="E1462" s="9" t="inlineStr">
        <is>
          <t>Public</t>
        </is>
      </c>
      <c r="F1462" s="11" t="n">
        <v>5258</v>
      </c>
      <c r="G1462" s="11" t="n">
        <v>33252</v>
      </c>
      <c r="H1462" s="9">
        <f>COUNTIF($G$5:$G$1531,"&gt;"&amp;G1462)+1</f>
        <v/>
      </c>
      <c r="I1462" s="9" t="inlineStr"/>
      <c r="J1462" s="11">
        <f>IF(E1462="Private",F1462,"")</f>
        <v/>
      </c>
      <c r="K1462" s="11">
        <f>IF(E1462="Private",G1462,"")</f>
        <v/>
      </c>
    </row>
    <row r="1463">
      <c r="A1463" s="9" t="n">
        <v>229887</v>
      </c>
      <c r="B1463" s="9" t="inlineStr">
        <is>
          <t>Wiley University</t>
        </is>
      </c>
      <c r="C1463" s="9" t="inlineStr">
        <is>
          <t>Marshall</t>
        </is>
      </c>
      <c r="D1463" s="9" t="inlineStr">
        <is>
          <t>TX</t>
        </is>
      </c>
      <c r="E1463" s="9" t="inlineStr">
        <is>
          <t>Private</t>
        </is>
      </c>
      <c r="F1463" s="11" t="n">
        <v>7092</v>
      </c>
      <c r="G1463" s="11" t="n">
        <v>33159</v>
      </c>
      <c r="H1463" s="9">
        <f>COUNTIF($G$5:$G$1531,"&gt;"&amp;G1463)+1</f>
        <v/>
      </c>
      <c r="I1463" s="9" t="inlineStr"/>
      <c r="J1463" s="11">
        <f>IF(E1463="Private",F1463,"")</f>
        <v/>
      </c>
      <c r="K1463" s="11">
        <f>IF(E1463="Private",G1463,"")</f>
        <v/>
      </c>
    </row>
    <row r="1464">
      <c r="A1464" s="9" t="n">
        <v>166911</v>
      </c>
      <c r="B1464" s="9" t="inlineStr">
        <is>
          <t>Montserrat College of Art</t>
        </is>
      </c>
      <c r="C1464" s="9" t="inlineStr">
        <is>
          <t>Beverly</t>
        </is>
      </c>
      <c r="D1464" s="9" t="inlineStr">
        <is>
          <t>MA</t>
        </is>
      </c>
      <c r="E1464" s="9" t="inlineStr">
        <is>
          <t>Private</t>
        </is>
      </c>
      <c r="F1464" s="11" t="n">
        <v>33216</v>
      </c>
      <c r="G1464" s="11" t="n">
        <v>33022</v>
      </c>
      <c r="H1464" s="9">
        <f>COUNTIF($G$5:$G$1531,"&gt;"&amp;G1464)+1</f>
        <v/>
      </c>
      <c r="I1464" s="9" t="inlineStr"/>
      <c r="J1464" s="11">
        <f>IF(E1464="Private",F1464,"")</f>
        <v/>
      </c>
      <c r="K1464" s="11">
        <f>IF(E1464="Private",G1464,"")</f>
        <v/>
      </c>
    </row>
    <row r="1465">
      <c r="A1465" s="9" t="n">
        <v>225885</v>
      </c>
      <c r="B1465" s="9" t="inlineStr">
        <is>
          <t>Jarvis Christian University</t>
        </is>
      </c>
      <c r="C1465" s="9" t="inlineStr">
        <is>
          <t>Hawkins</t>
        </is>
      </c>
      <c r="D1465" s="9" t="inlineStr">
        <is>
          <t>TX</t>
        </is>
      </c>
      <c r="E1465" s="9" t="inlineStr">
        <is>
          <t>Private</t>
        </is>
      </c>
      <c r="F1465" s="11" t="n">
        <v>9825</v>
      </c>
      <c r="G1465" s="11" t="n">
        <v>32992</v>
      </c>
      <c r="H1465" s="9">
        <f>COUNTIF($G$5:$G$1531,"&gt;"&amp;G1465)+1</f>
        <v/>
      </c>
      <c r="I1465" s="9" t="inlineStr"/>
      <c r="J1465" s="11">
        <f>IF(E1465="Private",F1465,"")</f>
        <v/>
      </c>
      <c r="K1465" s="11">
        <f>IF(E1465="Private",G1465,"")</f>
        <v/>
      </c>
    </row>
    <row r="1466">
      <c r="A1466" s="9" t="n">
        <v>489937</v>
      </c>
      <c r="B1466" s="9" t="inlineStr">
        <is>
          <t>Carolina University</t>
        </is>
      </c>
      <c r="C1466" s="9" t="inlineStr">
        <is>
          <t>Winston-Salem</t>
        </is>
      </c>
      <c r="D1466" s="9" t="inlineStr">
        <is>
          <t>NC</t>
        </is>
      </c>
      <c r="E1466" s="9" t="inlineStr">
        <is>
          <t>Private</t>
        </is>
      </c>
      <c r="F1466" s="11" t="n">
        <v>20828</v>
      </c>
      <c r="G1466" s="11" t="n">
        <v>32864</v>
      </c>
      <c r="H1466" s="9">
        <f>COUNTIF($G$5:$G$1531,"&gt;"&amp;G1466)+1</f>
        <v/>
      </c>
      <c r="I1466" s="9" t="inlineStr"/>
      <c r="J1466" s="11">
        <f>IF(E1466="Private",F1466,"")</f>
        <v/>
      </c>
      <c r="K1466" s="11">
        <f>IF(E1466="Private",G1466,"")</f>
        <v/>
      </c>
    </row>
    <row r="1467">
      <c r="A1467" s="9" t="n">
        <v>101675</v>
      </c>
      <c r="B1467" s="9" t="inlineStr">
        <is>
          <t>Miles College</t>
        </is>
      </c>
      <c r="C1467" s="9" t="inlineStr">
        <is>
          <t>Fairfield</t>
        </is>
      </c>
      <c r="D1467" s="9" t="inlineStr">
        <is>
          <t>AL</t>
        </is>
      </c>
      <c r="E1467" s="9" t="inlineStr">
        <is>
          <t>Private</t>
        </is>
      </c>
      <c r="F1467" s="11" t="n">
        <v>14271</v>
      </c>
      <c r="G1467" s="11" t="n">
        <v>32627</v>
      </c>
      <c r="H1467" s="9">
        <f>COUNTIF($G$5:$G$1531,"&gt;"&amp;G1467)+1</f>
        <v/>
      </c>
      <c r="I1467" s="9" t="inlineStr"/>
      <c r="J1467" s="11">
        <f>IF(E1467="Private",F1467,"")</f>
        <v/>
      </c>
      <c r="K1467" s="11">
        <f>IF(E1467="Private",G1467,"")</f>
        <v/>
      </c>
    </row>
    <row r="1468">
      <c r="A1468" s="9" t="n">
        <v>198862</v>
      </c>
      <c r="B1468" s="9" t="inlineStr">
        <is>
          <t>Livingstone College</t>
        </is>
      </c>
      <c r="C1468" s="9" t="inlineStr">
        <is>
          <t>Salisbury</t>
        </is>
      </c>
      <c r="D1468" s="9" t="inlineStr">
        <is>
          <t>NC</t>
        </is>
      </c>
      <c r="E1468" s="9" t="inlineStr">
        <is>
          <t>Private</t>
        </is>
      </c>
      <c r="F1468" s="11" t="n">
        <v>13479</v>
      </c>
      <c r="G1468" s="11" t="n">
        <v>32600</v>
      </c>
      <c r="H1468" s="9">
        <f>COUNTIF($G$5:$G$1531,"&gt;"&amp;G1468)+1</f>
        <v/>
      </c>
      <c r="I1468" s="9" t="inlineStr"/>
      <c r="J1468" s="11">
        <f>IF(E1468="Private",F1468,"")</f>
        <v/>
      </c>
      <c r="K1468" s="11">
        <f>IF(E1468="Private",G1468,"")</f>
        <v/>
      </c>
    </row>
    <row r="1469">
      <c r="A1469" s="9" t="n">
        <v>189583</v>
      </c>
      <c r="B1469" s="9" t="inlineStr">
        <is>
          <t>Bryant &amp; Stratton College-Buffalo</t>
        </is>
      </c>
      <c r="C1469" s="9" t="inlineStr">
        <is>
          <t>Buffalo</t>
        </is>
      </c>
      <c r="D1469" s="9" t="inlineStr">
        <is>
          <t>NY</t>
        </is>
      </c>
      <c r="E1469" s="9" t="inlineStr">
        <is>
          <t>Private</t>
        </is>
      </c>
      <c r="F1469" s="11" t="n">
        <v>14135</v>
      </c>
      <c r="G1469" s="11" t="n">
        <v>32568</v>
      </c>
      <c r="H1469" s="9">
        <f>COUNTIF($G$5:$G$1531,"&gt;"&amp;G1469)+1</f>
        <v/>
      </c>
      <c r="I1469" s="9" t="inlineStr"/>
      <c r="J1469" s="11">
        <f>IF(E1469="Private",F1469,"")</f>
        <v/>
      </c>
      <c r="K1469" s="11">
        <f>IF(E1469="Private",G1469,"")</f>
        <v/>
      </c>
    </row>
    <row r="1470">
      <c r="A1470" s="9" t="n">
        <v>451750</v>
      </c>
      <c r="B1470" s="9" t="inlineStr">
        <is>
          <t>Bryant &amp; Stratton College-Wauwatosa</t>
        </is>
      </c>
      <c r="C1470" s="9" t="inlineStr">
        <is>
          <t>Wauwatosa</t>
        </is>
      </c>
      <c r="D1470" s="9" t="inlineStr">
        <is>
          <t>WI</t>
        </is>
      </c>
      <c r="E1470" s="9" t="inlineStr">
        <is>
          <t>Private</t>
        </is>
      </c>
      <c r="F1470" s="11" t="n">
        <v>14858</v>
      </c>
      <c r="G1470" s="11" t="n">
        <v>32568</v>
      </c>
      <c r="H1470" s="9">
        <f>COUNTIF($G$5:$G$1531,"&gt;"&amp;G1470)+1</f>
        <v/>
      </c>
      <c r="I1470" s="9" t="inlineStr"/>
      <c r="J1470" s="11">
        <f>IF(E1470="Private",F1470,"")</f>
        <v/>
      </c>
      <c r="K1470" s="11">
        <f>IF(E1470="Private",G1470,"")</f>
        <v/>
      </c>
    </row>
    <row r="1471">
      <c r="A1471" s="9" t="n">
        <v>480091</v>
      </c>
      <c r="B1471" s="9" t="inlineStr">
        <is>
          <t>Bryant &amp; Stratton College-Online</t>
        </is>
      </c>
      <c r="C1471" s="9" t="inlineStr">
        <is>
          <t>Orchard Park</t>
        </is>
      </c>
      <c r="D1471" s="9" t="inlineStr">
        <is>
          <t>NY</t>
        </is>
      </c>
      <c r="E1471" s="9" t="inlineStr">
        <is>
          <t>Private</t>
        </is>
      </c>
      <c r="F1471" s="11" t="n">
        <v>15187</v>
      </c>
      <c r="G1471" s="11" t="n">
        <v>32568</v>
      </c>
      <c r="H1471" s="9">
        <f>COUNTIF($G$5:$G$1531,"&gt;"&amp;G1471)+1</f>
        <v/>
      </c>
      <c r="I1471" s="9" t="inlineStr"/>
      <c r="J1471" s="11">
        <f>IF(E1471="Private",F1471,"")</f>
        <v/>
      </c>
      <c r="K1471" s="11">
        <f>IF(E1471="Private",G1471,"")</f>
        <v/>
      </c>
    </row>
    <row r="1472">
      <c r="A1472" s="9" t="n">
        <v>137962</v>
      </c>
      <c r="B1472" s="9" t="inlineStr">
        <is>
          <t>Trinity College of Florida</t>
        </is>
      </c>
      <c r="C1472" s="9" t="inlineStr">
        <is>
          <t>Trinity</t>
        </is>
      </c>
      <c r="D1472" s="9" t="inlineStr">
        <is>
          <t>FL</t>
        </is>
      </c>
      <c r="E1472" s="9" t="inlineStr">
        <is>
          <t>Private</t>
        </is>
      </c>
      <c r="F1472" s="11" t="n">
        <v>20297</v>
      </c>
      <c r="G1472" s="11" t="n">
        <v>32465</v>
      </c>
      <c r="H1472" s="9">
        <f>COUNTIF($G$5:$G$1531,"&gt;"&amp;G1472)+1</f>
        <v/>
      </c>
      <c r="I1472" s="9" t="inlineStr"/>
      <c r="J1472" s="11">
        <f>IF(E1472="Private",F1472,"")</f>
        <v/>
      </c>
      <c r="K1472" s="11">
        <f>IF(E1472="Private",G1472,"")</f>
        <v/>
      </c>
    </row>
    <row r="1473">
      <c r="A1473" s="9" t="n">
        <v>176318</v>
      </c>
      <c r="B1473" s="9" t="inlineStr">
        <is>
          <t>Rust College</t>
        </is>
      </c>
      <c r="C1473" s="9" t="inlineStr">
        <is>
          <t>Holly Springs</t>
        </is>
      </c>
      <c r="D1473" s="9" t="inlineStr">
        <is>
          <t>MS</t>
        </is>
      </c>
      <c r="E1473" s="9" t="inlineStr">
        <is>
          <t>Private</t>
        </is>
      </c>
      <c r="F1473" s="11" t="n">
        <v>12587</v>
      </c>
      <c r="G1473" s="11" t="n">
        <v>32275</v>
      </c>
      <c r="H1473" s="9">
        <f>COUNTIF($G$5:$G$1531,"&gt;"&amp;G1473)+1</f>
        <v/>
      </c>
      <c r="I1473" s="9" t="inlineStr"/>
      <c r="J1473" s="11">
        <f>IF(E1473="Private",F1473,"")</f>
        <v/>
      </c>
      <c r="K1473" s="11">
        <f>IF(E1473="Private",G1473,"")</f>
        <v/>
      </c>
    </row>
    <row r="1474">
      <c r="A1474" s="9" t="n">
        <v>102298</v>
      </c>
      <c r="B1474" s="9" t="inlineStr">
        <is>
          <t>Talladega College</t>
        </is>
      </c>
      <c r="C1474" s="9" t="inlineStr">
        <is>
          <t>Talladega</t>
        </is>
      </c>
      <c r="D1474" s="9" t="inlineStr">
        <is>
          <t>AL</t>
        </is>
      </c>
      <c r="E1474" s="9" t="inlineStr">
        <is>
          <t>Private</t>
        </is>
      </c>
      <c r="F1474" s="11" t="n">
        <v>15560</v>
      </c>
      <c r="G1474" s="11" t="n">
        <v>32229</v>
      </c>
      <c r="H1474" s="9">
        <f>COUNTIF($G$5:$G$1531,"&gt;"&amp;G1474)+1</f>
        <v/>
      </c>
      <c r="I1474" s="9" t="inlineStr"/>
      <c r="J1474" s="11">
        <f>IF(E1474="Private",F1474,"")</f>
        <v/>
      </c>
      <c r="K1474" s="11">
        <f>IF(E1474="Private",G1474,"")</f>
        <v/>
      </c>
    </row>
    <row r="1475">
      <c r="A1475" s="9" t="n">
        <v>176044</v>
      </c>
      <c r="B1475" s="9" t="inlineStr">
        <is>
          <t>Mississippi Valley State University</t>
        </is>
      </c>
      <c r="C1475" s="9" t="inlineStr">
        <is>
          <t>Itta Bena</t>
        </is>
      </c>
      <c r="D1475" s="9" t="inlineStr">
        <is>
          <t>MS</t>
        </is>
      </c>
      <c r="E1475" s="9" t="inlineStr">
        <is>
          <t>Public</t>
        </is>
      </c>
      <c r="F1475" s="11" t="n">
        <v>9686</v>
      </c>
      <c r="G1475" s="11" t="n">
        <v>31919</v>
      </c>
      <c r="H1475" s="9">
        <f>COUNTIF($G$5:$G$1531,"&gt;"&amp;G1475)+1</f>
        <v/>
      </c>
      <c r="I1475" s="9" t="inlineStr"/>
      <c r="J1475" s="11">
        <f>IF(E1475="Private",F1475,"")</f>
        <v/>
      </c>
      <c r="K1475" s="11">
        <f>IF(E1475="Private",G1475,"")</f>
        <v/>
      </c>
    </row>
    <row r="1476">
      <c r="A1476" s="9" t="n">
        <v>217721</v>
      </c>
      <c r="B1476" s="9" t="inlineStr">
        <is>
          <t>Benedict College</t>
        </is>
      </c>
      <c r="C1476" s="9" t="inlineStr">
        <is>
          <t>Columbia</t>
        </is>
      </c>
      <c r="D1476" s="9" t="inlineStr">
        <is>
          <t>SC</t>
        </is>
      </c>
      <c r="E1476" s="9" t="inlineStr">
        <is>
          <t>Private</t>
        </is>
      </c>
      <c r="F1476" s="11" t="n">
        <v>18250</v>
      </c>
      <c r="G1476" s="11" t="n">
        <v>31902</v>
      </c>
      <c r="H1476" s="9">
        <f>COUNTIF($G$5:$G$1531,"&gt;"&amp;G1476)+1</f>
        <v/>
      </c>
      <c r="I1476" s="9" t="inlineStr"/>
      <c r="J1476" s="11">
        <f>IF(E1476="Private",F1476,"")</f>
        <v/>
      </c>
      <c r="K1476" s="11">
        <f>IF(E1476="Private",G1476,"")</f>
        <v/>
      </c>
    </row>
    <row r="1477">
      <c r="A1477" s="9" t="n">
        <v>243443</v>
      </c>
      <c r="B1477" s="9" t="inlineStr">
        <is>
          <t>Universidad del Sagrado Corazon</t>
        </is>
      </c>
      <c r="C1477" s="9" t="inlineStr">
        <is>
          <t>Santurce</t>
        </is>
      </c>
      <c r="D1477" s="9" t="inlineStr">
        <is>
          <t>PR</t>
        </is>
      </c>
      <c r="E1477" s="9" t="inlineStr">
        <is>
          <t>Private</t>
        </is>
      </c>
      <c r="F1477" s="11" t="n">
        <v>12924</v>
      </c>
      <c r="G1477" s="11" t="n">
        <v>31754</v>
      </c>
      <c r="H1477" s="9">
        <f>COUNTIF($G$5:$G$1531,"&gt;"&amp;G1477)+1</f>
        <v/>
      </c>
      <c r="I1477" s="9" t="inlineStr"/>
      <c r="J1477" s="11">
        <f>IF(E1477="Private",F1477,"")</f>
        <v/>
      </c>
      <c r="K1477" s="11">
        <f>IF(E1477="Private",G1477,"")</f>
        <v/>
      </c>
    </row>
    <row r="1478">
      <c r="A1478" s="9" t="n">
        <v>220598</v>
      </c>
      <c r="B1478" s="9" t="inlineStr">
        <is>
          <t>Lane College</t>
        </is>
      </c>
      <c r="C1478" s="9" t="inlineStr">
        <is>
          <t>Jackson</t>
        </is>
      </c>
      <c r="D1478" s="9" t="inlineStr">
        <is>
          <t>TN</t>
        </is>
      </c>
      <c r="E1478" s="9" t="inlineStr">
        <is>
          <t>Private</t>
        </is>
      </c>
      <c r="F1478" s="11" t="n">
        <v>10904</v>
      </c>
      <c r="G1478" s="11" t="n">
        <v>31670</v>
      </c>
      <c r="H1478" s="9">
        <f>COUNTIF($G$5:$G$1531,"&gt;"&amp;G1478)+1</f>
        <v/>
      </c>
      <c r="I1478" s="9" t="inlineStr"/>
      <c r="J1478" s="11">
        <f>IF(E1478="Private",F1478,"")</f>
        <v/>
      </c>
      <c r="K1478" s="11">
        <f>IF(E1478="Private",G1478,"")</f>
        <v/>
      </c>
    </row>
    <row r="1479">
      <c r="A1479" s="9" t="n">
        <v>243212</v>
      </c>
      <c r="B1479" s="9" t="inlineStr">
        <is>
          <t>University of Puerto Rico at Ponce</t>
        </is>
      </c>
      <c r="C1479" s="9" t="inlineStr">
        <is>
          <t>Ponce</t>
        </is>
      </c>
      <c r="D1479" s="9" t="inlineStr">
        <is>
          <t>PR</t>
        </is>
      </c>
      <c r="E1479" s="9" t="inlineStr">
        <is>
          <t>Public</t>
        </is>
      </c>
      <c r="F1479" s="11" t="n">
        <v>10990</v>
      </c>
      <c r="G1479" s="11" t="n">
        <v>31394</v>
      </c>
      <c r="H1479" s="9">
        <f>COUNTIF($G$5:$G$1531,"&gt;"&amp;G1479)+1</f>
        <v/>
      </c>
      <c r="I1479" s="9" t="inlineStr"/>
      <c r="J1479" s="11">
        <f>IF(E1479="Private",F1479,"")</f>
        <v/>
      </c>
      <c r="K1479" s="11">
        <f>IF(E1479="Private",G1479,"")</f>
        <v/>
      </c>
    </row>
    <row r="1480">
      <c r="A1480" s="9" t="n">
        <v>177551</v>
      </c>
      <c r="B1480" s="9" t="inlineStr">
        <is>
          <t>Harris-Stowe State University</t>
        </is>
      </c>
      <c r="C1480" s="9" t="inlineStr">
        <is>
          <t>Saint Louis</t>
        </is>
      </c>
      <c r="D1480" s="9" t="inlineStr">
        <is>
          <t>MO</t>
        </is>
      </c>
      <c r="E1480" s="9" t="inlineStr">
        <is>
          <t>Public</t>
        </is>
      </c>
      <c r="F1480" s="11" t="n">
        <v>9922</v>
      </c>
      <c r="G1480" s="11" t="n">
        <v>31088</v>
      </c>
      <c r="H1480" s="9">
        <f>COUNTIF($G$5:$G$1531,"&gt;"&amp;G1480)+1</f>
        <v/>
      </c>
      <c r="I1480" s="9" t="inlineStr"/>
      <c r="J1480" s="11">
        <f>IF(E1480="Private",F1480,"")</f>
        <v/>
      </c>
      <c r="K1480" s="11">
        <f>IF(E1480="Private",G1480,"")</f>
        <v/>
      </c>
    </row>
    <row r="1481">
      <c r="A1481" s="9" t="n">
        <v>170091</v>
      </c>
      <c r="B1481" s="9" t="inlineStr">
        <is>
          <t>Great Lakes Christian College</t>
        </is>
      </c>
      <c r="C1481" s="9" t="inlineStr">
        <is>
          <t>Lansing</t>
        </is>
      </c>
      <c r="D1481" s="9" t="inlineStr">
        <is>
          <t>MI</t>
        </is>
      </c>
      <c r="E1481" s="9" t="inlineStr">
        <is>
          <t>Private</t>
        </is>
      </c>
      <c r="F1481" s="11" t="n">
        <v>15524</v>
      </c>
      <c r="G1481" s="11" t="n">
        <v>31053</v>
      </c>
      <c r="H1481" s="9">
        <f>COUNTIF($G$5:$G$1531,"&gt;"&amp;G1481)+1</f>
        <v/>
      </c>
      <c r="I1481" s="9" t="inlineStr"/>
      <c r="J1481" s="11">
        <f>IF(E1481="Private",F1481,"")</f>
        <v/>
      </c>
      <c r="K1481" s="11">
        <f>IF(E1481="Private",G1481,"")</f>
        <v/>
      </c>
    </row>
    <row r="1482">
      <c r="A1482" s="9" t="n">
        <v>243151</v>
      </c>
      <c r="B1482" s="9" t="inlineStr">
        <is>
          <t>University of Puerto Rico at Cayey</t>
        </is>
      </c>
      <c r="C1482" s="9" t="inlineStr">
        <is>
          <t>Cayey</t>
        </is>
      </c>
      <c r="D1482" s="9" t="inlineStr">
        <is>
          <t>PR</t>
        </is>
      </c>
      <c r="E1482" s="9" t="inlineStr">
        <is>
          <t>Public</t>
        </is>
      </c>
      <c r="F1482" s="11" t="n">
        <v>10176</v>
      </c>
      <c r="G1482" s="11" t="n">
        <v>30958</v>
      </c>
      <c r="H1482" s="9">
        <f>COUNTIF($G$5:$G$1531,"&gt;"&amp;G1482)+1</f>
        <v/>
      </c>
      <c r="I1482" s="9" t="inlineStr"/>
      <c r="J1482" s="11">
        <f>IF(E1482="Private",F1482,"")</f>
        <v/>
      </c>
      <c r="K1482" s="11">
        <f>IF(E1482="Private",G1482,"")</f>
        <v/>
      </c>
    </row>
    <row r="1483">
      <c r="A1483" s="9" t="n">
        <v>242653</v>
      </c>
      <c r="B1483" s="9" t="inlineStr">
        <is>
          <t>Inter American University of Puerto Rico-Metro</t>
        </is>
      </c>
      <c r="C1483" s="9" t="inlineStr">
        <is>
          <t>San Juan</t>
        </is>
      </c>
      <c r="D1483" s="9" t="inlineStr">
        <is>
          <t>PR</t>
        </is>
      </c>
      <c r="E1483" s="9" t="inlineStr">
        <is>
          <t>Private</t>
        </is>
      </c>
      <c r="F1483" s="11" t="n">
        <v>9788</v>
      </c>
      <c r="G1483" s="11" t="n">
        <v>30821</v>
      </c>
      <c r="H1483" s="9">
        <f>COUNTIF($G$5:$G$1531,"&gt;"&amp;G1483)+1</f>
        <v/>
      </c>
      <c r="I1483" s="9" t="inlineStr"/>
      <c r="J1483" s="11">
        <f>IF(E1483="Private",F1483,"")</f>
        <v/>
      </c>
      <c r="K1483" s="11">
        <f>IF(E1483="Private",G1483,"")</f>
        <v/>
      </c>
    </row>
    <row r="1484">
      <c r="A1484" s="9" t="n">
        <v>243142</v>
      </c>
      <c r="B1484" s="9" t="inlineStr">
        <is>
          <t>University of Puerto Rico-Carolina</t>
        </is>
      </c>
      <c r="C1484" s="9" t="inlineStr">
        <is>
          <t>Carolina</t>
        </is>
      </c>
      <c r="D1484" s="9" t="inlineStr">
        <is>
          <t>PR</t>
        </is>
      </c>
      <c r="E1484" s="9" t="inlineStr">
        <is>
          <t>Public</t>
        </is>
      </c>
      <c r="F1484" s="11" t="n">
        <v>12945</v>
      </c>
      <c r="G1484" s="11" t="n">
        <v>30626</v>
      </c>
      <c r="H1484" s="9">
        <f>COUNTIF($G$5:$G$1531,"&gt;"&amp;G1484)+1</f>
        <v/>
      </c>
      <c r="I1484" s="9" t="inlineStr"/>
      <c r="J1484" s="11">
        <f>IF(E1484="Private",F1484,"")</f>
        <v/>
      </c>
      <c r="K1484" s="11">
        <f>IF(E1484="Private",G1484,"")</f>
        <v/>
      </c>
    </row>
    <row r="1485">
      <c r="A1485" s="9" t="n">
        <v>218399</v>
      </c>
      <c r="B1485" s="9" t="inlineStr">
        <is>
          <t>Morris College</t>
        </is>
      </c>
      <c r="C1485" s="9" t="inlineStr">
        <is>
          <t>Sumter</t>
        </is>
      </c>
      <c r="D1485" s="9" t="inlineStr">
        <is>
          <t>SC</t>
        </is>
      </c>
      <c r="E1485" s="9" t="inlineStr">
        <is>
          <t>Private</t>
        </is>
      </c>
      <c r="F1485" s="11" t="n">
        <v>20555</v>
      </c>
      <c r="G1485" s="11" t="n">
        <v>30614</v>
      </c>
      <c r="H1485" s="9">
        <f>COUNTIF($G$5:$G$1531,"&gt;"&amp;G1485)+1</f>
        <v/>
      </c>
      <c r="I1485" s="9" t="inlineStr"/>
      <c r="J1485" s="11">
        <f>IF(E1485="Private",F1485,"")</f>
        <v/>
      </c>
      <c r="K1485" s="11">
        <f>IF(E1485="Private",G1485,"")</f>
        <v/>
      </c>
    </row>
    <row r="1486">
      <c r="A1486" s="9" t="n">
        <v>231095</v>
      </c>
      <c r="B1486" s="9" t="inlineStr">
        <is>
          <t>Sterling College (Craftsbury Common, VT)</t>
        </is>
      </c>
      <c r="C1486" s="9" t="inlineStr">
        <is>
          <t>Craftsbury Common</t>
        </is>
      </c>
      <c r="D1486" s="9" t="inlineStr">
        <is>
          <t>VT</t>
        </is>
      </c>
      <c r="E1486" s="9" t="inlineStr">
        <is>
          <t>Private</t>
        </is>
      </c>
      <c r="F1486" s="11" t="n">
        <v>21854</v>
      </c>
      <c r="G1486" s="11" t="n">
        <v>30573</v>
      </c>
      <c r="H1486" s="9">
        <f>COUNTIF($G$5:$G$1531,"&gt;"&amp;G1486)+1</f>
        <v/>
      </c>
      <c r="I1486" s="9" t="inlineStr"/>
      <c r="J1486" s="11">
        <f>IF(E1486="Private",F1486,"")</f>
        <v/>
      </c>
      <c r="K1486" s="11">
        <f>IF(E1486="Private",G1486,"")</f>
        <v/>
      </c>
    </row>
    <row r="1487">
      <c r="A1487" s="9" t="n">
        <v>243115</v>
      </c>
      <c r="B1487" s="9" t="inlineStr">
        <is>
          <t>University of Puerto Rico-Arecibo</t>
        </is>
      </c>
      <c r="C1487" s="9" t="inlineStr">
        <is>
          <t>Arecibo</t>
        </is>
      </c>
      <c r="D1487" s="9" t="inlineStr">
        <is>
          <t>PR</t>
        </is>
      </c>
      <c r="E1487" s="9" t="inlineStr">
        <is>
          <t>Public</t>
        </is>
      </c>
      <c r="F1487" s="11" t="n">
        <v>10680</v>
      </c>
      <c r="G1487" s="11" t="n">
        <v>30512</v>
      </c>
      <c r="H1487" s="9">
        <f>COUNTIF($G$5:$G$1531,"&gt;"&amp;G1487)+1</f>
        <v/>
      </c>
      <c r="I1487" s="9" t="inlineStr"/>
      <c r="J1487" s="11">
        <f>IF(E1487="Private",F1487,"")</f>
        <v/>
      </c>
      <c r="K1487" s="11">
        <f>IF(E1487="Private",G1487,"")</f>
        <v/>
      </c>
    </row>
    <row r="1488">
      <c r="A1488" s="9" t="n">
        <v>217624</v>
      </c>
      <c r="B1488" s="9" t="inlineStr">
        <is>
          <t>Allen University</t>
        </is>
      </c>
      <c r="C1488" s="9" t="inlineStr">
        <is>
          <t>Columbia</t>
        </is>
      </c>
      <c r="D1488" s="9" t="inlineStr">
        <is>
          <t>SC</t>
        </is>
      </c>
      <c r="E1488" s="9" t="inlineStr">
        <is>
          <t>Private</t>
        </is>
      </c>
      <c r="F1488" s="11" t="n">
        <v>10972</v>
      </c>
      <c r="G1488" s="11" t="n">
        <v>30497</v>
      </c>
      <c r="H1488" s="9">
        <f>COUNTIF($G$5:$G$1531,"&gt;"&amp;G1488)+1</f>
        <v/>
      </c>
      <c r="I1488" s="9" t="inlineStr"/>
      <c r="J1488" s="11">
        <f>IF(E1488="Private",F1488,"")</f>
        <v/>
      </c>
      <c r="K1488" s="11">
        <f>IF(E1488="Private",G1488,"")</f>
        <v/>
      </c>
    </row>
    <row r="1489">
      <c r="A1489" s="9" t="n">
        <v>217891</v>
      </c>
      <c r="B1489" s="9" t="inlineStr">
        <is>
          <t>Clinton College</t>
        </is>
      </c>
      <c r="C1489" s="9" t="inlineStr">
        <is>
          <t>Rock Hill</t>
        </is>
      </c>
      <c r="D1489" s="9" t="inlineStr">
        <is>
          <t>SC</t>
        </is>
      </c>
      <c r="E1489" s="9" t="inlineStr">
        <is>
          <t>Private</t>
        </is>
      </c>
      <c r="F1489" s="11" t="n">
        <v>11458</v>
      </c>
      <c r="G1489" s="11" t="n">
        <v>30180</v>
      </c>
      <c r="H1489" s="9">
        <f>COUNTIF($G$5:$G$1531,"&gt;"&amp;G1489)+1</f>
        <v/>
      </c>
      <c r="I1489" s="9" t="inlineStr"/>
      <c r="J1489" s="11">
        <f>IF(E1489="Private",F1489,"")</f>
        <v/>
      </c>
      <c r="K1489" s="11">
        <f>IF(E1489="Private",G1489,"")</f>
        <v/>
      </c>
    </row>
    <row r="1490">
      <c r="A1490" s="9" t="n">
        <v>144883</v>
      </c>
      <c r="B1490" s="9" t="inlineStr">
        <is>
          <t>East-West University</t>
        </is>
      </c>
      <c r="C1490" s="9" t="inlineStr">
        <is>
          <t>Chicago</t>
        </is>
      </c>
      <c r="D1490" s="9" t="inlineStr">
        <is>
          <t>IL</t>
        </is>
      </c>
      <c r="E1490" s="9" t="inlineStr">
        <is>
          <t>Private</t>
        </is>
      </c>
      <c r="F1490" s="11" t="n">
        <v>21697</v>
      </c>
      <c r="G1490" s="11" t="n">
        <v>29963</v>
      </c>
      <c r="H1490" s="9">
        <f>COUNTIF($G$5:$G$1531,"&gt;"&amp;G1490)+1</f>
        <v/>
      </c>
      <c r="I1490" s="9" t="inlineStr"/>
      <c r="J1490" s="11">
        <f>IF(E1490="Private",F1490,"")</f>
        <v/>
      </c>
      <c r="K1490" s="11">
        <f>IF(E1490="Private",G1490,"")</f>
        <v/>
      </c>
    </row>
    <row r="1491">
      <c r="A1491" s="9" t="n">
        <v>242705</v>
      </c>
      <c r="B1491" s="9" t="inlineStr">
        <is>
          <t>Inter American University of Puerto Rico-Bayamon</t>
        </is>
      </c>
      <c r="C1491" s="9" t="inlineStr">
        <is>
          <t>Bayamon</t>
        </is>
      </c>
      <c r="D1491" s="9" t="inlineStr">
        <is>
          <t>PR</t>
        </is>
      </c>
      <c r="E1491" s="9" t="inlineStr">
        <is>
          <t>Private</t>
        </is>
      </c>
      <c r="F1491" s="11" t="n">
        <v>9284</v>
      </c>
      <c r="G1491" s="11" t="n">
        <v>29936</v>
      </c>
      <c r="H1491" s="9">
        <f>COUNTIF($G$5:$G$1531,"&gt;"&amp;G1491)+1</f>
        <v/>
      </c>
      <c r="I1491" s="9" t="inlineStr"/>
      <c r="J1491" s="11">
        <f>IF(E1491="Private",F1491,"")</f>
        <v/>
      </c>
      <c r="K1491" s="11">
        <f>IF(E1491="Private",G1491,"")</f>
        <v/>
      </c>
    </row>
    <row r="1492">
      <c r="A1492" s="9" t="n">
        <v>247649</v>
      </c>
      <c r="B1492" s="9" t="inlineStr">
        <is>
          <t>Landmark College</t>
        </is>
      </c>
      <c r="C1492" s="9" t="inlineStr">
        <is>
          <t>Putney</t>
        </is>
      </c>
      <c r="D1492" s="9" t="inlineStr">
        <is>
          <t>VT</t>
        </is>
      </c>
      <c r="E1492" s="9" t="inlineStr">
        <is>
          <t>Private</t>
        </is>
      </c>
      <c r="F1492" s="11" t="n">
        <v>56954</v>
      </c>
      <c r="G1492" s="11" t="n">
        <v>29813</v>
      </c>
      <c r="H1492" s="9">
        <f>COUNTIF($G$5:$G$1531,"&gt;"&amp;G1492)+1</f>
        <v/>
      </c>
      <c r="I1492" s="9" t="inlineStr"/>
      <c r="J1492" s="11">
        <f>IF(E1492="Private",F1492,"")</f>
        <v/>
      </c>
      <c r="K1492" s="11">
        <f>IF(E1492="Private",G1492,"")</f>
        <v/>
      </c>
    </row>
    <row r="1493">
      <c r="A1493" s="9" t="n">
        <v>243179</v>
      </c>
      <c r="B1493" s="9" t="inlineStr">
        <is>
          <t>University of Puerto Rico-Humacao</t>
        </is>
      </c>
      <c r="C1493" s="9" t="inlineStr">
        <is>
          <t>Humacao</t>
        </is>
      </c>
      <c r="D1493" s="9" t="inlineStr">
        <is>
          <t>PR</t>
        </is>
      </c>
      <c r="E1493" s="9" t="inlineStr">
        <is>
          <t>Public</t>
        </is>
      </c>
      <c r="F1493" s="11" t="n">
        <v>12675</v>
      </c>
      <c r="G1493" s="11" t="n">
        <v>29521</v>
      </c>
      <c r="H1493" s="9">
        <f>COUNTIF($G$5:$G$1531,"&gt;"&amp;G1493)+1</f>
        <v/>
      </c>
      <c r="I1493" s="9" t="inlineStr"/>
      <c r="J1493" s="11">
        <f>IF(E1493="Private",F1493,"")</f>
        <v/>
      </c>
      <c r="K1493" s="11">
        <f>IF(E1493="Private",G1493,"")</f>
        <v/>
      </c>
    </row>
    <row r="1494">
      <c r="A1494" s="9" t="n">
        <v>384254</v>
      </c>
      <c r="B1494" s="9" t="inlineStr">
        <is>
          <t>Beacon College</t>
        </is>
      </c>
      <c r="C1494" s="9" t="inlineStr">
        <is>
          <t>Leesburg</t>
        </is>
      </c>
      <c r="D1494" s="9" t="inlineStr">
        <is>
          <t>FL</t>
        </is>
      </c>
      <c r="E1494" s="9" t="inlineStr">
        <is>
          <t>Private</t>
        </is>
      </c>
      <c r="F1494" s="11" t="n">
        <v>53517</v>
      </c>
      <c r="G1494" s="11" t="n">
        <v>29420</v>
      </c>
      <c r="H1494" s="9">
        <f>COUNTIF($G$5:$G$1531,"&gt;"&amp;G1494)+1</f>
        <v/>
      </c>
      <c r="I1494" s="9" t="inlineStr"/>
      <c r="J1494" s="11">
        <f>IF(E1494="Private",F1494,"")</f>
        <v/>
      </c>
      <c r="K1494" s="11">
        <f>IF(E1494="Private",G1494,"")</f>
        <v/>
      </c>
    </row>
    <row r="1495">
      <c r="A1495" s="9" t="n">
        <v>227429</v>
      </c>
      <c r="B1495" s="9" t="inlineStr">
        <is>
          <t>Paul Quinn College</t>
        </is>
      </c>
      <c r="C1495" s="9" t="inlineStr">
        <is>
          <t>Dallas</t>
        </is>
      </c>
      <c r="D1495" s="9" t="inlineStr">
        <is>
          <t>TX</t>
        </is>
      </c>
      <c r="E1495" s="9" t="inlineStr">
        <is>
          <t>Private</t>
        </is>
      </c>
      <c r="F1495" s="11" t="n">
        <v>12709</v>
      </c>
      <c r="G1495" s="11" t="n">
        <v>29288</v>
      </c>
      <c r="H1495" s="9">
        <f>COUNTIF($G$5:$G$1531,"&gt;"&amp;G1495)+1</f>
        <v/>
      </c>
      <c r="I1495" s="9" t="inlineStr"/>
      <c r="J1495" s="11">
        <f>IF(E1495="Private",F1495,"")</f>
        <v/>
      </c>
      <c r="K1495" s="11">
        <f>IF(E1495="Private",G1495,"")</f>
        <v/>
      </c>
    </row>
    <row r="1496">
      <c r="A1496" s="9" t="n">
        <v>127653</v>
      </c>
      <c r="B1496" s="9" t="inlineStr">
        <is>
          <t>Naropa University</t>
        </is>
      </c>
      <c r="C1496" s="9" t="inlineStr">
        <is>
          <t>Boulder</t>
        </is>
      </c>
      <c r="D1496" s="9" t="inlineStr">
        <is>
          <t>CO</t>
        </is>
      </c>
      <c r="E1496" s="9" t="inlineStr">
        <is>
          <t>Private</t>
        </is>
      </c>
      <c r="F1496" s="11" t="n">
        <v>29179</v>
      </c>
      <c r="G1496" s="11" t="n">
        <v>28720</v>
      </c>
      <c r="H1496" s="9">
        <f>COUNTIF($G$5:$G$1531,"&gt;"&amp;G1496)+1</f>
        <v/>
      </c>
      <c r="I1496" s="9" t="inlineStr"/>
      <c r="J1496" s="11">
        <f>IF(E1496="Private",F1496,"")</f>
        <v/>
      </c>
      <c r="K1496" s="11">
        <f>IF(E1496="Private",G1496,"")</f>
        <v/>
      </c>
    </row>
    <row r="1497">
      <c r="A1497" s="9" t="n">
        <v>241191</v>
      </c>
      <c r="B1497" s="9" t="inlineStr">
        <is>
          <t>Universidad Adventista de las Antillas</t>
        </is>
      </c>
      <c r="C1497" s="9" t="inlineStr">
        <is>
          <t>Mayaguez</t>
        </is>
      </c>
      <c r="D1497" s="9" t="inlineStr">
        <is>
          <t>PR</t>
        </is>
      </c>
      <c r="E1497" s="9" t="inlineStr">
        <is>
          <t>Private</t>
        </is>
      </c>
      <c r="F1497" s="11" t="n">
        <v>9919</v>
      </c>
      <c r="G1497" s="11" t="n">
        <v>28465</v>
      </c>
      <c r="H1497" s="9">
        <f>COUNTIF($G$5:$G$1531,"&gt;"&amp;G1497)+1</f>
        <v/>
      </c>
      <c r="I1497" s="9" t="inlineStr"/>
      <c r="J1497" s="11">
        <f>IF(E1497="Private",F1497,"")</f>
        <v/>
      </c>
      <c r="K1497" s="11">
        <f>IF(E1497="Private",G1497,"")</f>
        <v/>
      </c>
    </row>
    <row r="1498">
      <c r="A1498" s="9" t="n">
        <v>106306</v>
      </c>
      <c r="B1498" s="9" t="inlineStr">
        <is>
          <t>Arkansas Baptist College</t>
        </is>
      </c>
      <c r="C1498" s="9" t="inlineStr">
        <is>
          <t>Little Rock</t>
        </is>
      </c>
      <c r="D1498" s="9" t="inlineStr">
        <is>
          <t>AR</t>
        </is>
      </c>
      <c r="E1498" s="9" t="inlineStr">
        <is>
          <t>Private</t>
        </is>
      </c>
      <c r="F1498" s="11" t="n">
        <v>10627</v>
      </c>
      <c r="G1498" s="11" t="n">
        <v>28418</v>
      </c>
      <c r="H1498" s="9">
        <f>COUNTIF($G$5:$G$1531,"&gt;"&amp;G1498)+1</f>
        <v/>
      </c>
      <c r="I1498" s="9" t="inlineStr"/>
      <c r="J1498" s="11">
        <f>IF(E1498="Private",F1498,"")</f>
        <v/>
      </c>
      <c r="K1498" s="11">
        <f>IF(E1498="Private",G1498,"")</f>
        <v/>
      </c>
    </row>
    <row r="1499">
      <c r="A1499" s="9" t="n">
        <v>234137</v>
      </c>
      <c r="B1499" s="9" t="inlineStr">
        <is>
          <t>Virginia University of Lynchburg</t>
        </is>
      </c>
      <c r="C1499" s="9" t="inlineStr">
        <is>
          <t>Lynchburg</t>
        </is>
      </c>
      <c r="D1499" s="9" t="inlineStr">
        <is>
          <t>VA</t>
        </is>
      </c>
      <c r="E1499" s="9" t="inlineStr">
        <is>
          <t>Private</t>
        </is>
      </c>
      <c r="F1499" s="11" t="n">
        <v>21253</v>
      </c>
      <c r="G1499" s="11" t="n">
        <v>28396</v>
      </c>
      <c r="H1499" s="9">
        <f>COUNTIF($G$5:$G$1531,"&gt;"&amp;G1499)+1</f>
        <v/>
      </c>
      <c r="I1499" s="9" t="inlineStr"/>
      <c r="J1499" s="11">
        <f>IF(E1499="Private",F1499,"")</f>
        <v/>
      </c>
      <c r="K1499" s="11">
        <f>IF(E1499="Private",G1499,"")</f>
        <v/>
      </c>
    </row>
    <row r="1500">
      <c r="A1500" s="9" t="n">
        <v>243106</v>
      </c>
      <c r="B1500" s="9" t="inlineStr">
        <is>
          <t>University of Puerto Rico-Aguadilla</t>
        </is>
      </c>
      <c r="C1500" s="9" t="inlineStr">
        <is>
          <t>Aguadilla</t>
        </is>
      </c>
      <c r="D1500" s="9" t="inlineStr">
        <is>
          <t>PR</t>
        </is>
      </c>
      <c r="E1500" s="9" t="inlineStr">
        <is>
          <t>Public</t>
        </is>
      </c>
      <c r="F1500" s="11" t="n">
        <v>7765</v>
      </c>
      <c r="G1500" s="11" t="n">
        <v>27997</v>
      </c>
      <c r="H1500" s="9">
        <f>COUNTIF($G$5:$G$1531,"&gt;"&amp;G1500)+1</f>
        <v/>
      </c>
      <c r="I1500" s="9" t="inlineStr"/>
      <c r="J1500" s="11">
        <f>IF(E1500="Private",F1500,"")</f>
        <v/>
      </c>
      <c r="K1500" s="11">
        <f>IF(E1500="Private",G1500,"")</f>
        <v/>
      </c>
    </row>
    <row r="1501">
      <c r="A1501" s="9" t="n">
        <v>153861</v>
      </c>
      <c r="B1501" s="9" t="inlineStr">
        <is>
          <t>Maharishi International University</t>
        </is>
      </c>
      <c r="C1501" s="9" t="inlineStr">
        <is>
          <t>Fairfield</t>
        </is>
      </c>
      <c r="D1501" s="9" t="inlineStr">
        <is>
          <t>IA</t>
        </is>
      </c>
      <c r="E1501" s="9" t="inlineStr">
        <is>
          <t>Private</t>
        </is>
      </c>
      <c r="F1501" s="11" t="n">
        <v>14956</v>
      </c>
      <c r="G1501" s="11" t="n">
        <v>27981</v>
      </c>
      <c r="H1501" s="9">
        <f>COUNTIF($G$5:$G$1531,"&gt;"&amp;G1501)+1</f>
        <v/>
      </c>
      <c r="I1501" s="9" t="inlineStr"/>
      <c r="J1501" s="11">
        <f>IF(E1501="Private",F1501,"")</f>
        <v/>
      </c>
      <c r="K1501" s="11">
        <f>IF(E1501="Private",G1501,"")</f>
        <v/>
      </c>
    </row>
    <row r="1502">
      <c r="A1502" s="9" t="n">
        <v>240790</v>
      </c>
      <c r="B1502" s="9" t="inlineStr">
        <is>
          <t>Northern Marianas College</t>
        </is>
      </c>
      <c r="C1502" s="9" t="inlineStr">
        <is>
          <t>Saipan</t>
        </is>
      </c>
      <c r="D1502" s="9" t="inlineStr">
        <is>
          <t>MP</t>
        </is>
      </c>
      <c r="E1502" s="9" t="inlineStr">
        <is>
          <t>Public</t>
        </is>
      </c>
      <c r="F1502" s="11" t="n">
        <v>2789</v>
      </c>
      <c r="G1502" s="11" t="n">
        <v>27836</v>
      </c>
      <c r="H1502" s="9">
        <f>COUNTIF($G$5:$G$1531,"&gt;"&amp;G1502)+1</f>
        <v/>
      </c>
      <c r="I1502" s="9" t="inlineStr"/>
      <c r="J1502" s="11">
        <f>IF(E1502="Private",F1502,"")</f>
        <v/>
      </c>
      <c r="K1502" s="11">
        <f>IF(E1502="Private",G1502,"")</f>
        <v/>
      </c>
    </row>
    <row r="1503">
      <c r="A1503" s="9" t="n">
        <v>176336</v>
      </c>
      <c r="B1503" s="9" t="inlineStr">
        <is>
          <t>Southeastern Baptist College</t>
        </is>
      </c>
      <c r="C1503" s="9" t="inlineStr">
        <is>
          <t>Laurel</t>
        </is>
      </c>
      <c r="D1503" s="9" t="inlineStr">
        <is>
          <t>MS</t>
        </is>
      </c>
      <c r="E1503" s="9" t="inlineStr">
        <is>
          <t>Private</t>
        </is>
      </c>
      <c r="F1503" s="11" t="n">
        <v>8138</v>
      </c>
      <c r="G1503" s="11" t="n">
        <v>26946</v>
      </c>
      <c r="H1503" s="9">
        <f>COUNTIF($G$5:$G$1531,"&gt;"&amp;G1503)+1</f>
        <v/>
      </c>
      <c r="I1503" s="9" t="inlineStr"/>
      <c r="J1503" s="11">
        <f>IF(E1503="Private",F1503,"")</f>
        <v/>
      </c>
      <c r="K1503" s="11">
        <f>IF(E1503="Private",G1503,"")</f>
        <v/>
      </c>
    </row>
    <row r="1504">
      <c r="A1504" s="9" t="n">
        <v>242662</v>
      </c>
      <c r="B1504" s="9" t="inlineStr">
        <is>
          <t>Inter American University of Puerto Rico-Ponce</t>
        </is>
      </c>
      <c r="C1504" s="9" t="inlineStr">
        <is>
          <t>Mercedita</t>
        </is>
      </c>
      <c r="D1504" s="9" t="inlineStr">
        <is>
          <t>PR</t>
        </is>
      </c>
      <c r="E1504" s="9" t="inlineStr">
        <is>
          <t>Private</t>
        </is>
      </c>
      <c r="F1504" s="11" t="n">
        <v>9026</v>
      </c>
      <c r="G1504" s="11" t="n">
        <v>26721</v>
      </c>
      <c r="H1504" s="9">
        <f>COUNTIF($G$5:$G$1531,"&gt;"&amp;G1504)+1</f>
        <v/>
      </c>
      <c r="I1504" s="9" t="inlineStr"/>
      <c r="J1504" s="11">
        <f>IF(E1504="Private",F1504,"")</f>
        <v/>
      </c>
      <c r="K1504" s="11">
        <f>IF(E1504="Private",G1504,"")</f>
        <v/>
      </c>
    </row>
    <row r="1505">
      <c r="A1505" s="9" t="n">
        <v>241720</v>
      </c>
      <c r="B1505" s="9" t="inlineStr">
        <is>
          <t>Colegio Universitario de San Juan</t>
        </is>
      </c>
      <c r="C1505" s="9" t="inlineStr">
        <is>
          <t>San Juan</t>
        </is>
      </c>
      <c r="D1505" s="9" t="inlineStr">
        <is>
          <t>PR</t>
        </is>
      </c>
      <c r="E1505" s="9" t="inlineStr">
        <is>
          <t>Public</t>
        </is>
      </c>
      <c r="F1505" s="11" t="n">
        <v>-778</v>
      </c>
      <c r="G1505" s="11" t="n">
        <v>26510</v>
      </c>
      <c r="H1505" s="9">
        <f>COUNTIF($G$5:$G$1531,"&gt;"&amp;G1505)+1</f>
        <v/>
      </c>
      <c r="I1505" s="9" t="inlineStr"/>
      <c r="J1505" s="11">
        <f>IF(E1505="Private",F1505,"")</f>
        <v/>
      </c>
      <c r="K1505" s="11">
        <f>IF(E1505="Private",G1505,"")</f>
        <v/>
      </c>
    </row>
    <row r="1506">
      <c r="A1506" s="9" t="n">
        <v>243601</v>
      </c>
      <c r="B1506" s="9" t="inlineStr">
        <is>
          <t>Universidad Ana G. Mendez-Gurabo Campus</t>
        </is>
      </c>
      <c r="C1506" s="9" t="inlineStr">
        <is>
          <t>Gurabo</t>
        </is>
      </c>
      <c r="D1506" s="9" t="inlineStr">
        <is>
          <t>PR</t>
        </is>
      </c>
      <c r="E1506" s="9" t="inlineStr">
        <is>
          <t>Private</t>
        </is>
      </c>
      <c r="F1506" s="11" t="n">
        <v>7051</v>
      </c>
      <c r="G1506" s="11" t="n">
        <v>26223</v>
      </c>
      <c r="H1506" s="9">
        <f>COUNTIF($G$5:$G$1531,"&gt;"&amp;G1506)+1</f>
        <v/>
      </c>
      <c r="I1506" s="9" t="inlineStr"/>
      <c r="J1506" s="11">
        <f>IF(E1506="Private",F1506,"")</f>
        <v/>
      </c>
      <c r="K1506" s="11">
        <f>IF(E1506="Private",G1506,"")</f>
        <v/>
      </c>
    </row>
    <row r="1507">
      <c r="A1507" s="9" t="n">
        <v>242699</v>
      </c>
      <c r="B1507" s="9" t="inlineStr">
        <is>
          <t>Inter American University of Puerto Rico-Guayama</t>
        </is>
      </c>
      <c r="C1507" s="9" t="inlineStr">
        <is>
          <t>Guayama</t>
        </is>
      </c>
      <c r="D1507" s="9" t="inlineStr">
        <is>
          <t>PR</t>
        </is>
      </c>
      <c r="E1507" s="9" t="inlineStr">
        <is>
          <t>Private</t>
        </is>
      </c>
      <c r="F1507" s="11" t="n">
        <v>9316</v>
      </c>
      <c r="G1507" s="11" t="n">
        <v>25827</v>
      </c>
      <c r="H1507" s="9">
        <f>COUNTIF($G$5:$G$1531,"&gt;"&amp;G1507)+1</f>
        <v/>
      </c>
      <c r="I1507" s="9" t="inlineStr"/>
      <c r="J1507" s="11">
        <f>IF(E1507="Private",F1507,"")</f>
        <v/>
      </c>
      <c r="K1507" s="11">
        <f>IF(E1507="Private",G1507,"")</f>
        <v/>
      </c>
    </row>
    <row r="1508">
      <c r="A1508" s="9" t="n">
        <v>242617</v>
      </c>
      <c r="B1508" s="9" t="inlineStr">
        <is>
          <t>Inter American University of Puerto Rico-San German</t>
        </is>
      </c>
      <c r="C1508" s="9" t="inlineStr">
        <is>
          <t>San German</t>
        </is>
      </c>
      <c r="D1508" s="9" t="inlineStr">
        <is>
          <t>PR</t>
        </is>
      </c>
      <c r="E1508" s="9" t="inlineStr">
        <is>
          <t>Private</t>
        </is>
      </c>
      <c r="F1508" s="11" t="n">
        <v>9148</v>
      </c>
      <c r="G1508" s="11" t="n">
        <v>25416</v>
      </c>
      <c r="H1508" s="9">
        <f>COUNTIF($G$5:$G$1531,"&gt;"&amp;G1508)+1</f>
        <v/>
      </c>
      <c r="I1508" s="9" t="inlineStr"/>
      <c r="J1508" s="11">
        <f>IF(E1508="Private",F1508,"")</f>
        <v/>
      </c>
      <c r="K1508" s="11">
        <f>IF(E1508="Private",G1508,"")</f>
        <v/>
      </c>
    </row>
    <row r="1509">
      <c r="A1509" s="9" t="n">
        <v>241216</v>
      </c>
      <c r="B1509" s="9" t="inlineStr">
        <is>
          <t>Atlantic University</t>
        </is>
      </c>
      <c r="C1509" s="9" t="inlineStr">
        <is>
          <t>Guaynabo</t>
        </is>
      </c>
      <c r="D1509" s="9" t="inlineStr">
        <is>
          <t>PR</t>
        </is>
      </c>
      <c r="E1509" s="9" t="inlineStr">
        <is>
          <t>Private</t>
        </is>
      </c>
      <c r="F1509" s="11" t="n">
        <v>6425</v>
      </c>
      <c r="G1509" s="11" t="n">
        <v>25272</v>
      </c>
      <c r="H1509" s="9">
        <f>COUNTIF($G$5:$G$1531,"&gt;"&amp;G1509)+1</f>
        <v/>
      </c>
      <c r="I1509" s="9" t="inlineStr"/>
      <c r="J1509" s="11">
        <f>IF(E1509="Private",F1509,"")</f>
        <v/>
      </c>
      <c r="K1509" s="11">
        <f>IF(E1509="Private",G1509,"")</f>
        <v/>
      </c>
    </row>
    <row r="1510">
      <c r="A1510" s="9" t="n">
        <v>241225</v>
      </c>
      <c r="B1510" s="9" t="inlineStr">
        <is>
          <t>Universidad Central de Bayamon</t>
        </is>
      </c>
      <c r="C1510" s="9" t="inlineStr">
        <is>
          <t>Bayamón</t>
        </is>
      </c>
      <c r="D1510" s="9" t="inlineStr">
        <is>
          <t>PR</t>
        </is>
      </c>
      <c r="E1510" s="9" t="inlineStr">
        <is>
          <t>Private</t>
        </is>
      </c>
      <c r="F1510" s="11" t="n">
        <v>4827</v>
      </c>
      <c r="G1510" s="11" t="n">
        <v>25021</v>
      </c>
      <c r="H1510" s="9">
        <f>COUNTIF($G$5:$G$1531,"&gt;"&amp;G1510)+1</f>
        <v/>
      </c>
      <c r="I1510" s="9" t="inlineStr"/>
      <c r="J1510" s="11">
        <f>IF(E1510="Private",F1510,"")</f>
        <v/>
      </c>
      <c r="K1510" s="11">
        <f>IF(E1510="Private",G1510,"")</f>
        <v/>
      </c>
    </row>
    <row r="1511">
      <c r="A1511" s="9" t="n">
        <v>243586</v>
      </c>
      <c r="B1511" s="9" t="inlineStr">
        <is>
          <t>Pontifical Catholic University of Puerto Rico-Mayaguez</t>
        </is>
      </c>
      <c r="C1511" s="9" t="inlineStr">
        <is>
          <t>Mayaguez</t>
        </is>
      </c>
      <c r="D1511" s="9" t="inlineStr">
        <is>
          <t>PR</t>
        </is>
      </c>
      <c r="E1511" s="9" t="inlineStr">
        <is>
          <t>Private</t>
        </is>
      </c>
      <c r="F1511" s="11" t="n">
        <v>11502</v>
      </c>
      <c r="G1511" s="11" t="n">
        <v>24908</v>
      </c>
      <c r="H1511" s="9">
        <f>COUNTIF($G$5:$G$1531,"&gt;"&amp;G1511)+1</f>
        <v/>
      </c>
      <c r="I1511" s="9" t="inlineStr"/>
      <c r="J1511" s="11">
        <f>IF(E1511="Private",F1511,"")</f>
        <v/>
      </c>
      <c r="K1511" s="11">
        <f>IF(E1511="Private",G1511,"")</f>
        <v/>
      </c>
    </row>
    <row r="1512">
      <c r="A1512" s="9" t="n">
        <v>241410</v>
      </c>
      <c r="B1512" s="9" t="inlineStr">
        <is>
          <t>Pontifical Catholic University of Puerto Rico-Ponce</t>
        </is>
      </c>
      <c r="C1512" s="9" t="inlineStr">
        <is>
          <t>Ponce</t>
        </is>
      </c>
      <c r="D1512" s="9" t="inlineStr">
        <is>
          <t>PR</t>
        </is>
      </c>
      <c r="E1512" s="9" t="inlineStr">
        <is>
          <t>Private</t>
        </is>
      </c>
      <c r="F1512" s="11" t="n">
        <v>13192</v>
      </c>
      <c r="G1512" s="11" t="n">
        <v>24908</v>
      </c>
      <c r="H1512" s="9">
        <f>COUNTIF($G$5:$G$1531,"&gt;"&amp;G1512)+1</f>
        <v/>
      </c>
      <c r="I1512" s="9" t="inlineStr"/>
      <c r="J1512" s="11">
        <f>IF(E1512="Private",F1512,"")</f>
        <v/>
      </c>
      <c r="K1512" s="11">
        <f>IF(E1512="Private",G1512,"")</f>
        <v/>
      </c>
    </row>
    <row r="1513">
      <c r="A1513" s="9" t="n">
        <v>241395</v>
      </c>
      <c r="B1513" s="9" t="inlineStr">
        <is>
          <t>Pontifical Catholic University of Puerto Rico-Arecibo</t>
        </is>
      </c>
      <c r="C1513" s="9" t="inlineStr">
        <is>
          <t>Arecibo</t>
        </is>
      </c>
      <c r="D1513" s="9" t="inlineStr">
        <is>
          <t>PR</t>
        </is>
      </c>
      <c r="E1513" s="9" t="inlineStr">
        <is>
          <t>Private</t>
        </is>
      </c>
      <c r="F1513" s="11" t="n">
        <v>11117</v>
      </c>
      <c r="G1513" s="11" t="n">
        <v>24908</v>
      </c>
      <c r="H1513" s="9">
        <f>COUNTIF($G$5:$G$1531,"&gt;"&amp;G1513)+1</f>
        <v/>
      </c>
      <c r="I1513" s="9" t="inlineStr"/>
      <c r="J1513" s="11">
        <f>IF(E1513="Private",F1513,"")</f>
        <v/>
      </c>
      <c r="K1513" s="11">
        <f>IF(E1513="Private",G1513,"")</f>
        <v/>
      </c>
    </row>
    <row r="1514">
      <c r="A1514" s="9" t="n">
        <v>377661</v>
      </c>
      <c r="B1514" s="9" t="inlineStr">
        <is>
          <t>Valley College-Martinsburg</t>
        </is>
      </c>
      <c r="C1514" s="9" t="inlineStr">
        <is>
          <t>Martinsburg</t>
        </is>
      </c>
      <c r="D1514" s="9" t="inlineStr">
        <is>
          <t>WV</t>
        </is>
      </c>
      <c r="E1514" s="9" t="inlineStr">
        <is>
          <t>Private</t>
        </is>
      </c>
      <c r="F1514" s="11" t="n">
        <v>25751</v>
      </c>
      <c r="G1514" s="11" t="n">
        <v>24900</v>
      </c>
      <c r="H1514" s="9">
        <f>COUNTIF($G$5:$G$1531,"&gt;"&amp;G1514)+1</f>
        <v/>
      </c>
      <c r="I1514" s="9" t="inlineStr"/>
      <c r="J1514" s="11">
        <f>IF(E1514="Private",F1514,"")</f>
        <v/>
      </c>
      <c r="K1514" s="11">
        <f>IF(E1514="Private",G1514,"")</f>
        <v/>
      </c>
    </row>
    <row r="1515">
      <c r="A1515" s="9" t="n">
        <v>242626</v>
      </c>
      <c r="B1515" s="9" t="inlineStr">
        <is>
          <t>Inter American University of Puerto Rico-Aguadilla</t>
        </is>
      </c>
      <c r="C1515" s="9" t="inlineStr">
        <is>
          <t>Aguadilla</t>
        </is>
      </c>
      <c r="D1515" s="9" t="inlineStr">
        <is>
          <t>PR</t>
        </is>
      </c>
      <c r="E1515" s="9" t="inlineStr">
        <is>
          <t>Private</t>
        </is>
      </c>
      <c r="F1515" s="11" t="n">
        <v>8742</v>
      </c>
      <c r="G1515" s="11" t="n">
        <v>24776</v>
      </c>
      <c r="H1515" s="9">
        <f>COUNTIF($G$5:$G$1531,"&gt;"&amp;G1515)+1</f>
        <v/>
      </c>
      <c r="I1515" s="9" t="inlineStr"/>
      <c r="J1515" s="11">
        <f>IF(E1515="Private",F1515,"")</f>
        <v/>
      </c>
      <c r="K1515" s="11">
        <f>IF(E1515="Private",G1515,"")</f>
        <v/>
      </c>
    </row>
    <row r="1516">
      <c r="A1516" s="9" t="n">
        <v>242635</v>
      </c>
      <c r="B1516" s="9" t="inlineStr">
        <is>
          <t>Inter American University of Puerto Rico-Arecibo</t>
        </is>
      </c>
      <c r="C1516" s="9" t="inlineStr">
        <is>
          <t>Arecibo</t>
        </is>
      </c>
      <c r="D1516" s="9" t="inlineStr">
        <is>
          <t>PR</t>
        </is>
      </c>
      <c r="E1516" s="9" t="inlineStr">
        <is>
          <t>Private</t>
        </is>
      </c>
      <c r="F1516" s="11" t="n">
        <v>9217</v>
      </c>
      <c r="G1516" s="11" t="n">
        <v>24539</v>
      </c>
      <c r="H1516" s="9">
        <f>COUNTIF($G$5:$G$1531,"&gt;"&amp;G1516)+1</f>
        <v/>
      </c>
      <c r="I1516" s="9" t="inlineStr"/>
      <c r="J1516" s="11">
        <f>IF(E1516="Private",F1516,"")</f>
        <v/>
      </c>
      <c r="K1516" s="11">
        <f>IF(E1516="Private",G1516,"")</f>
        <v/>
      </c>
    </row>
    <row r="1517">
      <c r="A1517" s="9" t="n">
        <v>241739</v>
      </c>
      <c r="B1517" s="9" t="inlineStr">
        <is>
          <t>Universidad Ana G. Mendez-Cupey Campus</t>
        </is>
      </c>
      <c r="C1517" s="9" t="inlineStr">
        <is>
          <t>San Juan</t>
        </is>
      </c>
      <c r="D1517" s="9" t="inlineStr">
        <is>
          <t>PR</t>
        </is>
      </c>
      <c r="E1517" s="9" t="inlineStr">
        <is>
          <t>Private</t>
        </is>
      </c>
      <c r="F1517" s="11" t="n">
        <v>7646</v>
      </c>
      <c r="G1517" s="11" t="n">
        <v>24490</v>
      </c>
      <c r="H1517" s="9">
        <f>COUNTIF($G$5:$G$1531,"&gt;"&amp;G1517)+1</f>
        <v/>
      </c>
      <c r="I1517" s="9" t="inlineStr"/>
      <c r="J1517" s="11">
        <f>IF(E1517="Private",F1517,"")</f>
        <v/>
      </c>
      <c r="K1517" s="11">
        <f>IF(E1517="Private",G1517,"")</f>
        <v/>
      </c>
    </row>
    <row r="1518">
      <c r="A1518" s="9" t="n">
        <v>243346</v>
      </c>
      <c r="B1518" s="9" t="inlineStr">
        <is>
          <t>Universidad Ana G. Mendez-Carolina Campus</t>
        </is>
      </c>
      <c r="C1518" s="9" t="inlineStr">
        <is>
          <t>Carolina</t>
        </is>
      </c>
      <c r="D1518" s="9" t="inlineStr">
        <is>
          <t>PR</t>
        </is>
      </c>
      <c r="E1518" s="9" t="inlineStr">
        <is>
          <t>Private</t>
        </is>
      </c>
      <c r="F1518" s="11" t="n">
        <v>7761</v>
      </c>
      <c r="G1518" s="11" t="n">
        <v>24328</v>
      </c>
      <c r="H1518" s="9">
        <f>COUNTIF($G$5:$G$1531,"&gt;"&amp;G1518)+1</f>
        <v/>
      </c>
      <c r="I1518" s="9" t="inlineStr"/>
      <c r="J1518" s="11">
        <f>IF(E1518="Private",F1518,"")</f>
        <v/>
      </c>
      <c r="K1518" s="11">
        <f>IF(E1518="Private",G1518,"")</f>
        <v/>
      </c>
    </row>
    <row r="1519">
      <c r="A1519" s="9" t="n">
        <v>243188</v>
      </c>
      <c r="B1519" s="9" t="inlineStr">
        <is>
          <t>University of Puerto Rico-Utuado</t>
        </is>
      </c>
      <c r="C1519" s="9" t="inlineStr">
        <is>
          <t>Utuado</t>
        </is>
      </c>
      <c r="D1519" s="9" t="inlineStr">
        <is>
          <t>PR</t>
        </is>
      </c>
      <c r="E1519" s="9" t="inlineStr">
        <is>
          <t>Public</t>
        </is>
      </c>
      <c r="F1519" s="11" t="n">
        <v>13648</v>
      </c>
      <c r="G1519" s="11" t="n">
        <v>23906</v>
      </c>
      <c r="H1519" s="9">
        <f>COUNTIF($G$5:$G$1531,"&gt;"&amp;G1519)+1</f>
        <v/>
      </c>
      <c r="I1519" s="9" t="inlineStr"/>
      <c r="J1519" s="11">
        <f>IF(E1519="Private",F1519,"")</f>
        <v/>
      </c>
      <c r="K1519" s="11">
        <f>IF(E1519="Private",G1519,"")</f>
        <v/>
      </c>
    </row>
    <row r="1520">
      <c r="A1520" s="9" t="n">
        <v>242644</v>
      </c>
      <c r="B1520" s="9" t="inlineStr">
        <is>
          <t>Inter American University of Puerto Rico-Barranquitas</t>
        </is>
      </c>
      <c r="C1520" s="9" t="inlineStr">
        <is>
          <t>Barranquitas</t>
        </is>
      </c>
      <c r="D1520" s="9" t="inlineStr">
        <is>
          <t>PR</t>
        </is>
      </c>
      <c r="E1520" s="9" t="inlineStr">
        <is>
          <t>Private</t>
        </is>
      </c>
      <c r="F1520" s="11" t="n">
        <v>8726</v>
      </c>
      <c r="G1520" s="11" t="n">
        <v>23204</v>
      </c>
      <c r="H1520" s="9">
        <f>COUNTIF($G$5:$G$1531,"&gt;"&amp;G1520)+1</f>
        <v/>
      </c>
      <c r="I1520" s="9" t="inlineStr"/>
      <c r="J1520" s="11">
        <f>IF(E1520="Private",F1520,"")</f>
        <v/>
      </c>
      <c r="K1520" s="11">
        <f>IF(E1520="Private",G1520,"")</f>
        <v/>
      </c>
    </row>
    <row r="1521">
      <c r="A1521" s="9" t="n">
        <v>242680</v>
      </c>
      <c r="B1521" s="9" t="inlineStr">
        <is>
          <t>Inter American University of Puerto Rico-Fajardo</t>
        </is>
      </c>
      <c r="C1521" s="9" t="inlineStr">
        <is>
          <t>Fajardo</t>
        </is>
      </c>
      <c r="D1521" s="9" t="inlineStr">
        <is>
          <t>PR</t>
        </is>
      </c>
      <c r="E1521" s="9" t="inlineStr">
        <is>
          <t>Private</t>
        </is>
      </c>
      <c r="F1521" s="11" t="n">
        <v>9230</v>
      </c>
      <c r="G1521" s="11" t="n">
        <v>23132</v>
      </c>
      <c r="H1521" s="9">
        <f>COUNTIF($G$5:$G$1531,"&gt;"&amp;G1521)+1</f>
        <v/>
      </c>
      <c r="I1521" s="9" t="inlineStr"/>
      <c r="J1521" s="11">
        <f>IF(E1521="Private",F1521,"")</f>
        <v/>
      </c>
      <c r="K1521" s="11">
        <f>IF(E1521="Private",G1521,"")</f>
        <v/>
      </c>
    </row>
    <row r="1522">
      <c r="A1522" s="9" t="n">
        <v>243832</v>
      </c>
      <c r="B1522" s="9" t="inlineStr">
        <is>
          <t>EDP University of Puerto Rico Inc-San Juan</t>
        </is>
      </c>
      <c r="C1522" s="9" t="inlineStr">
        <is>
          <t>San Juan</t>
        </is>
      </c>
      <c r="D1522" s="9" t="inlineStr">
        <is>
          <t>PR</t>
        </is>
      </c>
      <c r="E1522" s="9" t="inlineStr">
        <is>
          <t>Private</t>
        </is>
      </c>
      <c r="F1522" s="11" t="n">
        <v>8387</v>
      </c>
      <c r="G1522" s="11" t="n">
        <v>22844</v>
      </c>
      <c r="H1522" s="9">
        <f>COUNTIF($G$5:$G$1531,"&gt;"&amp;G1522)+1</f>
        <v/>
      </c>
      <c r="I1522" s="9" t="inlineStr"/>
      <c r="J1522" s="11">
        <f>IF(E1522="Private",F1522,"")</f>
        <v/>
      </c>
      <c r="K1522" s="11">
        <f>IF(E1522="Private",G1522,"")</f>
        <v/>
      </c>
    </row>
    <row r="1523">
      <c r="A1523" s="9" t="n">
        <v>241386</v>
      </c>
      <c r="B1523" s="9" t="inlineStr">
        <is>
          <t>Caribbean University-Carolina</t>
        </is>
      </c>
      <c r="C1523" s="9" t="inlineStr">
        <is>
          <t>Carolina</t>
        </is>
      </c>
      <c r="D1523" s="9" t="inlineStr">
        <is>
          <t>PR</t>
        </is>
      </c>
      <c r="E1523" s="9" t="inlineStr">
        <is>
          <t>Private</t>
        </is>
      </c>
      <c r="F1523" s="11" t="n">
        <v>5791</v>
      </c>
      <c r="G1523" s="11" t="n">
        <v>22842</v>
      </c>
      <c r="H1523" s="9">
        <f>COUNTIF($G$5:$G$1531,"&gt;"&amp;G1523)+1</f>
        <v/>
      </c>
      <c r="I1523" s="9" t="inlineStr"/>
      <c r="J1523" s="11">
        <f>IF(E1523="Private",F1523,"")</f>
        <v/>
      </c>
      <c r="K1523" s="11">
        <f>IF(E1523="Private",G1523,"")</f>
        <v/>
      </c>
    </row>
    <row r="1524">
      <c r="A1524" s="9" t="n">
        <v>363916</v>
      </c>
      <c r="B1524" s="9" t="inlineStr">
        <is>
          <t>Caribbean University-Vega Baja</t>
        </is>
      </c>
      <c r="C1524" s="9" t="inlineStr">
        <is>
          <t>Vega Baja</t>
        </is>
      </c>
      <c r="D1524" s="9" t="inlineStr">
        <is>
          <t>PR</t>
        </is>
      </c>
      <c r="E1524" s="9" t="inlineStr">
        <is>
          <t>Private</t>
        </is>
      </c>
      <c r="F1524" s="11" t="n">
        <v>5235</v>
      </c>
      <c r="G1524" s="11" t="n">
        <v>22842</v>
      </c>
      <c r="H1524" s="9">
        <f>COUNTIF($G$5:$G$1531,"&gt;"&amp;G1524)+1</f>
        <v/>
      </c>
      <c r="I1524" s="9" t="inlineStr"/>
      <c r="J1524" s="11">
        <f>IF(E1524="Private",F1524,"")</f>
        <v/>
      </c>
      <c r="K1524" s="11">
        <f>IF(E1524="Private",G1524,"")</f>
        <v/>
      </c>
    </row>
    <row r="1525">
      <c r="A1525" s="9" t="n">
        <v>363907</v>
      </c>
      <c r="B1525" s="9" t="inlineStr">
        <is>
          <t>Caribbean University-Ponce</t>
        </is>
      </c>
      <c r="C1525" s="9" t="inlineStr">
        <is>
          <t>Ponce</t>
        </is>
      </c>
      <c r="D1525" s="9" t="inlineStr">
        <is>
          <t>PR</t>
        </is>
      </c>
      <c r="E1525" s="9" t="inlineStr">
        <is>
          <t>Private</t>
        </is>
      </c>
      <c r="F1525" s="11" t="n">
        <v>4964</v>
      </c>
      <c r="G1525" s="11" t="n">
        <v>22842</v>
      </c>
      <c r="H1525" s="9">
        <f>COUNTIF($G$5:$G$1531,"&gt;"&amp;G1525)+1</f>
        <v/>
      </c>
      <c r="I1525" s="9" t="inlineStr"/>
      <c r="J1525" s="11">
        <f>IF(E1525="Private",F1525,"")</f>
        <v/>
      </c>
      <c r="K1525" s="11">
        <f>IF(E1525="Private",G1525,"")</f>
        <v/>
      </c>
    </row>
    <row r="1526">
      <c r="A1526" s="9" t="n">
        <v>241377</v>
      </c>
      <c r="B1526" s="9" t="inlineStr">
        <is>
          <t>Caribbean University-Bayamon</t>
        </is>
      </c>
      <c r="C1526" s="9" t="inlineStr">
        <is>
          <t>Bayamon</t>
        </is>
      </c>
      <c r="D1526" s="9" t="inlineStr">
        <is>
          <t>PR</t>
        </is>
      </c>
      <c r="E1526" s="9" t="inlineStr">
        <is>
          <t>Private</t>
        </is>
      </c>
      <c r="F1526" s="11" t="n">
        <v>4665</v>
      </c>
      <c r="G1526" s="11" t="n">
        <v>22842</v>
      </c>
      <c r="H1526" s="9">
        <f>COUNTIF($G$5:$G$1531,"&gt;"&amp;G1526)+1</f>
        <v/>
      </c>
      <c r="I1526" s="9" t="inlineStr"/>
      <c r="J1526" s="11">
        <f>IF(E1526="Private",F1526,"")</f>
        <v/>
      </c>
      <c r="K1526" s="11">
        <f>IF(E1526="Private",G1526,"")</f>
        <v/>
      </c>
    </row>
    <row r="1527">
      <c r="A1527" s="9" t="n">
        <v>157030</v>
      </c>
      <c r="B1527" s="9" t="inlineStr">
        <is>
          <t>Kentucky Mountain Bible College</t>
        </is>
      </c>
      <c r="C1527" s="9" t="inlineStr">
        <is>
          <t>Jackson</t>
        </is>
      </c>
      <c r="D1527" s="9" t="inlineStr">
        <is>
          <t>KY</t>
        </is>
      </c>
      <c r="E1527" s="9" t="inlineStr">
        <is>
          <t>Private</t>
        </is>
      </c>
      <c r="F1527" s="11" t="n">
        <v>9337</v>
      </c>
      <c r="G1527" s="11" t="n">
        <v>21256</v>
      </c>
      <c r="H1527" s="9">
        <f>COUNTIF($G$5:$G$1531,"&gt;"&amp;G1527)+1</f>
        <v/>
      </c>
      <c r="I1527" s="9" t="inlineStr"/>
      <c r="J1527" s="11">
        <f>IF(E1527="Private",F1527,"")</f>
        <v/>
      </c>
      <c r="K1527" s="11">
        <f>IF(E1527="Private",G1527,"")</f>
        <v/>
      </c>
    </row>
    <row r="1528">
      <c r="A1528" s="9" t="n">
        <v>457697</v>
      </c>
      <c r="B1528" s="9" t="inlineStr">
        <is>
          <t>City Vision University</t>
        </is>
      </c>
      <c r="C1528" s="9" t="inlineStr">
        <is>
          <t>Kansas City</t>
        </is>
      </c>
      <c r="D1528" s="9" t="inlineStr">
        <is>
          <t>MO</t>
        </is>
      </c>
      <c r="E1528" s="9" t="inlineStr">
        <is>
          <t>Private</t>
        </is>
      </c>
      <c r="F1528" s="11" t="n">
        <v>6353</v>
      </c>
      <c r="G1528" s="11" t="n">
        <v>21123</v>
      </c>
      <c r="H1528" s="9">
        <f>COUNTIF($G$5:$G$1531,"&gt;"&amp;G1528)+1</f>
        <v/>
      </c>
      <c r="I1528" s="9" t="inlineStr"/>
      <c r="J1528" s="11">
        <f>IF(E1528="Private",F1528,"")</f>
        <v/>
      </c>
      <c r="K1528" s="11">
        <f>IF(E1528="Private",G1528,"")</f>
        <v/>
      </c>
    </row>
    <row r="1529">
      <c r="A1529" s="9" t="n">
        <v>439862</v>
      </c>
      <c r="B1529" s="9" t="inlineStr">
        <is>
          <t>Pacific Islands University</t>
        </is>
      </c>
      <c r="C1529" s="9" t="inlineStr">
        <is>
          <t>Mangilao</t>
        </is>
      </c>
      <c r="D1529" s="9" t="inlineStr">
        <is>
          <t>GU</t>
        </is>
      </c>
      <c r="E1529" s="9" t="inlineStr">
        <is>
          <t>Private</t>
        </is>
      </c>
      <c r="F1529" s="11" t="n">
        <v>9334</v>
      </c>
      <c r="G1529" s="11" t="n">
        <v>20902</v>
      </c>
      <c r="H1529" s="9">
        <f>COUNTIF($G$5:$G$1531,"&gt;"&amp;G1529)+1</f>
        <v/>
      </c>
      <c r="I1529" s="9" t="inlineStr"/>
      <c r="J1529" s="11">
        <f>IF(E1529="Private",F1529,"")</f>
        <v/>
      </c>
      <c r="K1529" s="11">
        <f>IF(E1529="Private",G1529,"")</f>
        <v/>
      </c>
    </row>
    <row r="1530">
      <c r="A1530" s="9" t="n">
        <v>242121</v>
      </c>
      <c r="B1530" s="9" t="inlineStr">
        <is>
          <t>Humacao Community College</t>
        </is>
      </c>
      <c r="C1530" s="9" t="inlineStr">
        <is>
          <t>Humacao</t>
        </is>
      </c>
      <c r="D1530" s="9" t="inlineStr">
        <is>
          <t>PR</t>
        </is>
      </c>
      <c r="E1530" s="9" t="inlineStr">
        <is>
          <t>Private</t>
        </is>
      </c>
      <c r="F1530" s="11" t="n">
        <v>2508</v>
      </c>
      <c r="G1530" s="11" t="n">
        <v>20064</v>
      </c>
      <c r="H1530" s="9">
        <f>COUNTIF($G$5:$G$1531,"&gt;"&amp;G1530)+1</f>
        <v/>
      </c>
      <c r="I1530" s="9" t="inlineStr"/>
      <c r="J1530" s="11">
        <f>IF(E1530="Private",F1530,"")</f>
        <v/>
      </c>
      <c r="K1530" s="11">
        <f>IF(E1530="Private",G1530,"")</f>
        <v/>
      </c>
    </row>
    <row r="1531">
      <c r="A1531" s="9" t="n">
        <v>434900</v>
      </c>
      <c r="B1531" s="9" t="inlineStr">
        <is>
          <t>Dewey University-Carolina</t>
        </is>
      </c>
      <c r="C1531" s="9" t="inlineStr">
        <is>
          <t>Carolina</t>
        </is>
      </c>
      <c r="D1531" s="9" t="inlineStr">
        <is>
          <t>PR</t>
        </is>
      </c>
      <c r="E1531" s="9" t="inlineStr">
        <is>
          <t>Private</t>
        </is>
      </c>
      <c r="F1531" s="11" t="n">
        <v>4041</v>
      </c>
      <c r="G1531" s="11" t="n">
        <v>19761</v>
      </c>
      <c r="H1531" s="9">
        <f>COUNTIF($G$5:$G$1531,"&gt;"&amp;G1531)+1</f>
        <v/>
      </c>
      <c r="I1531" s="9" t="inlineStr"/>
      <c r="J1531" s="11">
        <f>IF(E1531="Private",F1531,"")</f>
        <v/>
      </c>
      <c r="K1531" s="11">
        <f>IF(E1531="Private",G1531,"")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11" customWidth="1" min="1" max="1"/>
    <col width="9" customWidth="1" min="2" max="2"/>
    <col width="9" customWidth="1" min="3" max="3"/>
    <col width="12" customWidth="1" min="4" max="4"/>
    <col width="14" customWidth="1" min="5" max="5"/>
    <col width="14" customWidth="1" min="6" max="6"/>
    <col width="12" customWidth="1" min="7" max="7"/>
    <col width="12" customWidth="1" min="8" max="8"/>
    <col width="12" customWidth="1" min="9" max="9"/>
    <col width="12" customWidth="1" min="10" max="10"/>
    <col width="22" customWidth="1" min="11" max="11"/>
    <col width="13" customWidth="1" min="12" max="12"/>
    <col width="110" customWidth="1" min="13" max="13"/>
  </cols>
  <sheetData>
    <row r="1">
      <c r="A1" s="1" t="inlineStr">
        <is>
          <t>Slide 2: 'Faculty / Trustees / Sr. administrators are aware of and understand the financial challenges confronting my institution'</t>
        </is>
      </c>
    </row>
    <row r="2">
      <c r="A2" s="2" t="inlineStr">
        <is>
          <t>% of business officers answering 4 or 5 on a five-point scale, all institutions. Verified against each report; original slide values shown for comparison.</t>
        </is>
      </c>
    </row>
    <row r="4">
      <c r="A4" s="5" t="inlineStr">
        <is>
          <t>Survey year</t>
        </is>
      </c>
      <c r="B4" s="5" t="inlineStr">
        <is>
          <t>Faculty</t>
        </is>
      </c>
      <c r="C4" s="5" t="inlineStr">
        <is>
          <t>Trustees</t>
        </is>
      </c>
      <c r="D4" s="5" t="inlineStr">
        <is>
          <t>Sr. Administrators</t>
        </is>
      </c>
      <c r="E4" s="5" t="inlineStr">
        <is>
          <t>Trustees minus Faculty (pts)</t>
        </is>
      </c>
      <c r="F4" s="5" t="inlineStr">
        <is>
          <t>Sr. Admin minus Faculty (pts)</t>
        </is>
      </c>
      <c r="G4" s="5" t="inlineStr">
        <is>
          <t>Original slide: Faculty</t>
        </is>
      </c>
      <c r="H4" s="5" t="inlineStr">
        <is>
          <t>Original slide: Trustees</t>
        </is>
      </c>
      <c r="I4" s="5" t="inlineStr">
        <is>
          <t>Original slide: Sr. Admin</t>
        </is>
      </c>
      <c r="J4" s="5" t="inlineStr">
        <is>
          <t>Differs from original?</t>
        </is>
      </c>
      <c r="K4" s="5" t="inlineStr">
        <is>
          <t>Item type</t>
        </is>
      </c>
      <c r="L4" s="5" t="inlineStr">
        <is>
          <t>n respondents</t>
        </is>
      </c>
      <c r="M4" s="5" t="inlineStr">
        <is>
          <t>Source (report page / table)</t>
        </is>
      </c>
    </row>
    <row r="5">
      <c r="A5" s="9" t="n">
        <v>2015</v>
      </c>
      <c r="B5" s="15" t="n">
        <v>0.32</v>
      </c>
      <c r="C5" s="15" t="n">
        <v>0.79</v>
      </c>
      <c r="D5" s="15" t="n">
        <v>0.88</v>
      </c>
      <c r="E5" s="16">
        <f>(C5-B5)*100</f>
        <v/>
      </c>
      <c r="F5" s="16">
        <f>(D5-B5)*100</f>
        <v/>
      </c>
      <c r="G5" s="15" t="n">
        <v>0.33</v>
      </c>
      <c r="H5" s="15" t="n">
        <v>0.79</v>
      </c>
      <c r="I5" s="15" t="n">
        <v>0.88</v>
      </c>
      <c r="J5" s="3">
        <f>IF(AND(B5=G5,C5=H5,D5=I5),"same","DIFFERS")</f>
        <v/>
      </c>
      <c r="K5" s="9" t="inlineStr">
        <is>
          <t>aware of and understand</t>
        </is>
      </c>
      <c r="L5" s="9" t="n">
        <v>403</v>
      </c>
      <c r="M5" s="9" t="inlineStr">
        <is>
          <t>Detail table 13 (PDF/printed pp.27-29): senior admins p.27, trustees p.28, faculty p.29. Narrative p.27 and 'Snapshot of findings' p.7. Infographic on p.9 (chart).  |  https://www.insidehighered.com/news/survey/closure-concerns-and-financial-strategies-survey-college-business-officers</t>
        </is>
      </c>
    </row>
    <row r="6">
      <c r="A6" s="9" t="n">
        <v>2016</v>
      </c>
      <c r="B6" s="15" t="n">
        <v>0.27</v>
      </c>
      <c r="C6" s="15" t="n">
        <v>0.74</v>
      </c>
      <c r="D6" s="15" t="n">
        <v>0.86</v>
      </c>
      <c r="E6" s="16">
        <f>(C6-B6)*100</f>
        <v/>
      </c>
      <c r="F6" s="16">
        <f>(D6-B6)*100</f>
        <v/>
      </c>
      <c r="G6" s="15" t="n">
        <v>0.27</v>
      </c>
      <c r="H6" s="15" t="n">
        <v>0.74</v>
      </c>
      <c r="I6" s="15" t="n">
        <v>0.86</v>
      </c>
      <c r="J6" s="3">
        <f>IF(AND(B6=G6,C6=H6,D6=I6),"same","DIFFERS")</f>
        <v/>
      </c>
      <c r="K6" s="9" t="inlineStr">
        <is>
          <t>faculty item worded differently</t>
        </is>
      </c>
      <c r="L6" s="9" t="n">
        <v>386</v>
      </c>
      <c r="M6" s="9" t="inlineStr">
        <is>
          <t>Senior admins and trustees: table on p.18 (narrative p.17). Faculty: table on p.20 (narrative p.19), and a split table p.21 by whether faculty play a meaningful budget role.  |  https://www.insidehighered.com/news/survey/foundering-finances-faculty-role-survey-business-officers</t>
        </is>
      </c>
    </row>
    <row r="7">
      <c r="A7" s="9" t="n">
        <v>2017</v>
      </c>
      <c r="B7" s="15" t="n">
        <v>0.32</v>
      </c>
      <c r="C7" s="15" t="n">
        <v>0.77</v>
      </c>
      <c r="D7" s="15" t="n">
        <v>0.85</v>
      </c>
      <c r="E7" s="16">
        <f>(C7-B7)*100</f>
        <v/>
      </c>
      <c r="F7" s="16">
        <f>(D7-B7)*100</f>
        <v/>
      </c>
      <c r="G7" s="15" t="n">
        <v>0.32</v>
      </c>
      <c r="H7" s="15" t="n">
        <v>0.77</v>
      </c>
      <c r="I7" s="15" t="n">
        <v>0.85</v>
      </c>
      <c r="J7" s="3">
        <f>IF(AND(B7=G7,C7=H7,D7=I7),"same","DIFFERS")</f>
        <v/>
      </c>
      <c r="K7" s="9" t="inlineStr">
        <is>
          <t>faculty item worded differently</t>
        </is>
      </c>
      <c r="L7" s="9" t="n">
        <v>409</v>
      </c>
      <c r="M7" s="9" t="inlineStr">
        <is>
          <t>Senior admins and trustees: table p.13 (narrative p.12). Faculty: table p.20 (narrative p.19).  |  https://www.insidehighered.com/news/survey/rose-colored-glasses-come-survey-business-officers</t>
        </is>
      </c>
    </row>
    <row r="8">
      <c r="A8" s="9" t="n">
        <v>2018</v>
      </c>
      <c r="B8" s="15" t="n">
        <v>0.44</v>
      </c>
      <c r="C8" s="15" t="n">
        <v>0.78</v>
      </c>
      <c r="D8" s="15" t="n">
        <v>0.8</v>
      </c>
      <c r="E8" s="16">
        <f>(C8-B8)*100</f>
        <v/>
      </c>
      <c r="F8" s="16">
        <f>(D8-B8)*100</f>
        <v/>
      </c>
      <c r="G8" s="15" t="n">
        <v>0.44</v>
      </c>
      <c r="H8" s="15" t="n">
        <v>0.78</v>
      </c>
      <c r="I8" s="15" t="n">
        <v>0.8</v>
      </c>
      <c r="J8" s="3">
        <f>IF(AND(B8=G8,C8=H8,D8=I8),"same","DIFFERS")</f>
        <v/>
      </c>
      <c r="K8" s="9" t="inlineStr">
        <is>
          <t>aware of and understand</t>
        </is>
      </c>
      <c r="L8" s="9" t="n">
        <v>415</v>
      </c>
      <c r="M8" s="9" t="inlineStr">
        <is>
          <t>Tables on p.30 (senior admins), p.31 (trustees), p.32 (faculty); narrative p.29.  |  https://www.insidehighered.com/news/survey/peril-private-colleges-survey-business-officers</t>
        </is>
      </c>
    </row>
    <row r="9">
      <c r="A9" s="9" t="n">
        <v>2019</v>
      </c>
      <c r="B9" s="15" t="n">
        <v>0.32</v>
      </c>
      <c r="C9" s="15" t="n">
        <v>0.78</v>
      </c>
      <c r="D9" s="15" t="n">
        <v>0.9</v>
      </c>
      <c r="E9" s="16">
        <f>(C9-B9)*100</f>
        <v/>
      </c>
      <c r="F9" s="16">
        <f>(D9-B9)*100</f>
        <v/>
      </c>
      <c r="G9" s="15" t="n">
        <v>0.32</v>
      </c>
      <c r="H9" s="15" t="n">
        <v>0.78</v>
      </c>
      <c r="I9" s="15" t="n">
        <v>0.9</v>
      </c>
      <c r="J9" s="3">
        <f>IF(AND(B9=G9,C9=H9,D9=I9),"same","DIFFERS")</f>
        <v/>
      </c>
      <c r="K9" s="9" t="inlineStr">
        <is>
          <t>aware of and understand</t>
        </is>
      </c>
      <c r="L9" s="9" t="n">
        <v>416</v>
      </c>
      <c r="M9" s="9" t="inlineStr">
        <is>
          <t>Chart-tables on p.14 (trustees, senior admins) and p.15 (faculty); narrative p.13. Read visually from rendered PNGs because pdftotext scrambles the chevron chart labels.  |  https://www.insidehighered.com/news/survey/challenges-regional-publics-survey-business-officers</t>
        </is>
      </c>
    </row>
    <row r="10">
      <c r="A10" s="9" t="n">
        <v>2020</v>
      </c>
      <c r="B10" s="15" t="n">
        <v>0.34</v>
      </c>
      <c r="C10" s="15" t="n">
        <v>0.84</v>
      </c>
      <c r="D10" s="15" t="n">
        <v>0.9</v>
      </c>
      <c r="E10" s="16">
        <f>(C10-B10)*100</f>
        <v/>
      </c>
      <c r="F10" s="16">
        <f>(D10-B10)*100</f>
        <v/>
      </c>
      <c r="G10" s="15" t="n">
        <v>0.31</v>
      </c>
      <c r="H10" s="15" t="n">
        <v>0.87</v>
      </c>
      <c r="I10" s="15" t="n">
        <v>0.93</v>
      </c>
      <c r="J10" s="3">
        <f>IF(AND(B10=G10,C10=H10,D10=I10),"same","DIFFERS")</f>
        <v/>
      </c>
      <c r="K10" s="9" t="inlineStr">
        <is>
          <t>aware of and understand</t>
        </is>
      </c>
      <c r="L10" s="9" t="n">
        <v>273</v>
      </c>
      <c r="M10" s="9" t="inlineStr">
        <is>
          <t>Chart-tables on p.19 (trustees, senior admins; narrative also p.19) and p.20 (faculty). Read visually from rendered PNGs.  |  https://www.insidehighered.com/news/survey/covid-19s-forceful-financial-hit-survey-business-officers</t>
        </is>
      </c>
    </row>
    <row r="11">
      <c r="A11" s="9" t="n">
        <v>2021</v>
      </c>
      <c r="B11" s="15" t="n">
        <v>0.5</v>
      </c>
      <c r="C11" s="15" t="n">
        <v>0.85</v>
      </c>
      <c r="D11" s="15" t="n">
        <v>0.9</v>
      </c>
      <c r="E11" s="16">
        <f>(C11-B11)*100</f>
        <v/>
      </c>
      <c r="F11" s="16">
        <f>(D11-B11)*100</f>
        <v/>
      </c>
      <c r="G11" s="15" t="n">
        <v>0.5</v>
      </c>
      <c r="H11" s="15" t="n">
        <v>0.85</v>
      </c>
      <c r="I11" s="15" t="n">
        <v>0.9</v>
      </c>
      <c r="J11" s="3">
        <f>IF(AND(B11=G11,C11=H11,D11=I11),"same","DIFFERS")</f>
        <v/>
      </c>
      <c r="K11" s="9" t="inlineStr">
        <is>
          <t>aware of and understand</t>
        </is>
      </c>
      <c r="L11" s="9" t="n">
        <v>133</v>
      </c>
      <c r="M11" s="9" t="inlineStr">
        <is>
          <t>Stacked-bar chart p.27 (rendered and read); appendix detail tables pp.49-50 ('All' column).  |  https://www.insidehighered.com/news/survey/college-business-officers-surprisingly-upbeat-about-their-finances</t>
        </is>
      </c>
    </row>
    <row r="12">
      <c r="A12" s="9" t="n">
        <v>2022</v>
      </c>
      <c r="B12" s="15" t="n">
        <v>0.53</v>
      </c>
      <c r="C12" s="15" t="n">
        <v>0.9</v>
      </c>
      <c r="D12" s="15" t="n">
        <v>0.91</v>
      </c>
      <c r="E12" s="16">
        <f>(C12-B12)*100</f>
        <v/>
      </c>
      <c r="F12" s="16">
        <f>(D12-B12)*100</f>
        <v/>
      </c>
      <c r="G12" s="15" t="n">
        <v>0.28</v>
      </c>
      <c r="H12" s="15" t="n">
        <v>0.91</v>
      </c>
      <c r="I12" s="15" t="n">
        <v>0.91</v>
      </c>
      <c r="J12" s="3">
        <f>IF(AND(B12=G12,C12=H12,D12=I12),"same","DIFFERS")</f>
        <v/>
      </c>
      <c r="K12" s="9" t="inlineStr">
        <is>
          <t>aware of and understand</t>
        </is>
      </c>
      <c r="L12" s="9" t="n">
        <v>238</v>
      </c>
      <c r="M12" s="9" t="inlineStr">
        <is>
          <t>PDF p.47 (faculty table) and p.48 (senior admin and trustees tables) = source of the values above; p.28 'Financial Management' chart (misaligned, see notes); p.3 methodology  |  https://www.insidehighered.com/news/survey/college-business-officers-upbeat-despite-worrisome-outlook</t>
        </is>
      </c>
    </row>
    <row r="13">
      <c r="A13" s="9" t="n">
        <v>2023</v>
      </c>
      <c r="B13" s="15" t="n">
        <v>0.45</v>
      </c>
      <c r="C13" s="15" t="n">
        <v>0.86</v>
      </c>
      <c r="D13" s="15" t="n">
        <v>0.91</v>
      </c>
      <c r="E13" s="16">
        <f>(C13-B13)*100</f>
        <v/>
      </c>
      <c r="F13" s="16">
        <f>(D13-B13)*100</f>
        <v/>
      </c>
      <c r="G13" s="15" t="n">
        <v>0.45</v>
      </c>
      <c r="H13" s="15" t="n">
        <v>0.86</v>
      </c>
      <c r="I13" s="15" t="n">
        <v>0.91</v>
      </c>
      <c r="J13" s="3">
        <f>IF(AND(B13=G13,C13=H13,D13=I13),"same","DIFFERS")</f>
        <v/>
      </c>
      <c r="K13" s="9" t="inlineStr">
        <is>
          <t>aware of and understand</t>
        </is>
      </c>
      <c r="L13" s="9" t="n">
        <v>217</v>
      </c>
      <c r="M13" s="9" t="inlineStr">
        <is>
          <t>PDF p.19 'Institutional Change: Governance and Mindset' (narrative + chart); p.47 (faculty table); p.48 (senior admin and trustees tables); p.3 methodology  |  https://www.insidehighered.com/reports/2023/07/12/2023-survey-college-and-university-business-officers</t>
        </is>
      </c>
    </row>
    <row r="14">
      <c r="A14" s="9" t="n">
        <v>2024</v>
      </c>
      <c r="B14" s="15" t="n">
        <v>0.39</v>
      </c>
      <c r="C14" s="15" t="n">
        <v>0.79</v>
      </c>
      <c r="D14" s="15" t="n">
        <v>0.88</v>
      </c>
      <c r="E14" s="16">
        <f>(C14-B14)*100</f>
        <v/>
      </c>
      <c r="F14" s="16">
        <f>(D14-B14)*100</f>
        <v/>
      </c>
      <c r="G14" s="15" t="n">
        <v>0.44</v>
      </c>
      <c r="H14" s="15" t="n">
        <v>0.91</v>
      </c>
      <c r="I14" s="15" t="n">
        <v>0.95</v>
      </c>
      <c r="J14" s="3">
        <f>IF(AND(B14=G14,C14=H14,D14=I14),"same","DIFFERS")</f>
        <v/>
      </c>
      <c r="K14" s="9" t="inlineStr">
        <is>
          <t>aware of and understand</t>
        </is>
      </c>
      <c r="L14" s="9" t="n">
        <v>224</v>
      </c>
      <c r="M14" s="9" t="inlineStr">
        <is>
          <t>PDF p.34 'Financial Responsibility: Responsiveness and Mindset' (narrative + chart); p.58 (faculty table); p.60 (senior admin and trustees tables); p.5 methodology  |  https://www.insidehighered.com/reports/2024/07/16/2024-survey-college-and-university-chief-business-officers</t>
        </is>
      </c>
    </row>
    <row r="15">
      <c r="A15" s="9" t="n">
        <v>2025</v>
      </c>
      <c r="C15" s="15" t="n">
        <v>0.74</v>
      </c>
      <c r="K15" s="9" t="inlineStr">
        <is>
          <t>trustees-only item</t>
        </is>
      </c>
      <c r="L15" s="9" t="n">
        <v>169</v>
      </c>
      <c r="M15" s="9" t="inlineStr">
        <is>
          <t>PDF p.27 'Leadership and Governance: Agency, Shared Governance and Political Interference'; p.59 Detailed Tables; p.3 methodology  |  https://www.insidehighered.com/reports/2025/07/17/2025-survey-college-and-university-chief-business-officers</t>
        </is>
      </c>
    </row>
    <row r="16">
      <c r="A16" s="9" t="n">
        <v>2026</v>
      </c>
      <c r="C16" s="15" t="n">
        <v>0.79</v>
      </c>
      <c r="K16" s="9" t="inlineStr">
        <is>
          <t>trustees-only item</t>
        </is>
      </c>
      <c r="L16" s="9" t="n">
        <v>213</v>
      </c>
      <c r="M16" s="9" t="inlineStr">
        <is>
          <t>PDF p.33 'Leadership and Governance: On the Job'; p.6 Key Findings; p.62 Detailed Tables; p.3 methodology  |  https://www.insidehighered.com/reports/2026/07/15/2026-survey-college-and-university-chief-business-officers</t>
        </is>
      </c>
    </row>
    <row r="18">
      <c r="A18" s="17" t="inlineStr">
        <is>
          <t>2014 was removed from the slide as requested (report wording then: 'realistic about'; Faculty 22%, Trustees 67%, Sr. Admin 75%).</t>
        </is>
      </c>
    </row>
    <row r="19">
      <c r="A19" s="17" t="inlineStr">
        <is>
          <t>2025-2026: only a trustees-only statement was asked ('Trustees understand the financial challenges confronting my institution'); it is not the same series.</t>
        </is>
      </c>
    </row>
    <row r="21">
      <c r="A21" s="3" t="inlineStr">
        <is>
          <t>Rows differing from the original slide</t>
        </is>
      </c>
      <c r="E21" s="10">
        <f>COUNTIF(J5:J16,"DIFFERS")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17" customWidth="1" min="3" max="3"/>
    <col width="20" customWidth="1" min="4" max="4"/>
    <col width="18" customWidth="1" min="5" max="5"/>
    <col width="16" customWidth="1" min="6" max="6"/>
    <col width="16" customWidth="1" min="7" max="7"/>
    <col width="18" customWidth="1" min="8" max="8"/>
    <col width="15" customWidth="1" min="9" max="9"/>
    <col width="13" customWidth="1" min="10" max="10"/>
    <col width="14" customWidth="1" min="11" max="11"/>
    <col width="18" customWidth="1" min="12" max="12"/>
    <col width="12" customWidth="1" min="13" max="13"/>
    <col width="13" customWidth="1" min="14" max="14"/>
    <col width="14" customWidth="1" min="15" max="15"/>
    <col width="12" customWidth="1" min="16" max="16"/>
    <col width="12" customWidth="1" min="17" max="17"/>
    <col width="26" customWidth="1" min="18" max="18"/>
    <col width="90" customWidth="1" min="19" max="19"/>
  </cols>
  <sheetData>
    <row r="1">
      <c r="A1" s="1" t="inlineStr">
        <is>
          <t>Slide 3: FY25 salaries &amp; wages per student (audited financial statements; see Evidence)</t>
        </is>
      </c>
    </row>
    <row r="2">
      <c r="A2" s="2" t="inlineStr">
        <is>
          <t>Core operating expenses = total operating expenses - depreciation - amortization - interest. S&amp;W basis: audited line, Form 990 / MD&amp;A chart, or ESTIMATE (Penn, Stanford: 35% assumed fringe rate). Students = fall 2024 total enrollment.</t>
        </is>
      </c>
    </row>
    <row r="3">
      <c r="A3" s="3" t="inlineStr">
        <is>
          <t>Assumed fringe benefit rate (benefits / S&amp;W) for Penn and Stanford</t>
        </is>
      </c>
      <c r="E3" s="18" t="n">
        <v>0.35</v>
      </c>
      <c r="F3" s="17" t="inlineStr">
        <is>
          <t>&lt;- input: S&amp;W = combined salaries + benefits / (1 + rate). Change it and the estimates, slide-3 inputs and sensitivities update here.</t>
        </is>
      </c>
    </row>
    <row r="4">
      <c r="A4" s="5" t="inlineStr">
        <is>
          <t>Institution</t>
        </is>
      </c>
      <c r="B4" s="5" t="inlineStr">
        <is>
          <t>Fiscal year end</t>
        </is>
      </c>
      <c r="C4" s="5" t="inlineStr">
        <is>
          <t>Salaries &amp; wages ($)</t>
        </is>
      </c>
      <c r="D4" s="5" t="inlineStr">
        <is>
          <t>S&amp;W basis</t>
        </is>
      </c>
      <c r="E4" s="5" t="inlineStr">
        <is>
          <t>Salaries + benefits, combined ($)</t>
        </is>
      </c>
      <c r="F4" s="5" t="inlineStr">
        <is>
          <t>Form 990 S&amp;W ($)</t>
        </is>
      </c>
      <c r="G4" s="5" t="inlineStr">
        <is>
          <t>Form 990 lines 5-10 ($)</t>
        </is>
      </c>
      <c r="H4" s="5" t="inlineStr">
        <is>
          <t>Total operating expenses ($)</t>
        </is>
      </c>
      <c r="I4" s="5" t="inlineStr">
        <is>
          <t>Depreciation ($)</t>
        </is>
      </c>
      <c r="J4" s="5" t="inlineStr">
        <is>
          <t>Amortization ($)</t>
        </is>
      </c>
      <c r="K4" s="5" t="inlineStr">
        <is>
          <t>Interest ($)</t>
        </is>
      </c>
      <c r="L4" s="5" t="inlineStr">
        <is>
          <t>Core operating expenses ($)</t>
        </is>
      </c>
      <c r="M4" s="5" t="inlineStr">
        <is>
          <t>Students (fall 2024)</t>
        </is>
      </c>
      <c r="N4" s="5" t="inlineStr">
        <is>
          <t>S&amp;W per student</t>
        </is>
      </c>
      <c r="O4" s="5" t="inlineStr">
        <is>
          <t>Core opex per student (x)</t>
        </is>
      </c>
      <c r="P4" s="5" t="inlineStr">
        <is>
          <t>S&amp;W share of core opex (y)</t>
        </is>
      </c>
      <c r="Q4" s="5" t="inlineStr">
        <is>
          <t>Check: x*y - S&amp;W/student</t>
        </is>
      </c>
      <c r="R4" s="5" t="inlineStr">
        <is>
          <t>Health system consolidated</t>
        </is>
      </c>
      <c r="S4" s="5" t="inlineStr">
        <is>
          <t>Notes</t>
        </is>
      </c>
    </row>
    <row r="5">
      <c r="A5" s="9" t="inlineStr">
        <is>
          <t>Rice</t>
        </is>
      </c>
      <c r="B5" s="9" t="inlineStr">
        <is>
          <t>June 30, 2025</t>
        </is>
      </c>
      <c r="C5" s="19" t="n">
        <v>515800000</v>
      </c>
      <c r="D5" s="9" t="inlineStr">
        <is>
          <t>audited line</t>
        </is>
      </c>
      <c r="E5" s="19">
        <f>C5+123330000</f>
        <v/>
      </c>
      <c r="H5" s="19" t="n">
        <v>1087937000</v>
      </c>
      <c r="I5" s="19" t="n">
        <v>82255000</v>
      </c>
      <c r="K5" s="19" t="n">
        <v>45396000</v>
      </c>
      <c r="L5" s="19">
        <f>H5-I5-J5-K5</f>
        <v/>
      </c>
      <c r="M5" s="19" t="n">
        <v>8961</v>
      </c>
      <c r="N5" s="11">
        <f>C5/M5</f>
        <v/>
      </c>
      <c r="O5" s="11">
        <f>L5/M5</f>
        <v/>
      </c>
      <c r="P5" s="20">
        <f>C5/L5</f>
        <v/>
      </c>
      <c r="Q5" s="21">
        <f>O5*P5-N5</f>
        <v/>
      </c>
      <c r="R5" s="9" t="inlineStr">
        <is>
          <t>no</t>
        </is>
      </c>
      <c r="S5" s="4" t="inlineStr">
        <is>
          <t>Depreciation and amortization are one line; interest and bond costs separate.</t>
        </is>
      </c>
    </row>
    <row r="6">
      <c r="A6" s="9" t="inlineStr">
        <is>
          <t>Vanderbilt</t>
        </is>
      </c>
      <c r="B6" s="9" t="inlineStr">
        <is>
          <t>June 30, 2025</t>
        </is>
      </c>
      <c r="C6" s="19" t="n">
        <v>804000000</v>
      </c>
      <c r="D6" s="9" t="inlineStr">
        <is>
          <t>MD&amp;A expense chart</t>
        </is>
      </c>
      <c r="E6" s="19" t="n">
        <v>976417000</v>
      </c>
      <c r="H6" s="19" t="n">
        <v>1799663000</v>
      </c>
      <c r="I6" s="19" t="n">
        <v>116913000</v>
      </c>
      <c r="K6" s="19" t="n">
        <v>30063000</v>
      </c>
      <c r="L6" s="19">
        <f>H6-I6-J6-K6</f>
        <v/>
      </c>
      <c r="M6" s="19" t="n">
        <v>13575</v>
      </c>
      <c r="N6" s="11">
        <f>C6/M6</f>
        <v/>
      </c>
      <c r="O6" s="11">
        <f>L6/M6</f>
        <v/>
      </c>
      <c r="P6" s="20">
        <f>C6/L6</f>
        <v/>
      </c>
      <c r="Q6" s="21">
        <f>O6*P6-N6</f>
        <v/>
      </c>
      <c r="R6" s="9" t="inlineStr">
        <is>
          <t>no</t>
        </is>
      </c>
      <c r="S6" s="4" t="inlineStr">
        <is>
          <t>Audited statements show salaries, wages and benefits combined ($976.4M). S&amp;W from the MD&amp;A expense chart ($M precision). VUMC is not consolidated.</t>
        </is>
      </c>
    </row>
    <row r="7">
      <c r="A7" s="9" t="inlineStr">
        <is>
          <t>Northwestern</t>
        </is>
      </c>
      <c r="B7" s="9" t="inlineStr">
        <is>
          <t>August 31, 2025</t>
        </is>
      </c>
      <c r="C7" s="19">
        <f>F7</f>
        <v/>
      </c>
      <c r="D7" s="9" t="inlineStr">
        <is>
          <t>Form 990 (ties to audited)</t>
        </is>
      </c>
      <c r="E7" s="19" t="n">
        <v>1997951000</v>
      </c>
      <c r="F7" s="19" t="n">
        <v>1556522638</v>
      </c>
      <c r="G7" s="19" t="n">
        <v>1997950859</v>
      </c>
      <c r="H7" s="19" t="n">
        <v>3607255000</v>
      </c>
      <c r="I7" s="19" t="n">
        <v>216713000</v>
      </c>
      <c r="K7" s="19" t="n">
        <v>99478000</v>
      </c>
      <c r="L7" s="19">
        <f>H7-I7-J7-K7</f>
        <v/>
      </c>
      <c r="M7" s="19" t="n">
        <v>23431</v>
      </c>
      <c r="N7" s="11">
        <f>C7/M7</f>
        <v/>
      </c>
      <c r="O7" s="11">
        <f>L7/M7</f>
        <v/>
      </c>
      <c r="P7" s="20">
        <f>C7/L7</f>
        <v/>
      </c>
      <c r="Q7" s="21">
        <f>O7*P7-N7</f>
        <v/>
      </c>
      <c r="R7" s="9" t="inlineStr">
        <is>
          <t>no</t>
        </is>
      </c>
      <c r="S7" s="4" t="inlineStr">
        <is>
          <t>Audited statements show salaries, wages and benefits combined. Form 990 lines 5-10 tie to that line to the dollar, so 990 S&amp;W is on the audited basis.</t>
        </is>
      </c>
    </row>
    <row r="8">
      <c r="A8" s="9" t="inlineStr">
        <is>
          <t>Princeton</t>
        </is>
      </c>
      <c r="B8" s="9" t="inlineStr">
        <is>
          <t>June 30, 2025</t>
        </is>
      </c>
      <c r="C8" s="19" t="n">
        <v>1162823000</v>
      </c>
      <c r="D8" s="9" t="inlineStr">
        <is>
          <t>audited line</t>
        </is>
      </c>
      <c r="E8" s="19">
        <f>C8+351760000</f>
        <v/>
      </c>
      <c r="H8" s="19" t="n">
        <v>2744548000</v>
      </c>
      <c r="I8" s="19" t="n">
        <v>231467000</v>
      </c>
      <c r="K8" s="19" t="n">
        <v>221826000</v>
      </c>
      <c r="L8" s="19">
        <f>H8-I8-J8-K8</f>
        <v/>
      </c>
      <c r="M8" s="19" t="n">
        <v>9050</v>
      </c>
      <c r="N8" s="11">
        <f>C8/M8</f>
        <v/>
      </c>
      <c r="O8" s="11">
        <f>L8/M8</f>
        <v/>
      </c>
      <c r="P8" s="20">
        <f>C8/L8</f>
        <v/>
      </c>
      <c r="Q8" s="21">
        <f>O8*P8-N8</f>
        <v/>
      </c>
      <c r="R8" s="9" t="inlineStr">
        <is>
          <t>no</t>
        </is>
      </c>
      <c r="S8" s="4" t="inlineStr">
        <is>
          <t>Includes the Plasma Physics Laboratory ($246.9M expense). Students from the Report of the Treasurer (CDS host not reachable).</t>
        </is>
      </c>
    </row>
    <row r="9">
      <c r="A9" s="9" t="inlineStr">
        <is>
          <t>Harvard</t>
        </is>
      </c>
      <c r="B9" s="9" t="inlineStr">
        <is>
          <t>June 30, 2025</t>
        </is>
      </c>
      <c r="D9" s="13" t="inlineStr">
        <is>
          <t>pending</t>
        </is>
      </c>
      <c r="M9" s="19" t="n">
        <v>21189</v>
      </c>
      <c r="S9" s="4" t="inlineStr">
        <is>
          <t>PENDING: Harvard's finance site denies automated access; FY25 Financial Report PDF needed.</t>
        </is>
      </c>
    </row>
    <row r="10">
      <c r="A10" s="9" t="inlineStr">
        <is>
          <t>Yale</t>
        </is>
      </c>
      <c r="B10" s="9" t="inlineStr">
        <is>
          <t>June 30, 2025</t>
        </is>
      </c>
      <c r="C10" s="19" t="n">
        <v>2737371000</v>
      </c>
      <c r="D10" s="9" t="inlineStr">
        <is>
          <t>audited line</t>
        </is>
      </c>
      <c r="E10" s="19">
        <f>C10+861635000</f>
        <v/>
      </c>
      <c r="H10" s="19" t="n">
        <v>5807911000</v>
      </c>
      <c r="I10" s="19" t="n">
        <v>504923000</v>
      </c>
      <c r="L10" s="19">
        <f>H10-I10-J10-K10</f>
        <v/>
      </c>
      <c r="M10" s="19" t="n">
        <v>15564</v>
      </c>
      <c r="N10" s="11">
        <f>C10/M10</f>
        <v/>
      </c>
      <c r="O10" s="11">
        <f>L10/M10</f>
        <v/>
      </c>
      <c r="P10" s="20">
        <f>C10/L10</f>
        <v/>
      </c>
      <c r="Q10" s="21">
        <f>O10*P10-N10</f>
        <v/>
      </c>
      <c r="R10" s="9" t="inlineStr">
        <is>
          <t>no</t>
        </is>
      </c>
      <c r="S10" s="4" t="inlineStr">
        <is>
          <t>Yale reports depreciation, amortization and interest as ONE operating line ($504.9M); shown in the depreciation column.</t>
        </is>
      </c>
    </row>
    <row r="11">
      <c r="A11" s="9" t="inlineStr">
        <is>
          <t>Chicago</t>
        </is>
      </c>
      <c r="B11" s="9" t="inlineStr">
        <is>
          <t>June 30, 2025</t>
        </is>
      </c>
      <c r="C11" s="19" t="n">
        <v>3678678000</v>
      </c>
      <c r="D11" s="9" t="inlineStr">
        <is>
          <t>audited line</t>
        </is>
      </c>
      <c r="E11" s="19" t="n">
        <v>4517817000</v>
      </c>
      <c r="H11" s="19" t="n">
        <v>8283042000</v>
      </c>
      <c r="I11" s="19" t="n">
        <v>401386000</v>
      </c>
      <c r="K11" s="19" t="n">
        <v>215170000</v>
      </c>
      <c r="L11" s="19">
        <f>H11-I11-J11-K11</f>
        <v/>
      </c>
      <c r="M11" s="19" t="n">
        <v>16221</v>
      </c>
      <c r="N11" s="11">
        <f>C11/M11</f>
        <v/>
      </c>
      <c r="O11" s="11">
        <f>L11/M11</f>
        <v/>
      </c>
      <c r="P11" s="20">
        <f>C11/L11</f>
        <v/>
      </c>
      <c r="Q11" s="21">
        <f>O11*P11-N11</f>
        <v/>
      </c>
      <c r="R11" s="9" t="inlineStr">
        <is>
          <t>UChicago Medicine</t>
        </is>
      </c>
      <c r="S11" s="4" t="inlineStr">
        <is>
          <t>Includes UChicago Medicine; Argonne and Fermilab are not consolidated.</t>
        </is>
      </c>
    </row>
    <row r="12">
      <c r="A12" s="9" t="inlineStr">
        <is>
          <t>Duke</t>
        </is>
      </c>
      <c r="B12" s="9" t="inlineStr">
        <is>
          <t>June 30, 2025</t>
        </is>
      </c>
      <c r="C12" s="19" t="n">
        <v>5041664000</v>
      </c>
      <c r="D12" s="9" t="inlineStr">
        <is>
          <t>audited line</t>
        </is>
      </c>
      <c r="E12" s="19" t="n">
        <v>6230712000</v>
      </c>
      <c r="H12" s="19" t="n">
        <v>10953208000</v>
      </c>
      <c r="I12" s="19" t="n">
        <v>471677000</v>
      </c>
      <c r="K12" s="19" t="n">
        <v>161512000</v>
      </c>
      <c r="L12" s="19">
        <f>H12-I12-J12-K12</f>
        <v/>
      </c>
      <c r="M12" s="19" t="n">
        <v>17499</v>
      </c>
      <c r="N12" s="11">
        <f>C12/M12</f>
        <v/>
      </c>
      <c r="O12" s="11">
        <f>L12/M12</f>
        <v/>
      </c>
      <c r="P12" s="20">
        <f>C12/L12</f>
        <v/>
      </c>
      <c r="Q12" s="21">
        <f>O12*P12-N12</f>
        <v/>
      </c>
      <c r="R12" s="9" t="inlineStr">
        <is>
          <t>Duke University Health System</t>
        </is>
      </c>
      <c r="S12" s="4" t="inlineStr">
        <is>
          <t>Depreciation and amortization are one line ($471.7M). Health system acquired the physician practice July 1, 2023 (FY23 not comparable; FY25 fine).</t>
        </is>
      </c>
    </row>
    <row r="13">
      <c r="A13" s="9" t="inlineStr">
        <is>
          <t>Emory</t>
        </is>
      </c>
      <c r="B13" s="9" t="inlineStr">
        <is>
          <t>August 31, 2025</t>
        </is>
      </c>
      <c r="C13" s="19" t="n">
        <v>5265449000</v>
      </c>
      <c r="D13" s="9" t="inlineStr">
        <is>
          <t>audited line</t>
        </is>
      </c>
      <c r="E13" s="19">
        <f>C13+1259151000</f>
        <v/>
      </c>
      <c r="H13" s="19" t="n">
        <v>10577959000</v>
      </c>
      <c r="I13" s="19" t="n">
        <v>379158000</v>
      </c>
      <c r="K13" s="19" t="n">
        <v>113892000</v>
      </c>
      <c r="L13" s="19">
        <f>H13-I13-J13-K13</f>
        <v/>
      </c>
      <c r="M13" s="19" t="n">
        <v>15179</v>
      </c>
      <c r="N13" s="11">
        <f>C13/M13</f>
        <v/>
      </c>
      <c r="O13" s="11">
        <f>L13/M13</f>
        <v/>
      </c>
      <c r="P13" s="20">
        <f>C13/L13</f>
        <v/>
      </c>
      <c r="Q13" s="21">
        <f>O13*P13-N13</f>
        <v/>
      </c>
      <c r="R13" s="9" t="inlineStr">
        <is>
          <t>Emory Healthcare</t>
        </is>
      </c>
      <c r="S13" s="4" t="inlineStr">
        <is>
          <t>Depreciation and amortization are one line ($379.2M).</t>
        </is>
      </c>
    </row>
    <row r="14">
      <c r="A14" s="9" t="inlineStr">
        <is>
          <t>Penn</t>
        </is>
      </c>
      <c r="B14" s="9" t="inlineStr">
        <is>
          <t>June 30, 2025</t>
        </is>
      </c>
      <c r="C14" s="19">
        <f>E14/(1+$E$3)</f>
        <v/>
      </c>
      <c r="D14" s="22" t="inlineStr">
        <is>
          <t>ESTIMATE (combined / (1 + fringe rate))</t>
        </is>
      </c>
      <c r="E14" s="19" t="n">
        <v>9019270000</v>
      </c>
      <c r="F14" s="19" t="n">
        <v>4515553000</v>
      </c>
      <c r="G14" s="19" t="n">
        <v>5886033000</v>
      </c>
      <c r="H14" s="19" t="n">
        <v>16445321000</v>
      </c>
      <c r="I14" s="19" t="n">
        <v>686510000</v>
      </c>
      <c r="K14" s="19" t="n">
        <v>133923000</v>
      </c>
      <c r="L14" s="19">
        <f>H14-I14-J14-K14</f>
        <v/>
      </c>
      <c r="M14" s="19" t="n">
        <v>24023</v>
      </c>
      <c r="N14" s="11">
        <f>C14/M14</f>
        <v/>
      </c>
      <c r="O14" s="11">
        <f>L14/M14</f>
        <v/>
      </c>
      <c r="P14" s="20">
        <f>C14/L14</f>
        <v/>
      </c>
      <c r="Q14" s="21">
        <f>O14*P14-N14</f>
        <v/>
      </c>
      <c r="R14" s="9" t="inlineStr">
        <is>
          <t>Penn Medicine (UPHS)</t>
        </is>
      </c>
      <c r="S14" s="4" t="inlineStr">
        <is>
          <t>Statements show 'compensation and benefits' combined only. S&amp;W ESTIMATED = combined / (1 + 35% assumed fringe rate), per Northeastern. Columns F-G (Form 990, narrower scope) are shown for reference only. D&amp;A one line.</t>
        </is>
      </c>
    </row>
    <row r="15">
      <c r="A15" s="9" t="inlineStr">
        <is>
          <t>Stanford</t>
        </is>
      </c>
      <c r="B15" s="9" t="inlineStr">
        <is>
          <t>August 31, 2025</t>
        </is>
      </c>
      <c r="C15" s="19">
        <f>E15/(1+$E$3)</f>
        <v/>
      </c>
      <c r="D15" s="22" t="inlineStr">
        <is>
          <t>ESTIMATE (combined / (1 + fringe rate))</t>
        </is>
      </c>
      <c r="E15" s="19" t="n">
        <v>11647045000</v>
      </c>
      <c r="F15" s="19" t="n">
        <v>4781181437</v>
      </c>
      <c r="G15" s="19" t="n">
        <v>5963697901</v>
      </c>
      <c r="H15" s="19" t="n">
        <v>18935447000</v>
      </c>
      <c r="I15" s="19" t="n">
        <v>930917000</v>
      </c>
      <c r="K15" s="19" t="n">
        <v>278763000</v>
      </c>
      <c r="L15" s="19">
        <f>H15-I15-J15-K15</f>
        <v/>
      </c>
      <c r="M15" s="19" t="n">
        <v>18625</v>
      </c>
      <c r="N15" s="11">
        <f>C15/M15</f>
        <v/>
      </c>
      <c r="O15" s="11">
        <f>L15/M15</f>
        <v/>
      </c>
      <c r="P15" s="20">
        <f>C15/L15</f>
        <v/>
      </c>
      <c r="Q15" s="21">
        <f>O15*P15-N15</f>
        <v/>
      </c>
      <c r="R15" s="9" t="inlineStr">
        <is>
          <t>Stanford Health Care and Lucile Packard Children's Hospital</t>
        </is>
      </c>
      <c r="S15" s="4" t="inlineStr">
        <is>
          <t>Statements show salaries and benefits combined only. S&amp;W ESTIMATED = combined / (1 + 35% assumed fringe rate), per Northeastern. Columns F-G (Form 990, narrower scope) are reference only. Interest is net and embedded in other operating expenses. Includes SLAC and the hospitals.</t>
        </is>
      </c>
    </row>
    <row r="16">
      <c r="A16" s="13" t="inlineStr">
        <is>
          <t>Northeastern</t>
        </is>
      </c>
      <c r="B16" s="9" t="inlineStr">
        <is>
          <t>June 30, 2025</t>
        </is>
      </c>
      <c r="C16" s="19">
        <f>F16</f>
        <v/>
      </c>
      <c r="D16" s="9" t="inlineStr">
        <is>
          <t>Form 990 (96.8% of audited combined)</t>
        </is>
      </c>
      <c r="E16" s="19" t="n">
        <v>1341049000</v>
      </c>
      <c r="F16" s="19" t="n">
        <v>1045135178</v>
      </c>
      <c r="G16" s="19" t="n">
        <v>1297581752</v>
      </c>
      <c r="H16" s="19" t="n">
        <v>2388249000</v>
      </c>
      <c r="I16" s="19" t="n">
        <v>151250000</v>
      </c>
      <c r="K16" s="19" t="n">
        <v>49862000</v>
      </c>
      <c r="L16" s="19">
        <f>H16-I16-J16-K16</f>
        <v/>
      </c>
      <c r="M16" s="19" t="n">
        <v>39774</v>
      </c>
      <c r="N16" s="11">
        <f>C16/M16</f>
        <v/>
      </c>
      <c r="O16" s="11">
        <f>L16/M16</f>
        <v/>
      </c>
      <c r="P16" s="20">
        <f>C16/L16</f>
        <v/>
      </c>
      <c r="Q16" s="21">
        <f>O16*P16-N16</f>
        <v/>
      </c>
      <c r="R16" s="9" t="inlineStr">
        <is>
          <t>no</t>
        </is>
      </c>
      <c r="S16" s="4" t="inlineStr">
        <is>
          <t>Audited statements show 'Salary and benefits' combined ($1,341.0M). S&amp;W from Form 990 lines 5+6+7 (990 lines 5-10 are 96.8% of the audited combined line). Interest ($49.9M) is below the debt-note figure ($60.0M).</t>
        </is>
      </c>
    </row>
    <row r="17">
      <c r="A17" s="9" t="inlineStr">
        <is>
          <t>Boston University</t>
        </is>
      </c>
      <c r="B17" s="9" t="inlineStr">
        <is>
          <t>June 30, 2025</t>
        </is>
      </c>
      <c r="C17" s="19" t="n">
        <v>1238476000</v>
      </c>
      <c r="D17" s="9" t="inlineStr">
        <is>
          <t>audited line</t>
        </is>
      </c>
      <c r="E17" s="19">
        <f>C17+389796000</f>
        <v/>
      </c>
      <c r="H17" s="19" t="n">
        <v>2719848000</v>
      </c>
      <c r="I17" s="19" t="n">
        <v>160697000</v>
      </c>
      <c r="K17" s="19" t="n">
        <v>81689000</v>
      </c>
      <c r="L17" s="19">
        <f>H17-I17-J17-K17</f>
        <v/>
      </c>
      <c r="M17" s="19" t="n">
        <v>37737</v>
      </c>
      <c r="N17" s="11">
        <f>C17/M17</f>
        <v/>
      </c>
      <c r="O17" s="11">
        <f>L17/M17</f>
        <v/>
      </c>
      <c r="P17" s="20">
        <f>C17/L17</f>
        <v/>
      </c>
      <c r="Q17" s="21">
        <f>O17*P17-N17</f>
        <v/>
      </c>
      <c r="R17" s="9" t="inlineStr">
        <is>
          <t>no</t>
        </is>
      </c>
      <c r="S17" s="4" t="inlineStr">
        <is>
          <t>Separate S&amp;W line in the audited statements. Boston Medical Center is not consolidated. Right-of-use amortization (~$15M) not removed.</t>
        </is>
      </c>
    </row>
    <row r="18">
      <c r="A18" s="9" t="inlineStr">
        <is>
          <t>MIT</t>
        </is>
      </c>
      <c r="B18" s="9" t="inlineStr">
        <is>
          <t>June 30, 2025</t>
        </is>
      </c>
      <c r="C18" s="19" t="n">
        <v>2090862000</v>
      </c>
      <c r="D18" s="9" t="inlineStr">
        <is>
          <t>audited line</t>
        </is>
      </c>
      <c r="E18" s="19" t="n">
        <v>2796822000</v>
      </c>
      <c r="H18" s="19" t="n">
        <v>5117184000</v>
      </c>
      <c r="I18" s="19" t="n">
        <v>289575000</v>
      </c>
      <c r="K18" s="19" t="n">
        <v>170489000</v>
      </c>
      <c r="L18" s="19">
        <f>H18-I18-J18-K18</f>
        <v/>
      </c>
      <c r="M18" s="19" t="n">
        <v>11886</v>
      </c>
      <c r="N18" s="11">
        <f>C18/M18</f>
        <v/>
      </c>
      <c r="O18" s="11">
        <f>L18/M18</f>
        <v/>
      </c>
      <c r="P18" s="20">
        <f>C18/L18</f>
        <v/>
      </c>
      <c r="Q18" s="21">
        <f>O18*P18-N18</f>
        <v/>
      </c>
      <c r="R18" s="9" t="inlineStr">
        <is>
          <t>no</t>
        </is>
      </c>
      <c r="S18" s="4" t="inlineStr">
        <is>
          <t>Includes Lincoln Laboratory (S&amp;W not disclosed separately). 'Total expenses before depreciation and interest' = core. Net periodic benefit income of $170M is outside operating expenses.</t>
        </is>
      </c>
    </row>
    <row r="20">
      <c r="A20" s="3" t="inlineStr">
        <is>
          <t>Median (13 schools with data)</t>
        </is>
      </c>
      <c r="N20" s="8">
        <f>MEDIAN(N5:N18)</f>
        <v/>
      </c>
      <c r="O20" s="8">
        <f>MEDIAN(O5:O18)</f>
        <v/>
      </c>
      <c r="P20" s="23">
        <f>MEDIAN(P5:P18)</f>
        <v/>
      </c>
    </row>
    <row r="21">
      <c r="A21" s="3" t="inlineStr">
        <is>
          <t>Northeastern rank, S&amp;W per student (1 = lowest)</t>
        </is>
      </c>
      <c r="N21" s="10">
        <f>RANK(N16,N5:N18,1)</f>
        <v/>
      </c>
    </row>
    <row r="22">
      <c r="A22" s="3" t="inlineStr">
        <is>
          <t>Northeastern S&amp;W per student as % of peer median</t>
        </is>
      </c>
      <c r="N22" s="24">
        <f>N16/N20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46" customWidth="1" min="1" max="1"/>
    <col width="14" customWidth="1" min="2" max="2"/>
    <col width="16" customWidth="1" min="3" max="3"/>
    <col width="18" customWidth="1" min="4" max="4"/>
    <col width="90" customWidth="1" min="5" max="5"/>
  </cols>
  <sheetData>
    <row r="1">
      <c r="A1" s="1" t="inlineStr">
        <is>
          <t>Slide 3: sensitivity of the conclusions to the three judgement calls</t>
        </is>
      </c>
    </row>
    <row r="2">
      <c r="A2" s="2" t="inlineStr">
        <is>
          <t>A: student count basis for Northeastern.  B: all schools, CDS fall 2024 vs IPEDS-style headcount.  C: estimated S&amp;W for Penn and Stanford under alternative wage shares.</t>
        </is>
      </c>
    </row>
    <row r="4">
      <c r="A4" s="3" t="inlineStr">
        <is>
          <t>A. Northeastern S&amp;W per student by student-count basis</t>
        </is>
      </c>
    </row>
    <row r="5">
      <c r="A5" s="5" t="inlineStr">
        <is>
          <t>Basis</t>
        </is>
      </c>
      <c r="B5" s="5" t="inlineStr">
        <is>
          <t>Students</t>
        </is>
      </c>
      <c r="C5" s="5" t="inlineStr">
        <is>
          <t>S&amp;W per student</t>
        </is>
      </c>
      <c r="D5" s="5" t="inlineStr">
        <is>
          <t>Core opex per student</t>
        </is>
      </c>
      <c r="E5" s="5" t="inlineStr">
        <is>
          <t>Note</t>
        </is>
      </c>
    </row>
    <row r="6">
      <c r="A6" s="9" t="inlineStr">
        <is>
          <t>Common Data Set 2024-25 (used on slide)</t>
        </is>
      </c>
      <c r="B6" s="19" t="n">
        <v>39774</v>
      </c>
      <c r="C6" s="11">
        <f>S3_FY25!C16/B6</f>
        <v/>
      </c>
      <c r="D6" s="11">
        <f>S3_FY25!L16/B6</f>
        <v/>
      </c>
      <c r="E6" s="9" t="inlineStr">
        <is>
          <t>B1 'total all students'</t>
        </is>
      </c>
    </row>
    <row r="7">
      <c r="A7" s="9" t="inlineStr">
        <is>
          <t>IPEDS-style headcount (College Navigator fall 2024)</t>
        </is>
      </c>
      <c r="B7" s="19" t="n">
        <v>32553</v>
      </c>
      <c r="C7" s="11">
        <f>S3_FY25!C16/B7</f>
        <v/>
      </c>
      <c r="D7" s="11">
        <f>S3_FY25!L16/B7</f>
        <v/>
      </c>
      <c r="E7" s="9" t="inlineStr">
        <is>
          <t>As reported by the enrollment agent from College Navigator; IPEDS file for fall 2024 is not yet posted</t>
        </is>
      </c>
    </row>
    <row r="8">
      <c r="A8" s="9" t="inlineStr">
        <is>
          <t>Northeastern Facts and Figures fall 2024</t>
        </is>
      </c>
      <c r="B8" s="19" t="n">
        <v>48812</v>
      </c>
      <c r="C8" s="11">
        <f>S3_FY25!C16/B8</f>
        <v/>
      </c>
      <c r="D8" s="11">
        <f>S3_FY25!L16/B8</f>
        <v/>
      </c>
      <c r="E8" s="9" t="inlineStr">
        <is>
          <t>Excludes non-degree students; adds co-op students as an extra column</t>
        </is>
      </c>
    </row>
    <row r="10">
      <c r="A10" s="3" t="inlineStr">
        <is>
          <t>B. S&amp;W per student: CDS fall 2024 vs IPEDS fall 2023 headcount</t>
        </is>
      </c>
    </row>
    <row r="11">
      <c r="A11" s="5" t="inlineStr">
        <is>
          <t>Institution</t>
        </is>
      </c>
      <c r="B11" s="5" t="inlineStr">
        <is>
          <t>CDS fall 2024</t>
        </is>
      </c>
      <c r="C11" s="5" t="inlineStr">
        <is>
          <t>IPEDS fall 2023</t>
        </is>
      </c>
      <c r="D11" s="5" t="inlineStr">
        <is>
          <t>S&amp;W per student (CDS)</t>
        </is>
      </c>
      <c r="E11" s="5" t="inlineStr">
        <is>
          <t>S&amp;W per student (IPEDS F23)</t>
        </is>
      </c>
      <c r="F11" s="5" t="inlineStr">
        <is>
          <t>Rank low-to-high (CDS)</t>
        </is>
      </c>
      <c r="G11" s="5" t="inlineStr">
        <is>
          <t>Rank low-to-high (IPEDS)</t>
        </is>
      </c>
      <c r="H11" s="5" t="inlineStr">
        <is>
          <t>IPEDS F23 vs CDS F24 (%)</t>
        </is>
      </c>
    </row>
    <row r="12">
      <c r="A12" s="9" t="inlineStr">
        <is>
          <t>Rice</t>
        </is>
      </c>
      <c r="B12" s="19">
        <f>S3_FY25!M5</f>
        <v/>
      </c>
      <c r="C12" s="19" t="n">
        <v>8556</v>
      </c>
      <c r="D12" s="11">
        <f>S3_FY25!C5/B12</f>
        <v/>
      </c>
      <c r="E12" s="11">
        <f>S3_FY25!C5/C12</f>
        <v/>
      </c>
      <c r="F12" s="16">
        <f>RANK(D12,D$12:D$24,1)</f>
        <v/>
      </c>
      <c r="G12" s="16">
        <f>RANK(E12,E$12:E$24,1)</f>
        <v/>
      </c>
      <c r="H12" s="25">
        <f>(C12/B12-1)*100</f>
        <v/>
      </c>
    </row>
    <row r="13">
      <c r="A13" s="9" t="inlineStr">
        <is>
          <t>Vanderbilt</t>
        </is>
      </c>
      <c r="B13" s="19">
        <f>S3_FY25!M6</f>
        <v/>
      </c>
      <c r="C13" s="19" t="n">
        <v>13456</v>
      </c>
      <c r="D13" s="11">
        <f>S3_FY25!C6/B13</f>
        <v/>
      </c>
      <c r="E13" s="11">
        <f>S3_FY25!C6/C13</f>
        <v/>
      </c>
      <c r="F13" s="16">
        <f>RANK(D13,D$12:D$24,1)</f>
        <v/>
      </c>
      <c r="G13" s="16">
        <f>RANK(E13,E$12:E$24,1)</f>
        <v/>
      </c>
      <c r="H13" s="25">
        <f>(C13/B13-1)*100</f>
        <v/>
      </c>
    </row>
    <row r="14">
      <c r="A14" s="9" t="inlineStr">
        <is>
          <t>Northwestern</t>
        </is>
      </c>
      <c r="B14" s="19">
        <f>S3_FY25!M7</f>
        <v/>
      </c>
      <c r="C14" s="19" t="n">
        <v>23203</v>
      </c>
      <c r="D14" s="11">
        <f>S3_FY25!C7/B14</f>
        <v/>
      </c>
      <c r="E14" s="11">
        <f>S3_FY25!C7/C14</f>
        <v/>
      </c>
      <c r="F14" s="16">
        <f>RANK(D14,D$12:D$24,1)</f>
        <v/>
      </c>
      <c r="G14" s="16">
        <f>RANK(E14,E$12:E$24,1)</f>
        <v/>
      </c>
      <c r="H14" s="25">
        <f>(C14/B14-1)*100</f>
        <v/>
      </c>
    </row>
    <row r="15">
      <c r="A15" s="9" t="inlineStr">
        <is>
          <t>Princeton</t>
        </is>
      </c>
      <c r="B15" s="19">
        <f>S3_FY25!M8</f>
        <v/>
      </c>
      <c r="C15" s="19" t="n">
        <v>8922</v>
      </c>
      <c r="D15" s="11">
        <f>S3_FY25!C8/B15</f>
        <v/>
      </c>
      <c r="E15" s="11">
        <f>S3_FY25!C8/C15</f>
        <v/>
      </c>
      <c r="F15" s="16">
        <f>RANK(D15,D$12:D$24,1)</f>
        <v/>
      </c>
      <c r="G15" s="16">
        <f>RANK(E15,E$12:E$24,1)</f>
        <v/>
      </c>
      <c r="H15" s="25">
        <f>(C15/B15-1)*100</f>
        <v/>
      </c>
    </row>
    <row r="16">
      <c r="A16" s="9" t="inlineStr">
        <is>
          <t>Yale</t>
        </is>
      </c>
      <c r="B16" s="19">
        <f>S3_FY25!M10</f>
        <v/>
      </c>
      <c r="C16" s="19" t="n">
        <v>15081</v>
      </c>
      <c r="D16" s="11">
        <f>S3_FY25!C10/B16</f>
        <v/>
      </c>
      <c r="E16" s="11">
        <f>S3_FY25!C10/C16</f>
        <v/>
      </c>
      <c r="F16" s="16">
        <f>RANK(D16,D$12:D$24,1)</f>
        <v/>
      </c>
      <c r="G16" s="16">
        <f>RANK(E16,E$12:E$24,1)</f>
        <v/>
      </c>
      <c r="H16" s="25">
        <f>(C16/B16-1)*100</f>
        <v/>
      </c>
    </row>
    <row r="17">
      <c r="A17" s="9" t="inlineStr">
        <is>
          <t>Chicago</t>
        </is>
      </c>
      <c r="B17" s="19">
        <f>S3_FY25!M11</f>
        <v/>
      </c>
      <c r="C17" s="19" t="n">
        <v>18339</v>
      </c>
      <c r="D17" s="11">
        <f>S3_FY25!C11/B17</f>
        <v/>
      </c>
      <c r="E17" s="11">
        <f>S3_FY25!C11/C17</f>
        <v/>
      </c>
      <c r="F17" s="16">
        <f>RANK(D17,D$12:D$24,1)</f>
        <v/>
      </c>
      <c r="G17" s="16">
        <f>RANK(E17,E$12:E$24,1)</f>
        <v/>
      </c>
      <c r="H17" s="25">
        <f>(C17/B17-1)*100</f>
        <v/>
      </c>
    </row>
    <row r="18">
      <c r="A18" s="9" t="inlineStr">
        <is>
          <t>Duke</t>
        </is>
      </c>
      <c r="B18" s="19">
        <f>S3_FY25!M12</f>
        <v/>
      </c>
      <c r="C18" s="19" t="n">
        <v>17112</v>
      </c>
      <c r="D18" s="11">
        <f>S3_FY25!C12/B18</f>
        <v/>
      </c>
      <c r="E18" s="11">
        <f>S3_FY25!C12/C18</f>
        <v/>
      </c>
      <c r="F18" s="16">
        <f>RANK(D18,D$12:D$24,1)</f>
        <v/>
      </c>
      <c r="G18" s="16">
        <f>RANK(E18,E$12:E$24,1)</f>
        <v/>
      </c>
      <c r="H18" s="25">
        <f>(C18/B18-1)*100</f>
        <v/>
      </c>
    </row>
    <row r="19">
      <c r="A19" s="9" t="inlineStr">
        <is>
          <t>Emory</t>
        </is>
      </c>
      <c r="B19" s="19">
        <f>S3_FY25!M13</f>
        <v/>
      </c>
      <c r="C19" s="19" t="n">
        <v>15046</v>
      </c>
      <c r="D19" s="11">
        <f>S3_FY25!C13/B19</f>
        <v/>
      </c>
      <c r="E19" s="11">
        <f>S3_FY25!C13/C19</f>
        <v/>
      </c>
      <c r="F19" s="16">
        <f>RANK(D19,D$12:D$24,1)</f>
        <v/>
      </c>
      <c r="G19" s="16">
        <f>RANK(E19,E$12:E$24,1)</f>
        <v/>
      </c>
      <c r="H19" s="25">
        <f>(C19/B19-1)*100</f>
        <v/>
      </c>
    </row>
    <row r="20">
      <c r="A20" s="9" t="inlineStr">
        <is>
          <t>Penn</t>
        </is>
      </c>
      <c r="B20" s="19">
        <f>S3_FY25!M14</f>
        <v/>
      </c>
      <c r="C20" s="19" t="n">
        <v>28711</v>
      </c>
      <c r="D20" s="11">
        <f>S3_FY25!C14/B20</f>
        <v/>
      </c>
      <c r="E20" s="11">
        <f>S3_FY25!C14/C20</f>
        <v/>
      </c>
      <c r="F20" s="16">
        <f>RANK(D20,D$12:D$24,1)</f>
        <v/>
      </c>
      <c r="G20" s="16">
        <f>RANK(E20,E$12:E$24,1)</f>
        <v/>
      </c>
      <c r="H20" s="25">
        <f>(C20/B20-1)*100</f>
        <v/>
      </c>
    </row>
    <row r="21">
      <c r="A21" s="9" t="inlineStr">
        <is>
          <t>Stanford</t>
        </is>
      </c>
      <c r="B21" s="19">
        <f>S3_FY25!M15</f>
        <v/>
      </c>
      <c r="C21" s="19" t="n">
        <v>18446</v>
      </c>
      <c r="D21" s="11">
        <f>S3_FY25!C15/B21</f>
        <v/>
      </c>
      <c r="E21" s="11">
        <f>S3_FY25!C15/C21</f>
        <v/>
      </c>
      <c r="F21" s="16">
        <f>RANK(D21,D$12:D$24,1)</f>
        <v/>
      </c>
      <c r="G21" s="16">
        <f>RANK(E21,E$12:E$24,1)</f>
        <v/>
      </c>
      <c r="H21" s="25">
        <f>(C21/B21-1)*100</f>
        <v/>
      </c>
    </row>
    <row r="22">
      <c r="A22" s="9" t="inlineStr">
        <is>
          <t>Northeastern</t>
        </is>
      </c>
      <c r="B22" s="19">
        <f>S3_FY25!M16</f>
        <v/>
      </c>
      <c r="C22" s="19" t="n">
        <v>31159</v>
      </c>
      <c r="D22" s="11">
        <f>S3_FY25!C16/B22</f>
        <v/>
      </c>
      <c r="E22" s="11">
        <f>S3_FY25!C16/C22</f>
        <v/>
      </c>
      <c r="F22" s="16">
        <f>RANK(D22,D$12:D$24,1)</f>
        <v/>
      </c>
      <c r="G22" s="16">
        <f>RANK(E22,E$12:E$24,1)</f>
        <v/>
      </c>
      <c r="H22" s="25">
        <f>(C22/B22-1)*100</f>
        <v/>
      </c>
    </row>
    <row r="23">
      <c r="A23" s="9" t="inlineStr">
        <is>
          <t>Boston University</t>
        </is>
      </c>
      <c r="B23" s="19">
        <f>S3_FY25!M17</f>
        <v/>
      </c>
      <c r="C23" s="19" t="n">
        <v>36624</v>
      </c>
      <c r="D23" s="11">
        <f>S3_FY25!C17/B23</f>
        <v/>
      </c>
      <c r="E23" s="11">
        <f>S3_FY25!C17/C23</f>
        <v/>
      </c>
      <c r="F23" s="16">
        <f>RANK(D23,D$12:D$24,1)</f>
        <v/>
      </c>
      <c r="G23" s="16">
        <f>RANK(E23,E$12:E$24,1)</f>
        <v/>
      </c>
      <c r="H23" s="25">
        <f>(C23/B23-1)*100</f>
        <v/>
      </c>
    </row>
    <row r="24">
      <c r="A24" s="9" t="inlineStr">
        <is>
          <t>MIT</t>
        </is>
      </c>
      <c r="B24" s="19">
        <f>S3_FY25!M18</f>
        <v/>
      </c>
      <c r="C24" s="19" t="n">
        <v>11920</v>
      </c>
      <c r="D24" s="11">
        <f>S3_FY25!C18/B24</f>
        <v/>
      </c>
      <c r="E24" s="11">
        <f>S3_FY25!C18/C24</f>
        <v/>
      </c>
      <c r="F24" s="16">
        <f>RANK(D24,D$12:D$24,1)</f>
        <v/>
      </c>
      <c r="G24" s="16">
        <f>RANK(E24,E$12:E$24,1)</f>
        <v/>
      </c>
      <c r="H24" s="25">
        <f>(C24/B24-1)*100</f>
        <v/>
      </c>
    </row>
    <row r="27">
      <c r="A27" s="3" t="inlineStr">
        <is>
          <t>C. Penn and Stanford estimated S&amp;W under alternative assumptions</t>
        </is>
      </c>
    </row>
    <row r="28">
      <c r="A28" s="5" t="inlineStr">
        <is>
          <t>Institution</t>
        </is>
      </c>
      <c r="B28" s="5" t="inlineStr">
        <is>
          <t>Salaries + benefits ($)</t>
        </is>
      </c>
      <c r="C28" s="5" t="inlineStr">
        <is>
          <t>Fringe rate used (input on S3_FY25)</t>
        </is>
      </c>
      <c r="D28" s="5" t="inlineStr">
        <is>
          <t>S&amp;W per student, used</t>
        </is>
      </c>
      <c r="E28" s="5" t="inlineStr">
        <is>
          <t>Alt 1: own Form 990 S&amp;W share</t>
        </is>
      </c>
      <c r="F28" s="5" t="inlineStr">
        <is>
          <t>S&amp;W per student, Alt 1</t>
        </is>
      </c>
      <c r="G28" s="5" t="inlineStr">
        <is>
          <t>Alt 1 vs used (%)</t>
        </is>
      </c>
      <c r="H28" s="5" t="inlineStr">
        <is>
          <t>Alt 2: original slide 72.8%</t>
        </is>
      </c>
      <c r="I28" s="5" t="inlineStr">
        <is>
          <t>S&amp;W per student, Alt 2</t>
        </is>
      </c>
      <c r="J28" s="5" t="inlineStr">
        <is>
          <t>Alt 2 vs used (%)</t>
        </is>
      </c>
    </row>
    <row r="29">
      <c r="A29" s="9" t="inlineStr">
        <is>
          <t>Penn</t>
        </is>
      </c>
      <c r="B29" s="19">
        <f>S3_FY25!E14</f>
        <v/>
      </c>
      <c r="C29" s="15">
        <f>S3_FY25!E3</f>
        <v/>
      </c>
      <c r="D29" s="11">
        <f>B29/(1+C29)/S3_FY25!M14</f>
        <v/>
      </c>
      <c r="E29" s="20">
        <f>S3_FY25!F14/S3_FY25!G14</f>
        <v/>
      </c>
      <c r="F29" s="11">
        <f>B29*E29/S3_FY25!M14</f>
        <v/>
      </c>
      <c r="G29" s="25">
        <f>(F29/D29-1)*100</f>
        <v/>
      </c>
      <c r="H29" s="20" t="n">
        <v>0.728</v>
      </c>
      <c r="I29" s="11">
        <f>B29*H29/S3_FY25!M14</f>
        <v/>
      </c>
      <c r="J29" s="25">
        <f>(I29/D29-1)*100</f>
        <v/>
      </c>
    </row>
    <row r="30">
      <c r="A30" s="9" t="inlineStr">
        <is>
          <t>Stanford</t>
        </is>
      </c>
      <c r="B30" s="19">
        <f>S3_FY25!E15</f>
        <v/>
      </c>
      <c r="C30" s="15">
        <f>S3_FY25!E3</f>
        <v/>
      </c>
      <c r="D30" s="11">
        <f>B30/(1+C30)/S3_FY25!M15</f>
        <v/>
      </c>
      <c r="E30" s="20">
        <f>S3_FY25!F15/S3_FY25!G15</f>
        <v/>
      </c>
      <c r="F30" s="11">
        <f>B30*E30/S3_FY25!M15</f>
        <v/>
      </c>
      <c r="G30" s="25">
        <f>(F30/D30-1)*100</f>
        <v/>
      </c>
      <c r="H30" s="20" t="n">
        <v>0.728</v>
      </c>
      <c r="I30" s="11">
        <f>B30*H30/S3_FY25!M15</f>
        <v/>
      </c>
      <c r="J30" s="25">
        <f>(I30/D30-1)*100</f>
        <v/>
      </c>
    </row>
    <row r="32">
      <c r="A32" s="3" t="inlineStr">
        <is>
          <t>D. Fringe benefit rates (benefits / S&amp;W) observed where audited statements report both lines</t>
        </is>
      </c>
    </row>
    <row r="33">
      <c r="A33" s="5" t="inlineStr">
        <is>
          <t>Institution</t>
        </is>
      </c>
      <c r="B33" s="5" t="inlineStr">
        <is>
          <t>S&amp;W ($)</t>
        </is>
      </c>
      <c r="C33" s="5" t="inlineStr">
        <is>
          <t>Benefits ($)</t>
        </is>
      </c>
      <c r="D33" s="5" t="inlineStr">
        <is>
          <t>Fringe rate</t>
        </is>
      </c>
    </row>
    <row r="34">
      <c r="A34" s="9" t="inlineStr">
        <is>
          <t>Rice</t>
        </is>
      </c>
      <c r="B34" s="19">
        <f>S3_FY25!C5</f>
        <v/>
      </c>
      <c r="C34" s="19">
        <f>S3_FY25!E5-S3_FY25!C5</f>
        <v/>
      </c>
      <c r="D34" s="20">
        <f>C34/B34</f>
        <v/>
      </c>
    </row>
    <row r="35">
      <c r="A35" s="9" t="inlineStr">
        <is>
          <t>Princeton</t>
        </is>
      </c>
      <c r="B35" s="19">
        <f>S3_FY25!C8</f>
        <v/>
      </c>
      <c r="C35" s="19">
        <f>S3_FY25!E8-S3_FY25!C8</f>
        <v/>
      </c>
      <c r="D35" s="20">
        <f>C35/B35</f>
        <v/>
      </c>
    </row>
    <row r="36">
      <c r="A36" s="9" t="inlineStr">
        <is>
          <t>Yale</t>
        </is>
      </c>
      <c r="B36" s="19">
        <f>S3_FY25!C10</f>
        <v/>
      </c>
      <c r="C36" s="19">
        <f>S3_FY25!E10-S3_FY25!C10</f>
        <v/>
      </c>
      <c r="D36" s="20">
        <f>C36/B36</f>
        <v/>
      </c>
    </row>
    <row r="37">
      <c r="A37" s="9" t="inlineStr">
        <is>
          <t>Chicago</t>
        </is>
      </c>
      <c r="B37" s="19">
        <f>S3_FY25!C11</f>
        <v/>
      </c>
      <c r="C37" s="19">
        <f>S3_FY25!E11-S3_FY25!C11</f>
        <v/>
      </c>
      <c r="D37" s="20">
        <f>C37/B37</f>
        <v/>
      </c>
    </row>
    <row r="38">
      <c r="A38" s="9" t="inlineStr">
        <is>
          <t>Duke</t>
        </is>
      </c>
      <c r="B38" s="19">
        <f>S3_FY25!C12</f>
        <v/>
      </c>
      <c r="C38" s="19">
        <f>S3_FY25!E12-S3_FY25!C12</f>
        <v/>
      </c>
      <c r="D38" s="20">
        <f>C38/B38</f>
        <v/>
      </c>
    </row>
    <row r="39">
      <c r="A39" s="9" t="inlineStr">
        <is>
          <t>Emory</t>
        </is>
      </c>
      <c r="B39" s="19">
        <f>S3_FY25!C13</f>
        <v/>
      </c>
      <c r="C39" s="19">
        <f>S3_FY25!E13-S3_FY25!C13</f>
        <v/>
      </c>
      <c r="D39" s="20">
        <f>C39/B39</f>
        <v/>
      </c>
    </row>
    <row r="40">
      <c r="A40" s="9" t="inlineStr">
        <is>
          <t>Boston University</t>
        </is>
      </c>
      <c r="B40" s="19">
        <f>S3_FY25!C17</f>
        <v/>
      </c>
      <c r="C40" s="19">
        <f>S3_FY25!E17-S3_FY25!C17</f>
        <v/>
      </c>
      <c r="D40" s="20">
        <f>C40/B40</f>
        <v/>
      </c>
    </row>
    <row r="41">
      <c r="A41" s="9" t="inlineStr">
        <is>
          <t>MIT</t>
        </is>
      </c>
      <c r="B41" s="19">
        <f>S3_FY25!C18</f>
        <v/>
      </c>
      <c r="C41" s="19">
        <f>S3_FY25!E18-S3_FY25!C18</f>
        <v/>
      </c>
      <c r="D41" s="20">
        <f>C41/B41</f>
        <v/>
      </c>
    </row>
    <row r="42">
      <c r="A42" s="3" t="inlineStr">
        <is>
          <t>Minimum / median / maximum</t>
        </is>
      </c>
      <c r="B42" s="23">
        <f>MIN(D34:D41)</f>
        <v/>
      </c>
      <c r="C42" s="23">
        <f>MEDIAN(D34:D41)</f>
        <v/>
      </c>
      <c r="D42" s="23">
        <f>MAX(D34:D41)</f>
        <v/>
      </c>
    </row>
    <row r="43">
      <c r="A43" s="17" t="inlineStr">
        <is>
          <t>The 35% assumption sits above every observed rate, so the Penn and Stanford estimates lean low relative to peers (Alt 1 gives higher S&amp;W per student).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8" customWidth="1" min="5" max="5"/>
    <col width="20" customWidth="1" min="6" max="6"/>
    <col width="18" customWidth="1" min="7" max="7"/>
    <col width="14" customWidth="1" min="8" max="8"/>
    <col width="14" customWidth="1" min="9" max="9"/>
    <col width="14" customWidth="1" min="10" max="10"/>
    <col width="18" customWidth="1" min="11" max="11"/>
    <col width="12" customWidth="1" min="12" max="12"/>
    <col width="18" customWidth="1" min="13" max="13"/>
    <col width="16" customWidth="1" min="14" max="14"/>
  </cols>
  <sheetData>
    <row r="1">
      <c r="A1" s="1" t="inlineStr">
        <is>
          <t>Slide 3: what the original FY23 slide actually used vs the stated definition</t>
        </is>
      </c>
    </row>
    <row r="2">
      <c r="A2" s="2" t="inlineStr">
        <is>
          <t>Original values from the chart's embedded workbook. Recomputed FY23 from each school's audited statements using the SPEC definition. IPEDS columns: FY23 finance file F2223_F2 fields F2E131 (total expenses) and F2E132 (salaries and wages).</t>
        </is>
      </c>
    </row>
    <row r="4">
      <c r="A4" s="5" t="inlineStr">
        <is>
          <t>Institution</t>
        </is>
      </c>
      <c r="B4" s="5" t="inlineStr">
        <is>
          <t>Original: S&amp;W</t>
        </is>
      </c>
      <c r="C4" s="5" t="inlineStr">
        <is>
          <t>Original: 'core opex'</t>
        </is>
      </c>
      <c r="D4" s="5" t="inlineStr">
        <is>
          <t>Audited FY23: S&amp;W</t>
        </is>
      </c>
      <c r="E4" s="5" t="inlineStr">
        <is>
          <t>Audited FY23: total operating expenses</t>
        </is>
      </c>
      <c r="F4" s="5" t="inlineStr">
        <is>
          <t>Audited FY23: depreciation + amortization + interest</t>
        </is>
      </c>
      <c r="G4" s="5" t="inlineStr">
        <is>
          <t>Audited FY23: core (total - D&amp;A - interest)</t>
        </is>
      </c>
      <c r="H4" s="5" t="inlineStr">
        <is>
          <t>Original 'core' vs audited TOTAL (%)</t>
        </is>
      </c>
      <c r="I4" s="5" t="inlineStr">
        <is>
          <t>Original 'core' vs audited CORE (%)</t>
        </is>
      </c>
      <c r="J4" s="5" t="inlineStr">
        <is>
          <t>Original S&amp;W vs audited S&amp;W (%)</t>
        </is>
      </c>
      <c r="K4" s="5" t="inlineStr">
        <is>
          <t>Audited FY23: salaries + benefits combined</t>
        </is>
      </c>
      <c r="L4" s="5" t="inlineStr">
        <is>
          <t>Original S&amp;W / combined</t>
        </is>
      </c>
      <c r="M4" s="5" t="inlineStr">
        <is>
          <t>IPEDS FY23 F2E131 (total exp)</t>
        </is>
      </c>
      <c r="N4" s="5" t="inlineStr">
        <is>
          <t>IPEDS FY23 F2E132 (S&amp;W)</t>
        </is>
      </c>
    </row>
    <row r="5">
      <c r="A5" s="9" t="inlineStr">
        <is>
          <t>Rice</t>
        </is>
      </c>
      <c r="B5" s="19" t="n">
        <v>421781000</v>
      </c>
      <c r="C5" s="19" t="n">
        <v>959377000</v>
      </c>
      <c r="D5" s="19" t="n">
        <v>421781000</v>
      </c>
      <c r="E5" s="19" t="n">
        <v>959377000</v>
      </c>
      <c r="F5" s="19" t="n">
        <v>118187000</v>
      </c>
      <c r="G5" s="19">
        <f>E5-F5</f>
        <v/>
      </c>
      <c r="H5" s="25">
        <f>(C5/E5-1)*100</f>
        <v/>
      </c>
      <c r="I5" s="25">
        <f>(C5/G5-1)*100</f>
        <v/>
      </c>
      <c r="J5" s="25">
        <f>(B5/D5-1)*100</f>
        <v/>
      </c>
      <c r="M5" s="19" t="n">
        <v>959377000</v>
      </c>
      <c r="N5" s="19" t="n">
        <v>421781000</v>
      </c>
    </row>
    <row r="6">
      <c r="A6" s="9" t="inlineStr">
        <is>
          <t>Vanderbilt</t>
        </is>
      </c>
      <c r="B6" s="19" t="n">
        <v>699234000</v>
      </c>
      <c r="C6" s="19" t="n">
        <v>1615854000</v>
      </c>
      <c r="D6" s="19" t="n">
        <v>700000000</v>
      </c>
      <c r="E6" s="19" t="n">
        <v>1615854000</v>
      </c>
      <c r="F6" s="19" t="n">
        <v>122175000</v>
      </c>
      <c r="G6" s="19">
        <f>E6-F6</f>
        <v/>
      </c>
      <c r="H6" s="25">
        <f>(C6/E6-1)*100</f>
        <v/>
      </c>
      <c r="I6" s="25">
        <f>(C6/G6-1)*100</f>
        <v/>
      </c>
      <c r="J6" s="25">
        <f>(B6/D6-1)*100</f>
        <v/>
      </c>
      <c r="K6" s="19" t="n">
        <v>832612000</v>
      </c>
      <c r="L6" s="26">
        <f>B6/K6</f>
        <v/>
      </c>
      <c r="M6" s="19" t="n">
        <v>1615854013</v>
      </c>
      <c r="N6" s="19" t="n">
        <v>699234852</v>
      </c>
    </row>
    <row r="7">
      <c r="A7" s="9" t="inlineStr">
        <is>
          <t>Northwestern</t>
        </is>
      </c>
      <c r="B7" s="19" t="n">
        <v>1219645336</v>
      </c>
      <c r="C7" s="19" t="n">
        <v>3038060000</v>
      </c>
      <c r="D7" s="19" t="n"/>
      <c r="E7" s="19" t="n">
        <v>3038060000</v>
      </c>
      <c r="F7" s="19" t="n">
        <v>303553000</v>
      </c>
      <c r="G7" s="19">
        <f>E7-F7</f>
        <v/>
      </c>
      <c r="H7" s="25">
        <f>(C7/E7-1)*100</f>
        <v/>
      </c>
      <c r="I7" s="25">
        <f>(C7/G7-1)*100</f>
        <v/>
      </c>
      <c r="K7" s="19" t="n">
        <v>1675337000</v>
      </c>
      <c r="L7" s="26">
        <f>B7/K7</f>
        <v/>
      </c>
      <c r="M7" s="19" t="n">
        <v>3038060000</v>
      </c>
      <c r="N7" s="19" t="n">
        <v>1334540000</v>
      </c>
    </row>
    <row r="8">
      <c r="A8" s="9" t="inlineStr">
        <is>
          <t>Princeton</t>
        </is>
      </c>
      <c r="B8" s="19" t="n">
        <v>969089000</v>
      </c>
      <c r="C8" s="19" t="n">
        <v>2263259000</v>
      </c>
      <c r="D8" s="19" t="n">
        <v>969089000</v>
      </c>
      <c r="E8" s="19" t="n">
        <v>2263259000</v>
      </c>
      <c r="F8" s="19" t="n">
        <v>349162000</v>
      </c>
      <c r="G8" s="19">
        <f>E8-F8</f>
        <v/>
      </c>
      <c r="H8" s="25">
        <f>(C8/E8-1)*100</f>
        <v/>
      </c>
      <c r="I8" s="25">
        <f>(C8/G8-1)*100</f>
        <v/>
      </c>
      <c r="J8" s="25">
        <f>(B8/D8-1)*100</f>
        <v/>
      </c>
      <c r="M8" s="19" t="n">
        <v>2263259000</v>
      </c>
      <c r="N8" s="19" t="n">
        <v>886833000</v>
      </c>
    </row>
    <row r="9">
      <c r="A9" s="9" t="inlineStr">
        <is>
          <t>Harvard</t>
        </is>
      </c>
      <c r="B9" s="19" t="n">
        <v>2421076000</v>
      </c>
      <c r="C9" s="19" t="n">
        <v>5911797000</v>
      </c>
      <c r="D9" s="22" t="inlineStr">
        <is>
          <t>Harvard FY23 report not reached</t>
        </is>
      </c>
      <c r="M9" s="19" t="n">
        <v>5911797000</v>
      </c>
      <c r="N9" s="19" t="n">
        <v>2421074000</v>
      </c>
    </row>
    <row r="10">
      <c r="A10" s="9" t="inlineStr">
        <is>
          <t>Yale</t>
        </is>
      </c>
      <c r="B10" s="19" t="n">
        <v>2328136000</v>
      </c>
      <c r="C10" s="19" t="n">
        <v>4936268000</v>
      </c>
      <c r="D10" s="19" t="n">
        <v>2328136000</v>
      </c>
      <c r="E10" s="19" t="n">
        <v>4936268000</v>
      </c>
      <c r="F10" s="19" t="n">
        <v>441202000</v>
      </c>
      <c r="G10" s="19">
        <f>E10-F10</f>
        <v/>
      </c>
      <c r="H10" s="25">
        <f>(C10/E10-1)*100</f>
        <v/>
      </c>
      <c r="I10" s="25">
        <f>(C10/G10-1)*100</f>
        <v/>
      </c>
      <c r="J10" s="25">
        <f>(B10/D10-1)*100</f>
        <v/>
      </c>
      <c r="M10" s="19" t="n">
        <v>4873675887</v>
      </c>
      <c r="N10" s="19" t="n">
        <v>2202260626</v>
      </c>
    </row>
    <row r="11">
      <c r="A11" s="9" t="inlineStr">
        <is>
          <t>Chicago</t>
        </is>
      </c>
      <c r="B11" s="19" t="n">
        <v>3033100000</v>
      </c>
      <c r="C11" s="19" t="n">
        <v>6779655000</v>
      </c>
      <c r="D11" s="19" t="n">
        <v>3033100000</v>
      </c>
      <c r="E11" s="19" t="n">
        <v>6779655000</v>
      </c>
      <c r="F11" s="19" t="n">
        <v>563830000</v>
      </c>
      <c r="G11" s="19">
        <f>E11-F11</f>
        <v/>
      </c>
      <c r="H11" s="25">
        <f>(C11/E11-1)*100</f>
        <v/>
      </c>
      <c r="I11" s="25">
        <f>(C11/G11-1)*100</f>
        <v/>
      </c>
      <c r="J11" s="25">
        <f>(B11/D11-1)*100</f>
        <v/>
      </c>
      <c r="K11" s="19" t="n">
        <v>3662513000</v>
      </c>
      <c r="L11" s="26">
        <f>B11/K11</f>
        <v/>
      </c>
      <c r="M11" s="19" t="n">
        <v>5084463771</v>
      </c>
      <c r="N11" s="19" t="n">
        <v>1604106945</v>
      </c>
    </row>
    <row r="12">
      <c r="A12" s="9" t="inlineStr">
        <is>
          <t>Duke</t>
        </is>
      </c>
      <c r="B12" s="19" t="n">
        <v>3676675000</v>
      </c>
      <c r="C12" s="19" t="n">
        <v>8431382000</v>
      </c>
      <c r="D12" s="19" t="n">
        <v>3676675000</v>
      </c>
      <c r="E12" s="19" t="n">
        <v>8431382000</v>
      </c>
      <c r="F12" s="19" t="n">
        <v>635501000</v>
      </c>
      <c r="G12" s="19">
        <f>E12-F12</f>
        <v/>
      </c>
      <c r="H12" s="25">
        <f>(C12/E12-1)*100</f>
        <v/>
      </c>
      <c r="I12" s="25">
        <f>(C12/G12-1)*100</f>
        <v/>
      </c>
      <c r="J12" s="25">
        <f>(B12/D12-1)*100</f>
        <v/>
      </c>
      <c r="K12" s="19" t="n">
        <v>4568399000</v>
      </c>
      <c r="L12" s="26">
        <f>B12/K12</f>
        <v/>
      </c>
      <c r="M12" s="19" t="n">
        <v>8431382000</v>
      </c>
      <c r="N12" s="19" t="n">
        <v>3609077000</v>
      </c>
    </row>
    <row r="13">
      <c r="A13" s="9" t="inlineStr">
        <is>
          <t>Emory</t>
        </is>
      </c>
      <c r="B13" s="19" t="n">
        <v>4313737000</v>
      </c>
      <c r="C13" s="19" t="n">
        <v>8570621000</v>
      </c>
      <c r="D13" s="19" t="n">
        <v>4313737000</v>
      </c>
      <c r="E13" s="19" t="n">
        <v>8570621000</v>
      </c>
      <c r="F13" s="19" t="n">
        <v>452316000</v>
      </c>
      <c r="G13" s="19">
        <f>E13-F13</f>
        <v/>
      </c>
      <c r="H13" s="25">
        <f>(C13/E13-1)*100</f>
        <v/>
      </c>
      <c r="I13" s="25">
        <f>(C13/G13-1)*100</f>
        <v/>
      </c>
      <c r="J13" s="25">
        <f>(B13/D13-1)*100</f>
        <v/>
      </c>
      <c r="M13" s="19" t="n">
        <v>8514754000</v>
      </c>
      <c r="N13" s="19" t="n">
        <v>4252849000</v>
      </c>
    </row>
    <row r="14">
      <c r="A14" s="9" t="inlineStr">
        <is>
          <t>Penn</t>
        </is>
      </c>
      <c r="B14" s="19" t="n">
        <v>5636695792</v>
      </c>
      <c r="C14" s="19" t="n">
        <v>13857148000</v>
      </c>
      <c r="D14" s="19" t="n"/>
      <c r="E14" s="19" t="n">
        <v>13857148000</v>
      </c>
      <c r="F14" s="19" t="n">
        <v>789992000</v>
      </c>
      <c r="G14" s="19">
        <f>E14-F14</f>
        <v/>
      </c>
      <c r="H14" s="25">
        <f>(C14/E14-1)*100</f>
        <v/>
      </c>
      <c r="I14" s="25">
        <f>(C14/G14-1)*100</f>
        <v/>
      </c>
      <c r="K14" s="19" t="n">
        <v>7742714000</v>
      </c>
      <c r="L14" s="26">
        <f>B14/K14</f>
        <v/>
      </c>
      <c r="M14" s="19" t="n">
        <v>13857148000</v>
      </c>
      <c r="N14" s="19" t="n">
        <v>6045218000</v>
      </c>
    </row>
    <row r="15">
      <c r="A15" s="9" t="inlineStr">
        <is>
          <t>Stanford</t>
        </is>
      </c>
      <c r="B15" s="19" t="n">
        <v>7106067696</v>
      </c>
      <c r="C15" s="19" t="n">
        <v>16053362000</v>
      </c>
      <c r="D15" s="19" t="n"/>
      <c r="E15" s="19" t="n">
        <v>16053362000</v>
      </c>
      <c r="F15" s="19" t="n">
        <v>1116974000</v>
      </c>
      <c r="G15" s="19">
        <f>E15-F15</f>
        <v/>
      </c>
      <c r="H15" s="25">
        <f>(C15/E15-1)*100</f>
        <v/>
      </c>
      <c r="I15" s="25">
        <f>(C15/G15-1)*100</f>
        <v/>
      </c>
      <c r="K15" s="19" t="n">
        <v>9761082000</v>
      </c>
      <c r="L15" s="26">
        <f>B15/K15</f>
        <v/>
      </c>
      <c r="M15" s="19" t="n">
        <v>7659884000</v>
      </c>
      <c r="N15" s="19" t="n">
        <v>3467999000</v>
      </c>
    </row>
    <row r="17">
      <c r="A17" s="17" t="inlineStr">
        <is>
          <t>Reading it: column H is ~0% for every school with data: the original 'core operating expenses' equal audited total operating expenses (depreciation and interest were never removed). Column L is exactly 0.7280 for Penn, Stanford and Northwestern: their original S&amp;W was 72.8% of combined salaries and benefits, an undisclosed assumption.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8" customWidth="1" min="1" max="1"/>
    <col width="14" customWidth="1" min="2" max="2"/>
    <col width="13" customWidth="1" min="3" max="3"/>
    <col width="13" customWidth="1" min="4" max="4"/>
    <col width="13" customWidth="1" min="5" max="5"/>
    <col width="13" customWidth="1" min="6" max="6"/>
    <col width="16" customWidth="1" min="7" max="7"/>
    <col width="14" customWidth="1" min="8" max="8"/>
    <col width="14" customWidth="1" min="9" max="9"/>
    <col width="100" customWidth="1" min="10" max="10"/>
  </cols>
  <sheetData>
    <row r="1">
      <c r="A1" s="1" t="inlineStr">
        <is>
          <t>Slide 3: student counts (Common Data Set B1 'total all students') vs IPEDS vs the original slide</t>
        </is>
      </c>
    </row>
    <row r="2">
      <c r="A2" s="2" t="inlineStr">
        <is>
          <t>IPEDS fall 2024 is not yet posted, so IPEDS fall 2022 and 2023 are shown for calibration.</t>
        </is>
      </c>
    </row>
    <row r="4">
      <c r="A4" s="5" t="inlineStr">
        <is>
          <t>Institution</t>
        </is>
      </c>
      <c r="B4" s="5" t="inlineStr">
        <is>
          <t>CDS fall 2024 (used)</t>
        </is>
      </c>
      <c r="C4" s="5" t="inlineStr">
        <is>
          <t>CDS fall 2023</t>
        </is>
      </c>
      <c r="D4" s="5" t="inlineStr">
        <is>
          <t>CDS fall 2022</t>
        </is>
      </c>
      <c r="E4" s="5" t="inlineStr">
        <is>
          <t>IPEDS fall 2023</t>
        </is>
      </c>
      <c r="F4" s="5" t="inlineStr">
        <is>
          <t>IPEDS fall 2022</t>
        </is>
      </c>
      <c r="G4" s="5" t="inlineStr">
        <is>
          <t>Original slide count (FY23)</t>
        </is>
      </c>
      <c r="H4" s="5" t="inlineStr">
        <is>
          <t>IPEDS F23 vs CDS F23 (%)</t>
        </is>
      </c>
      <c r="I4" s="5" t="inlineStr">
        <is>
          <t>Original vs IPEDS F22 (%)</t>
        </is>
      </c>
      <c r="J4" s="5" t="inlineStr">
        <is>
          <t>Source of fall 2024 count</t>
        </is>
      </c>
    </row>
    <row r="5">
      <c r="A5" s="9" t="inlineStr">
        <is>
          <t>Rice</t>
        </is>
      </c>
      <c r="B5" s="19" t="n">
        <v>8961</v>
      </c>
      <c r="C5" s="19" t="n">
        <v>8556</v>
      </c>
      <c r="D5" s="19" t="n">
        <v>8672</v>
      </c>
      <c r="E5" s="19" t="n">
        <v>8556</v>
      </c>
      <c r="F5" s="19" t="n">
        <v>8672</v>
      </c>
      <c r="G5" s="19" t="n">
        <v>8285</v>
      </c>
      <c r="H5" s="25">
        <f>(E5/C5-1)*100</f>
        <v/>
      </c>
      <c r="I5" s="25">
        <f>(G5/F5-1)*100</f>
        <v/>
      </c>
      <c r="J5" s="9" t="inlineStr">
        <is>
          <t>https://ideas.rice.edu/wp-content/uploads/2025/10/CDS_2024-25_WEBSITE.pdf</t>
        </is>
      </c>
    </row>
    <row r="6">
      <c r="A6" s="9" t="inlineStr">
        <is>
          <t>Vanderbilt</t>
        </is>
      </c>
      <c r="B6" s="19" t="n">
        <v>13575</v>
      </c>
      <c r="C6" s="19" t="n">
        <v>13456</v>
      </c>
      <c r="D6" s="19" t="n">
        <v>13710</v>
      </c>
      <c r="E6" s="19" t="n">
        <v>13456</v>
      </c>
      <c r="F6" s="19" t="n">
        <v>13710</v>
      </c>
      <c r="G6" s="19" t="n">
        <v>13710</v>
      </c>
      <c r="H6" s="25">
        <f>(E6/C6-1)*100</f>
        <v/>
      </c>
      <c r="I6" s="25">
        <f>(G6/F6-1)*100</f>
        <v/>
      </c>
      <c r="J6" s="9" t="inlineStr">
        <is>
          <t>https://cdn.vanderbilt.edu/vu-wpfsx/wp-content/uploads/sites/70/2025/11/CDS_2024-2025.xlsx</t>
        </is>
      </c>
    </row>
    <row r="7">
      <c r="A7" s="9" t="inlineStr">
        <is>
          <t>Northwestern</t>
        </is>
      </c>
      <c r="B7" s="19" t="n">
        <v>23431</v>
      </c>
      <c r="C7" s="19" t="n">
        <v>22801</v>
      </c>
      <c r="D7" s="19" t="n">
        <v>22732</v>
      </c>
      <c r="E7" s="19" t="n">
        <v>23203</v>
      </c>
      <c r="F7" s="19" t="n">
        <v>23161</v>
      </c>
      <c r="G7" s="19" t="n">
        <v>23000</v>
      </c>
      <c r="H7" s="25">
        <f>(E7/C7-1)*100</f>
        <v/>
      </c>
      <c r="I7" s="25">
        <f>(G7/F7-1)*100</f>
        <v/>
      </c>
      <c r="J7" s="9" t="inlineStr">
        <is>
          <t>https://enrollment.northwestern.edu/data/2024-2025.pdf</t>
        </is>
      </c>
    </row>
    <row r="8">
      <c r="A8" s="9" t="inlineStr">
        <is>
          <t>Princeton</t>
        </is>
      </c>
      <c r="B8" s="19" t="n">
        <v>9050</v>
      </c>
      <c r="C8" s="19" t="n"/>
      <c r="D8" s="19" t="n"/>
      <c r="E8" s="19" t="n">
        <v>8922</v>
      </c>
      <c r="F8" s="19" t="n">
        <v>8842</v>
      </c>
      <c r="G8" s="19" t="n">
        <v>8778</v>
      </c>
      <c r="I8" s="25">
        <f>(G8/F8-1)*100</f>
        <v/>
      </c>
      <c r="J8" s="9" t="inlineStr">
        <is>
          <t>Princeton Report of the Treasurer FY25: 5,726 undergraduates + 3,324 graduate students (term not named; CDS host not reachable)</t>
        </is>
      </c>
    </row>
    <row r="9">
      <c r="A9" s="9" t="inlineStr">
        <is>
          <t>Harvard</t>
        </is>
      </c>
      <c r="B9" s="19" t="n">
        <v>21189</v>
      </c>
      <c r="C9" s="19" t="n">
        <v>21278</v>
      </c>
      <c r="D9" s="19" t="n">
        <v>21613</v>
      </c>
      <c r="E9" s="19" t="n">
        <v>30386</v>
      </c>
      <c r="F9" s="19" t="n">
        <v>30631</v>
      </c>
      <c r="G9" s="19" t="n">
        <v>21400</v>
      </c>
      <c r="H9" s="25">
        <f>(E9/C9-1)*100</f>
        <v/>
      </c>
      <c r="I9" s="25">
        <f>(G9/F9-1)*100</f>
        <v/>
      </c>
      <c r="J9" s="9" t="inlineStr">
        <is>
          <t>https://oira.harvard.edu/files/2025/06/HarvardUniversity_CDS_2024-2025.pdf</t>
        </is>
      </c>
    </row>
    <row r="10">
      <c r="A10" s="9" t="inlineStr">
        <is>
          <t>Yale</t>
        </is>
      </c>
      <c r="B10" s="19" t="n">
        <v>15564</v>
      </c>
      <c r="C10" s="19" t="n">
        <v>15081</v>
      </c>
      <c r="D10" s="19" t="n">
        <v>14806</v>
      </c>
      <c r="E10" s="19" t="n">
        <v>15081</v>
      </c>
      <c r="F10" s="19" t="n">
        <v>14776</v>
      </c>
      <c r="G10" s="19" t="n">
        <v>14751</v>
      </c>
      <c r="H10" s="25">
        <f>(E10/C10-1)*100</f>
        <v/>
      </c>
      <c r="I10" s="25">
        <f>(G10/F10-1)*100</f>
        <v/>
      </c>
      <c r="J10" s="9" t="inlineStr">
        <is>
          <t>https://oir.yale.edu/sites/default/files/yale_cds_2024-25_rmd_20250612.pdf</t>
        </is>
      </c>
    </row>
    <row r="11">
      <c r="A11" s="9" t="inlineStr">
        <is>
          <t>Chicago</t>
        </is>
      </c>
      <c r="B11" s="19" t="n">
        <v>16221</v>
      </c>
      <c r="C11" s="19" t="n">
        <v>15763</v>
      </c>
      <c r="D11" s="19" t="n">
        <v>15946</v>
      </c>
      <c r="E11" s="19" t="n">
        <v>18339</v>
      </c>
      <c r="F11" s="19" t="n">
        <v>18339</v>
      </c>
      <c r="G11" s="19" t="n">
        <v>18058</v>
      </c>
      <c r="H11" s="25">
        <f>(E11/C11-1)*100</f>
        <v/>
      </c>
      <c r="I11" s="25">
        <f>(G11/F11-1)*100</f>
        <v/>
      </c>
      <c r="J11" s="9" t="inlineStr">
        <is>
          <t>https://bpb-us-w2.wpmucdn.com/voices.uchicago.edu/dist/8/2077/files/2025/08/CDS_2024-2025_to_publish.pdf</t>
        </is>
      </c>
    </row>
    <row r="12">
      <c r="A12" s="9" t="inlineStr">
        <is>
          <t>Duke</t>
        </is>
      </c>
      <c r="B12" s="19" t="n">
        <v>17499</v>
      </c>
      <c r="C12" s="19" t="n">
        <v>17112</v>
      </c>
      <c r="D12" s="19" t="n">
        <v>18024</v>
      </c>
      <c r="E12" s="19" t="n">
        <v>17112</v>
      </c>
      <c r="F12" s="19" t="n">
        <v>18023</v>
      </c>
      <c r="G12" s="19" t="n">
        <v>18009</v>
      </c>
      <c r="H12" s="25">
        <f>(E12/C12-1)*100</f>
        <v/>
      </c>
      <c r="I12" s="25">
        <f>(G12/F12-1)*100</f>
        <v/>
      </c>
      <c r="J12" s="9" t="inlineStr">
        <is>
          <t>https://ir.provost.duke.edu/sites/default/files/CDS-2024-25-Final-2.pdf</t>
        </is>
      </c>
    </row>
    <row r="13">
      <c r="A13" s="9" t="inlineStr">
        <is>
          <t>Emory</t>
        </is>
      </c>
      <c r="B13" s="19" t="n">
        <v>15179</v>
      </c>
      <c r="C13" s="19" t="n">
        <v>15046</v>
      </c>
      <c r="D13" s="19" t="n">
        <v>14852</v>
      </c>
      <c r="E13" s="19" t="n">
        <v>15046</v>
      </c>
      <c r="F13" s="19" t="n">
        <v>14841</v>
      </c>
      <c r="G13" s="19" t="n">
        <v>16000</v>
      </c>
      <c r="H13" s="25">
        <f>(E13/C13-1)*100</f>
        <v/>
      </c>
      <c r="I13" s="25">
        <f>(G13/F13-1)*100</f>
        <v/>
      </c>
      <c r="J13" s="9" t="inlineStr">
        <is>
          <t>https://provost.emory.edu/planning-administration/_includes/documents/sections/institutional-data/emory-common-data-set-2024-2025.pdf</t>
        </is>
      </c>
    </row>
    <row r="14">
      <c r="A14" s="9" t="inlineStr">
        <is>
          <t>Penn</t>
        </is>
      </c>
      <c r="B14" s="19" t="n">
        <v>24023</v>
      </c>
      <c r="C14" s="19" t="n">
        <v>23790</v>
      </c>
      <c r="D14" s="19" t="n">
        <v>23374</v>
      </c>
      <c r="E14" s="19" t="n">
        <v>28711</v>
      </c>
      <c r="F14" s="19" t="n">
        <v>28201</v>
      </c>
      <c r="G14" s="19" t="n">
        <v>23374</v>
      </c>
      <c r="H14" s="25">
        <f>(E14/C14-1)*100</f>
        <v/>
      </c>
      <c r="I14" s="25">
        <f>(G14/F14-1)*100</f>
        <v/>
      </c>
      <c r="J14" s="9" t="inlineStr">
        <is>
          <t>https://upenn.box.com/s/ckv4frz37rzxa4u6bdiv2h4yzykqm4ef</t>
        </is>
      </c>
    </row>
    <row r="15">
      <c r="A15" s="9" t="inlineStr">
        <is>
          <t>Stanford</t>
        </is>
      </c>
      <c r="B15" s="19" t="n">
        <v>18625</v>
      </c>
      <c r="C15" s="19" t="n">
        <v>18446</v>
      </c>
      <c r="D15" s="19" t="n">
        <v>18283</v>
      </c>
      <c r="E15" s="19" t="n">
        <v>18446</v>
      </c>
      <c r="F15" s="19" t="n">
        <v>18283</v>
      </c>
      <c r="G15" s="19" t="n">
        <v>17529</v>
      </c>
      <c r="H15" s="25">
        <f>(E15/C15-1)*100</f>
        <v/>
      </c>
      <c r="I15" s="25">
        <f>(G15/F15-1)*100</f>
        <v/>
      </c>
      <c r="J15" s="9" t="inlineStr">
        <is>
          <t>https://drive.google.com/file/d/12MjIqdzzHiECf6hfRlbU3RmmIy14hl1H/view (posted at https://irds.stanford.edu/data-findings/cds)</t>
        </is>
      </c>
    </row>
    <row r="16">
      <c r="A16" s="9" t="inlineStr">
        <is>
          <t>Northeastern</t>
        </is>
      </c>
      <c r="B16" s="19" t="n">
        <v>39774</v>
      </c>
      <c r="C16" s="19" t="n">
        <v>38760</v>
      </c>
      <c r="D16" s="19" t="n">
        <v>36806</v>
      </c>
      <c r="E16" s="19" t="n">
        <v>31159</v>
      </c>
      <c r="F16" s="19" t="n">
        <v>30013</v>
      </c>
      <c r="H16" s="25">
        <f>(E16/C16-1)*100</f>
        <v/>
      </c>
      <c r="J16" s="9" t="inlineStr">
        <is>
          <t>https://uds.northeastern.edu/wp-content/uploads/2026/03/CDS-2024-25.pdf</t>
        </is>
      </c>
    </row>
    <row r="17">
      <c r="A17" s="9" t="inlineStr">
        <is>
          <t>Boston University</t>
        </is>
      </c>
      <c r="B17" s="19" t="n">
        <v>37737</v>
      </c>
      <c r="C17" s="19" t="n">
        <v>36624</v>
      </c>
      <c r="D17" s="19" t="n">
        <v>36714</v>
      </c>
      <c r="E17" s="19" t="n">
        <v>36624</v>
      </c>
      <c r="F17" s="19" t="n">
        <v>36714</v>
      </c>
      <c r="H17" s="25">
        <f>(E17/C17-1)*100</f>
        <v/>
      </c>
      <c r="J17" s="9" t="inlineStr">
        <is>
          <t>https://www.bu.edu/asir/files/2025/03/cds-2025.pdf (identical bytes to https://www.bu.edu/asir/files/2026/05/2024-2025-Common-Data-Set.pdf, the file the CDS archive page labels '2024-2025 Common Data Set'; section file: https://www.bu.edu/asir/files/2025/03/cds-2025-b.pdf)</t>
        </is>
      </c>
    </row>
    <row r="18">
      <c r="A18" s="9" t="inlineStr">
        <is>
          <t>MIT</t>
        </is>
      </c>
      <c r="B18" s="19" t="n">
        <v>11886</v>
      </c>
      <c r="C18" s="19" t="n">
        <v>11920</v>
      </c>
      <c r="D18" s="19" t="n">
        <v>11858</v>
      </c>
      <c r="E18" s="19" t="n">
        <v>11920</v>
      </c>
      <c r="F18" s="19" t="n">
        <v>11858</v>
      </c>
      <c r="H18" s="25">
        <f>(E18/C18-1)*100</f>
        <v/>
      </c>
      <c r="J18" s="9" t="inlineStr">
        <is>
          <t>https://ir.mit.edu/projects/2024-25-common-data-set/</t>
        </is>
      </c>
    </row>
    <row r="20">
      <c r="A20" s="17" t="inlineStr">
        <is>
          <t>Reading it: Harvard (CDS excludes Extension School), Penn (CDS counts degree-seeking traditional programs only), Chicago (CDS ~12-14% below IPEDS) and Northeastern (CDS ~24% ABOVE IPEDS) do not match IPEDS; the original slide mixed fall 2021 (Rice), fall 2022 (Vanderbilt), degree-seeking counts (Harvard, Penn) and round estimates (Emory 16,000, Northwestern 23,000).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18" customWidth="1" min="1" max="1"/>
    <col width="24" customWidth="1" min="2" max="2"/>
    <col width="18" customWidth="1" min="3" max="3"/>
    <col width="120" customWidth="1" min="4" max="4"/>
    <col width="90" customWidth="1" min="5" max="5"/>
  </cols>
  <sheetData>
    <row r="1">
      <c r="A1" s="1" t="inlineStr">
        <is>
          <t>Verbatim source rows and documents for each FY25 figure</t>
        </is>
      </c>
    </row>
    <row r="2">
      <c r="A2" s="2" t="inlineStr">
        <is>
          <t>Amounts in the evidence text are as printed (usually $ thousands). Page numbers are PDF pages unless noted.</t>
        </is>
      </c>
    </row>
    <row r="4">
      <c r="A4" s="5" t="inlineStr">
        <is>
          <t>Institution</t>
        </is>
      </c>
      <c r="B4" s="5" t="inlineStr">
        <is>
          <t>Item</t>
        </is>
      </c>
      <c r="C4" s="5" t="inlineStr">
        <is>
          <t>FY25 value ($)</t>
        </is>
      </c>
      <c r="D4" s="5" t="inlineStr">
        <is>
          <t>Evidence (verbatim row, statement, page)</t>
        </is>
      </c>
      <c r="E4" s="5" t="inlineStr">
        <is>
          <t>Document</t>
        </is>
      </c>
    </row>
    <row r="5">
      <c r="A5" s="9" t="inlineStr">
        <is>
          <t>Rice</t>
        </is>
      </c>
      <c r="B5" s="9" t="inlineStr">
        <is>
          <t>Salaries and wages</t>
        </is>
      </c>
      <c r="C5" s="19" t="n">
        <v>515800000</v>
      </c>
      <c r="D5" s="4" t="inlineStr">
        <is>
          <t>'Salaries and wages 515,800 - 515,800 466,056' (Consolidated Statements of Activities, operating expenses; $ thousands; columns: without donor restr., with donor restr., 2025 total, 2024 total). FY25 audited statements PDF p6 (printed p.4); also natural/functional note 14, PDF p25 (printed p.23): 'Salaries and wages ... Total 515,800'.</t>
        </is>
      </c>
      <c r="E5" s="4" t="inlineStr">
        <is>
          <t>FY25 audited consolidated financial statements (auditor's report dated October 30, 2025): https://rice.app.box.com/index.php?rm=box_download_shared_file&amp;shared_name=kuzehuzf01j84ezzqwg3zlll1qc6fq4n&amp;file_id=f_2033251676859 (Box file 'FY 2025 Audited F; FY24 audited consolidated financial statements (auditor's report dated October 30, 2024): https://budgetandfinance.rice.edu/sites/g/files/bxs3451/files/inline-files/FY24%20Signed%20Financial%20Statement.pdf</t>
        </is>
      </c>
    </row>
    <row r="6">
      <c r="A6" s="9" t="inlineStr">
        <is>
          <t>Rice</t>
        </is>
      </c>
      <c r="B6" s="9" t="inlineStr">
        <is>
          <t>Total operating expenses</t>
        </is>
      </c>
      <c r="C6" s="19" t="n">
        <v>1087937000</v>
      </c>
      <c r="D6" s="4" t="inlineStr">
        <is>
          <t>'Total operating expenses 1,087,937 - 1,087,937 1,053,413' (Statement of Activities, FY25 PDF p6, printed p.4). Natural-classification sum (515,800+123,330+35,543+82,255+45,396+20,755+264,858) = 1,087,937 = face total; note 14 total also 1,087,937 (PDF p25).</t>
        </is>
      </c>
      <c r="E6" s="4" t="inlineStr">
        <is>
          <t>FY25 audited consolidated financial statements (auditor's report dated October 30, 2025): https://rice.app.box.com/index.php?rm=box_download_shared_file&amp;shared_name=kuzehuzf01j84ezzqwg3zlll1qc6fq4n&amp;file_id=f_2033251676859 (Box file 'FY 2025 Audited F; FY24 audited consolidated financial statements (auditor's report dated October 30, 2024): https://budgetandfinance.rice.edu/sites/g/files/bxs3451/files/inline-files/FY24%20Signed%20Financial%20Statement.pdf</t>
        </is>
      </c>
    </row>
    <row r="7">
      <c r="A7" s="9" t="inlineStr">
        <is>
          <t>Rice</t>
        </is>
      </c>
      <c r="B7" s="9" t="inlineStr">
        <is>
          <t>Depreciation</t>
        </is>
      </c>
      <c r="C7" s="19" t="n">
        <v>82255000</v>
      </c>
      <c r="D7" s="4" t="inlineStr">
        <is>
          <t>'Depreciation and amortization 82,255 - 82,255 81,932' (Statement of Activities, PDF p6); cash flow 'Depreciation of property and equipment 82,255 81,932' (PDF p7).</t>
        </is>
      </c>
      <c r="E7" s="4" t="inlineStr">
        <is>
          <t>FY25 audited consolidated financial statements (auditor's report dated October 30, 2025): https://rice.app.box.com/index.php?rm=box_download_shared_file&amp;shared_name=kuzehuzf01j84ezzqwg3zlll1qc6fq4n&amp;file_id=f_2033251676859 (Box file 'FY 2025 Audited F; FY24 audited consolidated financial statements (auditor's report dated October 30, 2024): https://budgetandfinance.rice.edu/sites/g/files/bxs3451/files/inline-files/FY24%20Signed%20Financial%20Statement.pdf</t>
        </is>
      </c>
    </row>
    <row r="8">
      <c r="A8" s="9" t="inlineStr">
        <is>
          <t>Rice</t>
        </is>
      </c>
      <c r="B8" s="9" t="inlineStr">
        <is>
          <t>Interest</t>
        </is>
      </c>
      <c r="C8" s="19" t="n">
        <v>45396000</v>
      </c>
      <c r="D8" s="4" t="inlineStr">
        <is>
          <t>'Interest and bond costs 45,396 - 45,396 40,922' (Statement of Activities, PDF p6); note: 'Interest and bonds costs of $45,396 and $40,922 were charged to operations in 2025 and 2024, respectively. Interest and bond costs of $4,836 and $3,731 were capitalized' (PDF p21).</t>
        </is>
      </c>
      <c r="E8" s="4" t="inlineStr">
        <is>
          <t>FY25 audited consolidated financial statements (auditor's report dated October 30, 2025): https://rice.app.box.com/index.php?rm=box_download_shared_file&amp;shared_name=kuzehuzf01j84ezzqwg3zlll1qc6fq4n&amp;file_id=f_2033251676859 (Box file 'FY 2025 Audited F; FY24 audited consolidated financial statements (auditor's report dated October 30, 2024): https://budgetandfinance.rice.edu/sites/g/files/bxs3451/files/inline-files/FY24%20Signed%20Financial%20Statement.pdf</t>
        </is>
      </c>
    </row>
    <row r="9">
      <c r="A9" s="9" t="inlineStr">
        <is>
          <t>Vanderbilt</t>
        </is>
      </c>
      <c r="B9" s="9" t="inlineStr">
        <is>
          <t>Salaries and wages</t>
        </is>
      </c>
      <c r="C9" s="19" t="n">
        <v>804000000</v>
      </c>
      <c r="D9" s="4" t="inlineStr">
        <is>
          <t>NOT on the statements (face and note 15 show only 'Salaries, wages, and benefits  976,417'). The MD&amp;A chart 'Operating Expenses by Type (Fiscal 2025)' (FY25 report PDF p.10, in $ millions) shows 'Faculty salaries and wages, $294, 16%', 'Staff and student salaries and wages, $510, 28%' and 'Fringe benefits, $172, 10%'. 294 + 510 = 804 ($M, rounded); 804 + 172 = 976 ties to the statement.</t>
        </is>
      </c>
      <c r="E9" s="4" t="inlineStr">
        <is>
          <t>FY25 Vanderbilt Financial Report (audited consolidated financial statements, FY25 and FY24; includes MD&amp;A): https://cdn.vanderbilt.edu/vu-sub/wp-content/uploads/sites/291/2025/10/01145328/2025_VU_Financial_Report.pdf; FY24 Vanderbilt Financial Report (FY24 and FY23): https://cdn.vanderbilt.edu/vu-sub/wp-content/uploads/sites/291/2024/11/07201434/2024_VU_Financial_Report.pdf</t>
        </is>
      </c>
    </row>
    <row r="10">
      <c r="A10" s="9" t="inlineStr">
        <is>
          <t>Vanderbilt</t>
        </is>
      </c>
      <c r="B10" s="9" t="inlineStr">
        <is>
          <t>Total operating expenses</t>
        </is>
      </c>
      <c r="C10" s="19" t="n">
        <v>1799663000</v>
      </c>
      <c r="D10" s="4" t="inlineStr">
        <is>
          <t>'Total expenses  1,799,663' (thousands), the expenses section before 'Results of operations 217,348', FY25 report PDF p.20. MD&amp;A calls it 'Total operating expenses $1,800' million (p.10).</t>
        </is>
      </c>
      <c r="E10" s="4" t="inlineStr">
        <is>
          <t>FY25 Vanderbilt Financial Report (audited consolidated financial statements, FY25 and FY24; includes MD&amp;A): https://cdn.vanderbilt.edu/vu-sub/wp-content/uploads/sites/291/2025/10/01145328/2025_VU_Financial_Report.pdf; FY24 Vanderbilt Financial Report (FY24 and FY23): https://cdn.vanderbilt.edu/vu-sub/wp-content/uploads/sites/291/2024/11/07201434/2024_VU_Financial_Report.pdf</t>
        </is>
      </c>
    </row>
    <row r="11">
      <c r="A11" s="9" t="inlineStr">
        <is>
          <t>Vanderbilt</t>
        </is>
      </c>
      <c r="B11" s="9" t="inlineStr">
        <is>
          <t>Depreciation</t>
        </is>
      </c>
      <c r="C11" s="19" t="n">
        <v>116913000</v>
      </c>
      <c r="D11" s="4" t="inlineStr">
        <is>
          <t>'Depreciation  116,913  107,191' (thousands), separate expense line, FY25 report PDF p.20.</t>
        </is>
      </c>
      <c r="E11" s="4" t="inlineStr">
        <is>
          <t>FY25 Vanderbilt Financial Report (audited consolidated financial statements, FY25 and FY24; includes MD&amp;A): https://cdn.vanderbilt.edu/vu-sub/wp-content/uploads/sites/291/2025/10/01145328/2025_VU_Financial_Report.pdf; FY24 Vanderbilt Financial Report (FY24 and FY23): https://cdn.vanderbilt.edu/vu-sub/wp-content/uploads/sites/291/2024/11/07201434/2024_VU_Financial_Report.pdf</t>
        </is>
      </c>
    </row>
    <row r="12">
      <c r="A12" s="9" t="inlineStr">
        <is>
          <t>Vanderbilt</t>
        </is>
      </c>
      <c r="B12" s="9" t="inlineStr">
        <is>
          <t>Interest</t>
        </is>
      </c>
      <c r="C12" s="19" t="n">
        <v>30063000</v>
      </c>
      <c r="D12" s="4" t="inlineStr">
        <is>
          <t>'Interest expense  30,063' (thousands), separate expense line, FY25 report PDF p.20; note (p.33): 'Interest expense of $30.1 million in fiscal 2025 is net of capitalized interest of $5.4 million.'</t>
        </is>
      </c>
      <c r="E12" s="4" t="inlineStr">
        <is>
          <t>FY25 Vanderbilt Financial Report (audited consolidated financial statements, FY25 and FY24; includes MD&amp;A): https://cdn.vanderbilt.edu/vu-sub/wp-content/uploads/sites/291/2025/10/01145328/2025_VU_Financial_Report.pdf; FY24 Vanderbilt Financial Report (FY24 and FY23): https://cdn.vanderbilt.edu/vu-sub/wp-content/uploads/sites/291/2024/11/07201434/2024_VU_Financial_Report.pdf</t>
        </is>
      </c>
    </row>
    <row r="13">
      <c r="A13" s="9" t="inlineStr">
        <is>
          <t>Northwestern</t>
        </is>
      </c>
      <c r="B13" s="9" t="inlineStr">
        <is>
          <t>Salaries and wages</t>
        </is>
      </c>
      <c r="C13" s="19" t="n"/>
      <c r="D13" s="4" t="inlineStr">
        <is>
          <t>Not separately reported. 'Salaries, wages, and benefits  1,997,951  1,832,098' (thousands), FY25 report PDF p.11 (printed p.9); note 16 (PDF p.34) also combined.</t>
        </is>
      </c>
      <c r="E13" s="4" t="inlineStr">
        <is>
          <t>FY25 Northwestern University Financial Report (audited consolidated financial statements, FY25 and FY24): https://www.northwestern.edu/financial-operations/annual-financial-reports/2025-financial-report.pdf; FY24 Northwestern University Financial Report (FY24 and FY23): https://www.northwestern.edu/financial-operations/annual-financial-reports/2024-financial-report.pdf</t>
        </is>
      </c>
    </row>
    <row r="14">
      <c r="A14" s="9" t="inlineStr">
        <is>
          <t>Northwestern</t>
        </is>
      </c>
      <c r="B14" s="9" t="inlineStr">
        <is>
          <t>Total operating expenses</t>
        </is>
      </c>
      <c r="C14" s="19" t="n">
        <v>3607255000</v>
      </c>
      <c r="D14" s="4" t="inlineStr">
        <is>
          <t>'Total operating expenses  3,607,255  3,273,487' (thousands), FY25 report PDF p.11.</t>
        </is>
      </c>
      <c r="E14" s="4" t="inlineStr">
        <is>
          <t>FY25 Northwestern University Financial Report (audited consolidated financial statements, FY25 and FY24): https://www.northwestern.edu/financial-operations/annual-financial-reports/2025-financial-report.pdf; FY24 Northwestern University Financial Report (FY24 and FY23): https://www.northwestern.edu/financial-operations/annual-financial-reports/2024-financial-report.pdf</t>
        </is>
      </c>
    </row>
    <row r="15">
      <c r="A15" s="9" t="inlineStr">
        <is>
          <t>Northwestern</t>
        </is>
      </c>
      <c r="B15" s="9" t="inlineStr">
        <is>
          <t>Depreciation</t>
        </is>
      </c>
      <c r="C15" s="19" t="n">
        <v>216713000</v>
      </c>
      <c r="D15" s="4" t="inlineStr">
        <is>
          <t>'Depreciation  216,713  212,024' (thousands), separate operating line, FY25 report PDF p.11.</t>
        </is>
      </c>
      <c r="E15" s="4" t="inlineStr">
        <is>
          <t>FY25 Northwestern University Financial Report (audited consolidated financial statements, FY25 and FY24): https://www.northwestern.edu/financial-operations/annual-financial-reports/2025-financial-report.pdf; FY24 Northwestern University Financial Report (FY24 and FY23): https://www.northwestern.edu/financial-operations/annual-financial-reports/2024-financial-report.pdf</t>
        </is>
      </c>
    </row>
    <row r="16">
      <c r="A16" s="9" t="inlineStr">
        <is>
          <t>Northwestern</t>
        </is>
      </c>
      <c r="B16" s="9" t="inlineStr">
        <is>
          <t>Interest</t>
        </is>
      </c>
      <c r="C16" s="19" t="n">
        <v>99478000</v>
      </c>
      <c r="D16" s="4" t="inlineStr">
        <is>
          <t>'Interest on indebtedness  99,478  92,985' (thousands), separate operating line, FY25 report PDF p.11.</t>
        </is>
      </c>
      <c r="E16" s="4" t="inlineStr">
        <is>
          <t>FY25 Northwestern University Financial Report (audited consolidated financial statements, FY25 and FY24): https://www.northwestern.edu/financial-operations/annual-financial-reports/2025-financial-report.pdf; FY24 Northwestern University Financial Report (FY24 and FY23): https://www.northwestern.edu/financial-operations/annual-financial-reports/2024-financial-report.pdf</t>
        </is>
      </c>
    </row>
    <row r="17">
      <c r="A17" s="9" t="inlineStr">
        <is>
          <t>Princeton</t>
        </is>
      </c>
      <c r="B17" s="9" t="inlineStr">
        <is>
          <t>Salaries and wages</t>
        </is>
      </c>
      <c r="C17" s="19" t="n">
        <v>1162823000</v>
      </c>
      <c r="D17" s="4" t="inlineStr">
        <is>
          <t>'Salaries and wages 1,162,823 - 1,162,823' (Consolidated Statements of Activities, Year ended June 30, 2025, operating expenses, $ thousands; FY25 audited statements PDF p5; also Report of the Treasurer 2024-25 PDF p42). Note 15 natural x functional table: 'Salaries and wages $ 705,059 $ 96,485 $ 258,040 $ 103,239 $ 1,162,823' (PDF p31).</t>
        </is>
      </c>
      <c r="E17" s="4" t="inlineStr">
        <is>
          <t>FY25 audited consolidated financial statements, June 30, 2025 and 2024: https://finance.princeton.edu/sites/g/files/toruqf151/files/documents/Financial%20Statements%20FY2025.pdf; Report of the Treasurer 2024-25 (includes the audited FY25/FY24 statements; highlights table with enrollment on PDF p2; MD&amp;A printed p.30-31): https://finance.princeton.edu/sites/g/files/toruqf8101/files/documents/2024-25%20Report%20of%20the%20Treasurer%20Final.pdf</t>
        </is>
      </c>
    </row>
    <row r="18">
      <c r="A18" s="9" t="inlineStr">
        <is>
          <t>Princeton</t>
        </is>
      </c>
      <c r="B18" s="9" t="inlineStr">
        <is>
          <t>Total operating expenses</t>
        </is>
      </c>
      <c r="C18" s="19" t="n">
        <v>2744548000</v>
      </c>
      <c r="D18" s="4" t="inlineStr">
        <is>
          <t>'Total operating expenses 2,744,548 - 2,744,548' (PDF p5). Natural sum 1,162,823+351,760+551,402+113,819+111,451+231,467+221,826 = 2,744,548. Note 15 total also 2,744,548. Excluded from operating: 'Net periodic benefit cost other than service cost' 11,110 (nonoperating; Note 15 total incl. nonoperating 2,755,658).</t>
        </is>
      </c>
      <c r="E18" s="4" t="inlineStr">
        <is>
          <t>FY25 audited consolidated financial statements, June 30, 2025 and 2024: https://finance.princeton.edu/sites/g/files/toruqf151/files/documents/Financial%20Statements%20FY2025.pdf; Report of the Treasurer 2024-25 (includes the audited FY25/FY24 statements; highlights table with enrollment on PDF p2; MD&amp;A printed p.30-31): https://finance.princeton.edu/sites/g/files/toruqf8101/files/documents/2024-25%20Report%20of%20the%20Treasurer%20Final.pdf</t>
        </is>
      </c>
    </row>
    <row r="19">
      <c r="A19" s="9" t="inlineStr">
        <is>
          <t>Princeton</t>
        </is>
      </c>
      <c r="B19" s="9" t="inlineStr">
        <is>
          <t>Depreciation</t>
        </is>
      </c>
      <c r="C19" s="19" t="n">
        <v>231467000</v>
      </c>
      <c r="D19" s="4" t="inlineStr">
        <is>
          <t>'Depreciation 231,467 - 231,467' (PDF p5); cash flow 'Depreciation expense 231,467 210,883' (PDF p7).</t>
        </is>
      </c>
      <c r="E19" s="4" t="inlineStr">
        <is>
          <t>FY25 audited consolidated financial statements, June 30, 2025 and 2024: https://finance.princeton.edu/sites/g/files/toruqf151/files/documents/Financial%20Statements%20FY2025.pdf; Report of the Treasurer 2024-25 (includes the audited FY25/FY24 statements; highlights table with enrollment on PDF p2; MD&amp;A printed p.30-31): https://finance.princeton.edu/sites/g/files/toruqf8101/files/documents/2024-25%20Report%20of%20the%20Treasurer%20Final.pdf</t>
        </is>
      </c>
    </row>
    <row r="20">
      <c r="A20" s="9" t="inlineStr">
        <is>
          <t>Princeton</t>
        </is>
      </c>
      <c r="B20" s="9" t="inlineStr">
        <is>
          <t>Interest</t>
        </is>
      </c>
      <c r="C20" s="19" t="n">
        <v>221826000</v>
      </c>
      <c r="D20" s="4" t="inlineStr">
        <is>
          <t>'Interest on indebtedness 221,826 - 221,826' (PDF p5). Cash flow supplemental: 'Interest paid $ 233,141 $ 166,293' (PDF p7). Report of the Treasurer 2024-25 (printed p.30): 'Depreciation and interest grew 10 percent and 67 percent, respectively, due to the opening of new facilities and increased borrowing to fund the capital plan.'</t>
        </is>
      </c>
      <c r="E20" s="4" t="inlineStr">
        <is>
          <t>FY25 audited consolidated financial statements, June 30, 2025 and 2024: https://finance.princeton.edu/sites/g/files/toruqf151/files/documents/Financial%20Statements%20FY2025.pdf; Report of the Treasurer 2024-25 (includes the audited FY25/FY24 statements; highlights table with enrollment on PDF p2; MD&amp;A printed p.30-31): https://finance.princeton.edu/sites/g/files/toruqf8101/files/documents/2024-25%20Report%20of%20the%20Treasurer%20Final.pdf</t>
        </is>
      </c>
    </row>
    <row r="21">
      <c r="A21" s="9" t="inlineStr">
        <is>
          <t>Harvard</t>
        </is>
      </c>
      <c r="B21" s="9" t="inlineStr">
        <is>
          <t>Salaries and wages</t>
        </is>
      </c>
      <c r="C21" s="19" t="n"/>
      <c r="D21" s="4" t="inlineStr">
        <is>
          <t>NOT EXTRACTED: the Harvard Financial Report PDFs could not be retrieved (finance.harvard.edu returns Akamai 'Access Denied' 403 to curl with a browser User-Agent, and WebFetch reports the host blocked by the network egress proxy). No number was taken from a search snippet or memory.</t>
        </is>
      </c>
      <c r="E21" s="4" t="inlineStr">
        <is>
          <t>FY25 Harvard University Financial Report (located, NOT retrieved: 403): https://finance.harvard.edu/sites/g/files/omnuum12671/files/2025-10/fy25-financial-report.pdf; FY25 Financial Overview from the VP for Finance and the Treasurer (located, NOT retrieved: 403): https://finance.harvard.edu/sites/g/files/omnuum12671/files/2025-10/fy25-financial-overview.pdf</t>
        </is>
      </c>
    </row>
    <row r="22">
      <c r="A22" s="9" t="inlineStr">
        <is>
          <t>Harvard</t>
        </is>
      </c>
      <c r="B22" s="9" t="inlineStr">
        <is>
          <t>Total operating expenses</t>
        </is>
      </c>
      <c r="C22" s="19" t="n"/>
      <c r="D22" s="4" t="inlineStr">
        <is>
          <t>NOT EXTRACTED: the Harvard Financial Report PDFs could not be retrieved (finance.harvard.edu returns Akamai 'Access Denied' 403 to curl with a browser User-Agent, and WebFetch reports the host blocked by the network egress proxy). No number was taken from a search snippet or memory.</t>
        </is>
      </c>
      <c r="E22" s="4" t="inlineStr">
        <is>
          <t>FY25 Harvard University Financial Report (located, NOT retrieved: 403): https://finance.harvard.edu/sites/g/files/omnuum12671/files/2025-10/fy25-financial-report.pdf; FY25 Financial Overview from the VP for Finance and the Treasurer (located, NOT retrieved: 403): https://finance.harvard.edu/sites/g/files/omnuum12671/files/2025-10/fy25-financial-overview.pdf</t>
        </is>
      </c>
    </row>
    <row r="23">
      <c r="A23" s="9" t="inlineStr">
        <is>
          <t>Harvard</t>
        </is>
      </c>
      <c r="B23" s="9" t="inlineStr">
        <is>
          <t>Depreciation</t>
        </is>
      </c>
      <c r="C23" s="19" t="n"/>
      <c r="D23" s="4" t="inlineStr">
        <is>
          <t>NOT EXTRACTED: the Harvard Financial Report PDFs could not be retrieved (finance.harvard.edu returns Akamai 'Access Denied' 403 to curl with a browser User-Agent, and WebFetch reports the host blocked by the network egress proxy). No number was taken from a search snippet or memory.</t>
        </is>
      </c>
      <c r="E23" s="4" t="inlineStr">
        <is>
          <t>FY25 Harvard University Financial Report (located, NOT retrieved: 403): https://finance.harvard.edu/sites/g/files/omnuum12671/files/2025-10/fy25-financial-report.pdf; FY25 Financial Overview from the VP for Finance and the Treasurer (located, NOT retrieved: 403): https://finance.harvard.edu/sites/g/files/omnuum12671/files/2025-10/fy25-financial-overview.pdf</t>
        </is>
      </c>
    </row>
    <row r="24">
      <c r="A24" s="9" t="inlineStr">
        <is>
          <t>Harvard</t>
        </is>
      </c>
      <c r="B24" s="9" t="inlineStr">
        <is>
          <t>Interest</t>
        </is>
      </c>
      <c r="C24" s="19" t="n"/>
      <c r="D24" s="4" t="inlineStr">
        <is>
          <t>NOT EXTRACTED: the Harvard Financial Report PDFs could not be retrieved (finance.harvard.edu returns Akamai 'Access Denied' 403 to curl with a browser User-Agent, and WebFetch reports the host blocked by the network egress proxy). No number was taken from a search snippet or memory.</t>
        </is>
      </c>
      <c r="E24" s="4" t="inlineStr">
        <is>
          <t>FY25 Harvard University Financial Report (located, NOT retrieved: 403): https://finance.harvard.edu/sites/g/files/omnuum12671/files/2025-10/fy25-financial-report.pdf; FY25 Financial Overview from the VP for Finance and the Treasurer (located, NOT retrieved: 403): https://finance.harvard.edu/sites/g/files/omnuum12671/files/2025-10/fy25-financial-overview.pdf</t>
        </is>
      </c>
    </row>
    <row r="25">
      <c r="A25" s="9" t="inlineStr">
        <is>
          <t>Yale</t>
        </is>
      </c>
      <c r="B25" s="9" t="inlineStr">
        <is>
          <t>Salaries and wages</t>
        </is>
      </c>
      <c r="C25" s="19" t="n">
        <v>2737371000</v>
      </c>
      <c r="D25" s="4" t="inlineStr">
        <is>
          <t>'Salaries and wages $ 2,737,371 $ - $ 2,737,371 $ 2,546,768' (Yale University Consolidated Statement of Activities, year ended June 30, 2025, $ thousands; FY25 Financial Report PDF p24 = printed p.22). Same figure in Note 14 (PDF p61).</t>
        </is>
      </c>
      <c r="E25" s="4" t="inlineStr">
        <is>
          <t>Yale University Financial Report 2024-2025 (audited consolidated financial statements; issued October 23, 2025): https://your.yale.edu/media/3134/download?inline=; Yale University Financial Report 2023-2024 (audited consolidated financial statements): https://your.yale.edu/sites/default/files/2025-04/fy24_annual_financial_report.pdf</t>
        </is>
      </c>
    </row>
    <row r="26">
      <c r="A26" s="9" t="inlineStr">
        <is>
          <t>Yale</t>
        </is>
      </c>
      <c r="B26" s="9" t="inlineStr">
        <is>
          <t>Total operating expenses</t>
        </is>
      </c>
      <c r="C26" s="19" t="n">
        <v>5807911000</v>
      </c>
      <c r="D26" s="4" t="inlineStr">
        <is>
          <t>'Total expenses 5,807,911 - 5,807,911 5,412,254' (operating section, 'Expenses:', FY25 report PDF p24). Sum of natural lines 2,737,371+861,635+504,923+1,703,982 = 5,807,911. Note 14 'Total operating expenses $ 5,807,911' (PDF p61). MD&amp;A: 'Operating expenses totaled $5.8 billion for 2025'.</t>
        </is>
      </c>
      <c r="E26" s="4" t="inlineStr">
        <is>
          <t>Yale University Financial Report 2024-2025 (audited consolidated financial statements; issued October 23, 2025): https://your.yale.edu/media/3134/download?inline=; Yale University Financial Report 2023-2024 (audited consolidated financial statements): https://your.yale.edu/sites/default/files/2025-04/fy24_annual_financial_report.pdf</t>
        </is>
      </c>
    </row>
    <row r="27">
      <c r="A27" s="9" t="inlineStr">
        <is>
          <t>Yale</t>
        </is>
      </c>
      <c r="B27" s="9" t="inlineStr">
        <is>
          <t>Depreciation</t>
        </is>
      </c>
      <c r="C27" s="19" t="n"/>
      <c r="D27" s="4" t="inlineStr">
        <is>
          <t>Not separate on the face. Combined row: 'Depreciation, amortization and interest 504,923 - 504,923 470,601' (PDF p24). Note 8: 'Depreciation expense included in operating expenses amounted to $344.8 million and $328.9 million in 2025 and 2024' (PDF p48, printed p.46).</t>
        </is>
      </c>
      <c r="E27" s="4" t="inlineStr">
        <is>
          <t>Yale University Financial Report 2024-2025 (audited consolidated financial statements; issued October 23, 2025): https://your.yale.edu/media/3134/download?inline=; Yale University Financial Report 2023-2024 (audited consolidated financial statements): https://your.yale.edu/sites/default/files/2025-04/fy24_annual_financial_report.pdf</t>
        </is>
      </c>
    </row>
    <row r="28">
      <c r="A28" s="9" t="inlineStr">
        <is>
          <t>Yale</t>
        </is>
      </c>
      <c r="B28" s="9" t="inlineStr">
        <is>
          <t>Interest</t>
        </is>
      </c>
      <c r="C28" s="19" t="n"/>
      <c r="D28" s="4" t="inlineStr">
        <is>
          <t>Not separate on the face (combined row above). Note 10: 'Total interest expense incurred on indebtedness was $108.3 million and $111.3 million in 2025 and 2024, respectively. Interest capitalized to land, buildings and equipment totaled $14.4 million and $9.9 million ... Amortization expense related to bond issue costs included in operating expenses amounted to $3.0 million and $3.7 million' (PDF p52). Note 6: financing lease 'Interest on lease liabilities Depreciation, amortization and interest 12,877 6,213' (PDF p46).</t>
        </is>
      </c>
      <c r="E28" s="4" t="inlineStr">
        <is>
          <t>Yale University Financial Report 2024-2025 (audited consolidated financial statements; issued October 23, 2025): https://your.yale.edu/media/3134/download?inline=; Yale University Financial Report 2023-2024 (audited consolidated financial statements): https://your.yale.edu/sites/default/files/2025-04/fy24_annual_financial_report.pdf</t>
        </is>
      </c>
    </row>
    <row r="29">
      <c r="A29" s="9" t="inlineStr">
        <is>
          <t>Chicago</t>
        </is>
      </c>
      <c r="B29" s="9" t="inlineStr">
        <is>
          <t>Salaries and wages</t>
        </is>
      </c>
      <c r="C29" s="19" t="n">
        <v>3678678000</v>
      </c>
      <c r="D29" s="4" t="inlineStr">
        <is>
          <t>Academic salaries 923,520 + Staff salaries 2,755,158 = 3,678,678 (thousands), 2025 column, under Expenses &gt; Compensation on the Consolidated Statements of Activities (Benefits shown separately at 839,139). FY25 report, printed p.4 (PDF p.6). Consolidated, so includes UChicago Medical Center staff salaries.</t>
        </is>
      </c>
      <c r="E29" s="4" t="inlineStr">
        <is>
          <t>FY25 audited consolidated financial statements (The University of Chicago, June 30, 2025 and 2024): https://intranet.uchicago.edu/-/media/project/uchicago-tenant/intranet/fna/financial-services/accounting-and-treasury/audited-financial-statements/2024-2025-the; FY24 audited consolidated financial statements (June 30, 2024 and 2023): https://intranet.uchicago.edu/-/media/project/uchicago-tenant/intranet/fna/financial-services/accounting-and-treasury/audited-financial-statements/2023-2024-the</t>
        </is>
      </c>
    </row>
    <row r="30">
      <c r="A30" s="9" t="inlineStr">
        <is>
          <t>Chicago</t>
        </is>
      </c>
      <c r="B30" s="9" t="inlineStr">
        <is>
          <t>Total operating expenses</t>
        </is>
      </c>
      <c r="C30" s="19" t="n">
        <v>8283042000</v>
      </c>
      <c r="D30" s="4" t="inlineStr">
        <is>
          <t>'Total operating expenses 8,283,042' (thousands), 2025 column, Operating section of Consolidated Statements of Activities. FY25 report, printed p.4 (PDF p.6).</t>
        </is>
      </c>
      <c r="E30" s="4" t="inlineStr">
        <is>
          <t>FY25 audited consolidated financial statements (The University of Chicago, June 30, 2025 and 2024): https://intranet.uchicago.edu/-/media/project/uchicago-tenant/intranet/fna/financial-services/accounting-and-treasury/audited-financial-statements/2024-2025-the; FY24 audited consolidated financial statements (June 30, 2024 and 2023): https://intranet.uchicago.edu/-/media/project/uchicago-tenant/intranet/fna/financial-services/accounting-and-treasury/audited-financial-statements/2023-2024-the</t>
        </is>
      </c>
    </row>
    <row r="31">
      <c r="A31" s="9" t="inlineStr">
        <is>
          <t>Chicago</t>
        </is>
      </c>
      <c r="B31" s="9" t="inlineStr">
        <is>
          <t>Depreciation</t>
        </is>
      </c>
      <c r="C31" s="19" t="n">
        <v>401386000</v>
      </c>
      <c r="D31" s="4" t="inlineStr">
        <is>
          <t>'Depreciation 401,386' (thousands) under Other operating expenses. FY25 report, printed p.4 (PDF p.6).</t>
        </is>
      </c>
      <c r="E31" s="4" t="inlineStr">
        <is>
          <t>FY25 audited consolidated financial statements (The University of Chicago, June 30, 2025 and 2024): https://intranet.uchicago.edu/-/media/project/uchicago-tenant/intranet/fna/financial-services/accounting-and-treasury/audited-financial-statements/2024-2025-the; FY24 audited consolidated financial statements (June 30, 2024 and 2023): https://intranet.uchicago.edu/-/media/project/uchicago-tenant/intranet/fna/financial-services/accounting-and-treasury/audited-financial-statements/2023-2024-the</t>
        </is>
      </c>
    </row>
    <row r="32">
      <c r="A32" s="9" t="inlineStr">
        <is>
          <t>Chicago</t>
        </is>
      </c>
      <c r="B32" s="9" t="inlineStr">
        <is>
          <t>Interest</t>
        </is>
      </c>
      <c r="C32" s="19" t="n">
        <v>215170000</v>
      </c>
      <c r="D32" s="4" t="inlineStr">
        <is>
          <t>'Interest 215,170' (thousands) under Other operating expenses. FY25 report, printed p.4 (PDF p.6).</t>
        </is>
      </c>
      <c r="E32" s="4" t="inlineStr">
        <is>
          <t>FY25 audited consolidated financial statements (The University of Chicago, June 30, 2025 and 2024): https://intranet.uchicago.edu/-/media/project/uchicago-tenant/intranet/fna/financial-services/accounting-and-treasury/audited-financial-statements/2024-2025-the; FY24 audited consolidated financial statements (June 30, 2024 and 2023): https://intranet.uchicago.edu/-/media/project/uchicago-tenant/intranet/fna/financial-services/accounting-and-treasury/audited-financial-statements/2023-2024-the</t>
        </is>
      </c>
    </row>
    <row r="33">
      <c r="A33" s="9" t="inlineStr">
        <is>
          <t>Duke</t>
        </is>
      </c>
      <c r="B33" s="9" t="inlineStr">
        <is>
          <t>Salaries and wages</t>
        </is>
      </c>
      <c r="C33" s="19" t="n">
        <v>5041664000</v>
      </c>
      <c r="D33" s="4" t="inlineStr">
        <is>
          <t>'Salaries and wages 5,041,664' (thousands), 2025 column, Operating expenses on the Consolidated Statements of Activities; 'Employee benefits 1,189,048' is a separate line. FY25 report (Financial Statements 2024/2025), printed p.14 (PDF p.16). Consolidated with DUHS, so includes health system staff.</t>
        </is>
      </c>
      <c r="E33" s="4" t="inlineStr">
        <is>
          <t>FY25 Duke University audited consolidated financial statements (Financial Statements 2024/2025): https://resources.finance.duke.edu/resources/docs/Financial_Reports2024-25.pdf; FY24 Duke University audited consolidated financial statements (Financial Statements 2023/2024): https://resources.finance.duke.edu/resources/docs/Financial_Reports2023-24.pdf</t>
        </is>
      </c>
    </row>
    <row r="34">
      <c r="A34" s="9" t="inlineStr">
        <is>
          <t>Duke</t>
        </is>
      </c>
      <c r="B34" s="9" t="inlineStr">
        <is>
          <t>Total operating expenses</t>
        </is>
      </c>
      <c r="C34" s="19" t="n">
        <v>10953208000</v>
      </c>
      <c r="D34" s="4" t="inlineStr">
        <is>
          <t>'Total operating expenses 10,953,208' (thousands), 2025 column. FY25 report (Financial Statements 2024/2025), printed p.14 (PDF p.16).</t>
        </is>
      </c>
      <c r="E34" s="4" t="inlineStr">
        <is>
          <t>FY25 Duke University audited consolidated financial statements (Financial Statements 2024/2025): https://resources.finance.duke.edu/resources/docs/Financial_Reports2024-25.pdf; FY24 Duke University audited consolidated financial statements (Financial Statements 2023/2024): https://resources.finance.duke.edu/resources/docs/Financial_Reports2023-24.pdf</t>
        </is>
      </c>
    </row>
    <row r="35">
      <c r="A35" s="9" t="inlineStr">
        <is>
          <t>Duke</t>
        </is>
      </c>
      <c r="B35" s="9" t="inlineStr">
        <is>
          <t>Depreciation</t>
        </is>
      </c>
      <c r="C35" s="19" t="n">
        <v>471677000</v>
      </c>
      <c r="D35" s="4" t="inlineStr">
        <is>
          <t>'Depreciation and amortization 471,677' (thousands), 2025 column, in Operating expenses. FY25 report (Financial Statements 2024/2025), printed p.14 (PDF p.16).</t>
        </is>
      </c>
      <c r="E35" s="4" t="inlineStr">
        <is>
          <t>FY25 Duke University audited consolidated financial statements (Financial Statements 2024/2025): https://resources.finance.duke.edu/resources/docs/Financial_Reports2024-25.pdf; FY24 Duke University audited consolidated financial statements (Financial Statements 2023/2024): https://resources.finance.duke.edu/resources/docs/Financial_Reports2023-24.pdf</t>
        </is>
      </c>
    </row>
    <row r="36">
      <c r="A36" s="9" t="inlineStr">
        <is>
          <t>Duke</t>
        </is>
      </c>
      <c r="B36" s="9" t="inlineStr">
        <is>
          <t>Interest</t>
        </is>
      </c>
      <c r="C36" s="19" t="n">
        <v>161512000</v>
      </c>
      <c r="D36" s="4" t="inlineStr">
        <is>
          <t>'Interest expense 161,512' (thousands), 2025 column, in Operating expenses. FY25 report (Financial Statements 2024/2025), printed p.14 (PDF p.16).</t>
        </is>
      </c>
      <c r="E36" s="4" t="inlineStr">
        <is>
          <t>FY25 Duke University audited consolidated financial statements (Financial Statements 2024/2025): https://resources.finance.duke.edu/resources/docs/Financial_Reports2024-25.pdf; FY24 Duke University audited consolidated financial statements (Financial Statements 2023/2024): https://resources.finance.duke.edu/resources/docs/Financial_Reports2023-24.pdf</t>
        </is>
      </c>
    </row>
    <row r="37">
      <c r="A37" s="9" t="inlineStr">
        <is>
          <t>Emory</t>
        </is>
      </c>
      <c r="B37" s="9" t="inlineStr">
        <is>
          <t>Salaries and wages</t>
        </is>
      </c>
      <c r="C37" s="19" t="n">
        <v>5265449000</v>
      </c>
      <c r="D37" s="4" t="inlineStr">
        <is>
          <t>'Salaries  5,265,449 ... 5,265,449  4,672,130' (thousands), operating expenses, FY25 report PDF p.5. Fringe benefits are a separate line ('Fringe benefits  1,259,151').</t>
        </is>
      </c>
      <c r="E37" s="4" t="inlineStr">
        <is>
          <t>FY25 Emory University Consolidated Financial Statements and Supplementary Information (KPMG audited; FY25 with FY24 comparatives): https://finance.emory.edu/home/financedivision/_includes/documents/audit-fy25.pdf; FY24 Emory University Consolidated Financial Statements (FY24 with FY23 comparatives): https://finance.emory.edu/home/financedivision/_includes/documents/audit-fy24.pdf</t>
        </is>
      </c>
    </row>
    <row r="38">
      <c r="A38" s="9" t="inlineStr">
        <is>
          <t>Emory</t>
        </is>
      </c>
      <c r="B38" s="9" t="inlineStr">
        <is>
          <t>Total operating expenses</t>
        </is>
      </c>
      <c r="C38" s="19" t="n">
        <v>10577959000</v>
      </c>
      <c r="D38" s="4" t="inlineStr">
        <is>
          <t>'Total operating expenses  10,577,959 ... 10,577,959  9,499,041' (thousands), FY25 report PDF p.5.</t>
        </is>
      </c>
      <c r="E38" s="4" t="inlineStr">
        <is>
          <t>FY25 Emory University Consolidated Financial Statements and Supplementary Information (KPMG audited; FY25 with FY24 comparatives): https://finance.emory.edu/home/financedivision/_includes/documents/audit-fy25.pdf; FY24 Emory University Consolidated Financial Statements (FY24 with FY23 comparatives): https://finance.emory.edu/home/financedivision/_includes/documents/audit-fy24.pdf</t>
        </is>
      </c>
    </row>
    <row r="39">
      <c r="A39" s="9" t="inlineStr">
        <is>
          <t>Emory</t>
        </is>
      </c>
      <c r="B39" s="9" t="inlineStr">
        <is>
          <t>Depreciation</t>
        </is>
      </c>
      <c r="C39" s="19" t="n">
        <v>379158000</v>
      </c>
      <c r="D39" s="4" t="inlineStr">
        <is>
          <t>'Depreciation and amortization  379,158 ... 379,158  398,179' (thousands): a single combined operating line, FY25 report PDF p.5. Depreciation and amortization cannot be separated; the full combined line is entered under 'depreciation'.</t>
        </is>
      </c>
      <c r="E39" s="4" t="inlineStr">
        <is>
          <t>FY25 Emory University Consolidated Financial Statements and Supplementary Information (KPMG audited; FY25 with FY24 comparatives): https://finance.emory.edu/home/financedivision/_includes/documents/audit-fy25.pdf; FY24 Emory University Consolidated Financial Statements (FY24 with FY23 comparatives): https://finance.emory.edu/home/financedivision/_includes/documents/audit-fy24.pdf</t>
        </is>
      </c>
    </row>
    <row r="40">
      <c r="A40" s="9" t="inlineStr">
        <is>
          <t>Emory</t>
        </is>
      </c>
      <c r="B40" s="9" t="inlineStr">
        <is>
          <t>Interest</t>
        </is>
      </c>
      <c r="C40" s="19" t="n">
        <v>113892000</v>
      </c>
      <c r="D40" s="4" t="inlineStr">
        <is>
          <t>'Interest on indebtedness  113,892 ... 113,892  110,286' (thousands), separate operating line, FY25 report PDF p.5. Note (PDF p.28): 'interest expenses of $113.9 million and $110.3 million in 2025 and 2024, respectively, net of capitalized interest of $0.0 million and $17.5 million'.</t>
        </is>
      </c>
      <c r="E40" s="4" t="inlineStr">
        <is>
          <t>FY25 Emory University Consolidated Financial Statements and Supplementary Information (KPMG audited; FY25 with FY24 comparatives): https://finance.emory.edu/home/financedivision/_includes/documents/audit-fy25.pdf; FY24 Emory University Consolidated Financial Statements (FY24 with FY23 comparatives): https://finance.emory.edu/home/financedivision/_includes/documents/audit-fy24.pdf</t>
        </is>
      </c>
    </row>
    <row r="41">
      <c r="A41" s="9" t="inlineStr">
        <is>
          <t>Penn</t>
        </is>
      </c>
      <c r="B41" s="9" t="inlineStr">
        <is>
          <t>Salaries and wages</t>
        </is>
      </c>
      <c r="C41" s="19" t="n"/>
      <c r="D41" s="4" t="inlineStr">
        <is>
          <t>NOT DISCLOSED. Statement of Activities (Expenses) shows only 'Compensation and benefits 9,019,270' (in thousands, 2025 column), combined; no separate salaries and wages or benefits line anywhere in the statements or notes (searched full text for 'salar' and 'wages'). FY25 report, printed p.2 (PDF p.6).</t>
        </is>
      </c>
      <c r="E41" s="4" t="inlineStr">
        <is>
          <t>FY25 audited consolidated financial statements (Financial Report 2024-2025; auditor report dated Sept 25, 2025): https://investments.upenn.edu/sites/default/files/downloads/FY25%20Consolidated%20University%20Annual%20Report%20Final%20SIGNED.pdf; FY24 audited consolidated financial statements (Financial Report 2023-2024): https://investments.upenn.edu/sites/default/files/downloads/Penn%20Annual%20Report%20FY24.pdf</t>
        </is>
      </c>
    </row>
    <row r="42">
      <c r="A42" s="9" t="inlineStr">
        <is>
          <t>Penn</t>
        </is>
      </c>
      <c r="B42" s="9" t="inlineStr">
        <is>
          <t>Total operating expenses</t>
        </is>
      </c>
      <c r="C42" s="19" t="n">
        <v>16445321000</v>
      </c>
      <c r="D42" s="4" t="inlineStr">
        <is>
          <t>'TOTAL EXPENSES 16,445,321' (thousands), 2025 column, above 'INCREASE IN NET ASSETS FROM OPERATIONS'. FY25 report, printed p.2 (PDF p.6).</t>
        </is>
      </c>
      <c r="E42" s="4" t="inlineStr">
        <is>
          <t>FY25 audited consolidated financial statements (Financial Report 2024-2025; auditor report dated Sept 25, 2025): https://investments.upenn.edu/sites/default/files/downloads/FY25%20Consolidated%20University%20Annual%20Report%20Final%20SIGNED.pdf; FY24 audited consolidated financial statements (Financial Report 2023-2024): https://investments.upenn.edu/sites/default/files/downloads/Penn%20Annual%20Report%20FY24.pdf</t>
        </is>
      </c>
    </row>
    <row r="43">
      <c r="A43" s="9" t="inlineStr">
        <is>
          <t>Penn</t>
        </is>
      </c>
      <c r="B43" s="9" t="inlineStr">
        <is>
          <t>Depreciation</t>
        </is>
      </c>
      <c r="C43" s="19" t="n">
        <v>686510000</v>
      </c>
      <c r="D43" s="4" t="inlineStr">
        <is>
          <t>'Depreciation and amortization 686,510' (thousands), 2025 column, inside EXPENSES on Statement of Activities. FY25 report, printed p.2 (PDF p.6).</t>
        </is>
      </c>
      <c r="E43" s="4" t="inlineStr">
        <is>
          <t>FY25 audited consolidated financial statements (Financial Report 2024-2025; auditor report dated Sept 25, 2025): https://investments.upenn.edu/sites/default/files/downloads/FY25%20Consolidated%20University%20Annual%20Report%20Final%20SIGNED.pdf; FY24 audited consolidated financial statements (Financial Report 2023-2024): https://investments.upenn.edu/sites/default/files/downloads/Penn%20Annual%20Report%20FY24.pdf</t>
        </is>
      </c>
    </row>
    <row r="44">
      <c r="A44" s="9" t="inlineStr">
        <is>
          <t>Penn</t>
        </is>
      </c>
      <c r="B44" s="9" t="inlineStr">
        <is>
          <t>Interest</t>
        </is>
      </c>
      <c r="C44" s="19" t="n">
        <v>133923000</v>
      </c>
      <c r="D44" s="4" t="inlineStr">
        <is>
          <t>'Interest on indebtedness 133,923' (thousands), 2025 column, inside EXPENSES on Statement of Activities. FY25 report, printed p.2 (PDF p.6).</t>
        </is>
      </c>
      <c r="E44" s="4" t="inlineStr">
        <is>
          <t>FY25 audited consolidated financial statements (Financial Report 2024-2025; auditor report dated Sept 25, 2025): https://investments.upenn.edu/sites/default/files/downloads/FY25%20Consolidated%20University%20Annual%20Report%20Final%20SIGNED.pdf; FY24 audited consolidated financial statements (Financial Report 2023-2024): https://investments.upenn.edu/sites/default/files/downloads/Penn%20Annual%20Report%20FY24.pdf</t>
        </is>
      </c>
    </row>
    <row r="45">
      <c r="A45" s="9" t="inlineStr">
        <is>
          <t>Stanford</t>
        </is>
      </c>
      <c r="B45" s="9" t="inlineStr">
        <is>
          <t>Salaries and wages</t>
        </is>
      </c>
      <c r="C45" s="19" t="n"/>
      <c r="D45" s="4" t="inlineStr">
        <is>
          <t>Not separately reported. Statement of activities row: 'Salaries and benefits  11,647,045  10,757,678' (thousands), FY25 report PDF p.15. Note (p.55) also shows only 'SALARIES AND BENEFITS'.</t>
        </is>
      </c>
      <c r="E45" s="4" t="inlineStr">
        <is>
          <t>FY25 Stanford Annual Financial Report (audited consolidated financial statements of Stanford University, Stanford Health Care and Lucile Packard Children's Hospital; FY25 and FY24 columns): https://bondholder-information.stanford.edu/sites/g/files/sbiybj21416/files/media/file/fy25-annual-financial-report.pdf; FY24 Stanford Annual Financial Report (FY24 and FY23 columns): https://bondholder-information.stanford.edu/sites/g/files/sbiybj21416/files/media/file/fy24-annual-financial-report_0.pdf</t>
        </is>
      </c>
    </row>
    <row r="46">
      <c r="A46" s="9" t="inlineStr">
        <is>
          <t>Stanford</t>
        </is>
      </c>
      <c r="B46" s="9" t="inlineStr">
        <is>
          <t>Total operating expenses</t>
        </is>
      </c>
      <c r="C46" s="19" t="n">
        <v>18935447000</v>
      </c>
      <c r="D46" s="4" t="inlineStr">
        <is>
          <t>'TOTAL OPERATING EXPENSES  18,935,447  17,708,990' (thousands), FY25 report PDF p.15.</t>
        </is>
      </c>
      <c r="E46" s="4" t="inlineStr">
        <is>
          <t>FY25 Stanford Annual Financial Report (audited consolidated financial statements of Stanford University, Stanford Health Care and Lucile Packard Children's Hospital; FY25 and FY24 columns): https://bondholder-information.stanford.edu/sites/g/files/sbiybj21416/files/media/file/fy25-annual-financial-report.pdf; FY24 Stanford Annual Financial Report (FY24 and FY23 columns): https://bondholder-information.stanford.edu/sites/g/files/sbiybj21416/files/media/file/fy24-annual-financial-report_0.pdf</t>
        </is>
      </c>
    </row>
    <row r="47">
      <c r="A47" s="9" t="inlineStr">
        <is>
          <t>Stanford</t>
        </is>
      </c>
      <c r="B47" s="9" t="inlineStr">
        <is>
          <t>Depreciation</t>
        </is>
      </c>
      <c r="C47" s="19" t="n">
        <v>930917000</v>
      </c>
      <c r="D47" s="4" t="inlineStr">
        <is>
          <t>'Depreciation  930,917  907,913' (thousands), operating expenses section, FY25 report PDF p.15 (statement of cash flows shows 933,674, which includes depreciation not in operating expenses).</t>
        </is>
      </c>
      <c r="E47" s="4" t="inlineStr">
        <is>
          <t>FY25 Stanford Annual Financial Report (audited consolidated financial statements of Stanford University, Stanford Health Care and Lucile Packard Children's Hospital; FY25 and FY24 columns): https://bondholder-information.stanford.edu/sites/g/files/sbiybj21416/files/media/file/fy25-annual-financial-report.pdf; FY24 Stanford Annual Financial Report (FY24 and FY23 columns): https://bondholder-information.stanford.edu/sites/g/files/sbiybj21416/files/media/file/fy24-annual-financial-report_0.pdf</t>
        </is>
      </c>
    </row>
    <row r="48">
      <c r="A48" s="9" t="inlineStr">
        <is>
          <t>Stanford</t>
        </is>
      </c>
      <c r="B48" s="9" t="inlineStr">
        <is>
          <t>Interest</t>
        </is>
      </c>
      <c r="C48" s="19" t="n">
        <v>278763000</v>
      </c>
      <c r="D48" s="4" t="inlineStr">
        <is>
          <t>Interest note, FY25 report PDF p.44: 'INTEREST EXPENSE, NET  $169,091 $79,348 $30,324 $278,763' (University, SHC, LPCH, Consolidated; thousands). Note states interest expense 'is recorded in "Other operating expenses"'. Gross was 296,202 (less 7,382 interest income on unspent proceeds, 6,501 capitalized, 3,556 classified as investment expense).</t>
        </is>
      </c>
      <c r="E48" s="4" t="inlineStr">
        <is>
          <t>FY25 Stanford Annual Financial Report (audited consolidated financial statements of Stanford University, Stanford Health Care and Lucile Packard Children's Hospital; FY25 and FY24 columns): https://bondholder-information.stanford.edu/sites/g/files/sbiybj21416/files/media/file/fy25-annual-financial-report.pdf; FY24 Stanford Annual Financial Report (FY24 and FY23 columns): https://bondholder-information.stanford.edu/sites/g/files/sbiybj21416/files/media/file/fy24-annual-financial-report_0.pdf</t>
        </is>
      </c>
    </row>
    <row r="49">
      <c r="A49" s="9" t="inlineStr">
        <is>
          <t>Northeastern</t>
        </is>
      </c>
      <c r="B49" s="9" t="inlineStr">
        <is>
          <t>Salaries and wages</t>
        </is>
      </c>
      <c r="C49" s="19" t="n"/>
      <c r="D49" s="4" t="inlineStr">
        <is>
          <t>Not separately reported. Only 'Salary and benefits  1,341,049' (thousands) on the Consolidated Statement of Activities, 2025 column, and Note 14 total row 'Total $1,341,049 $846,088 $151,250 $49,862 $2,388,249'. FY25 report PDF p6 (printed p4) and PDF p28 (printed p26).</t>
        </is>
      </c>
      <c r="E49" s="4" t="inlineStr">
        <is>
          <t>FY25 audited consolidated financial statements (June 30, 2025 and 2024; PwC opinion dated Oct 29, 2025): https://finance.northeastern.edu/wp-content/uploads/Northeastern-University-Financial-Statements-FY25-Final.pdf; FY24 audited consolidated financial statements (June 30, 2024 and 2023): https://finance.northeastern.edu/wp-content/uploads/2024-Financial-Statements.pdf</t>
        </is>
      </c>
    </row>
    <row r="50">
      <c r="A50" s="9" t="inlineStr">
        <is>
          <t>Northeastern</t>
        </is>
      </c>
      <c r="B50" s="9" t="inlineStr">
        <is>
          <t>Total operating expenses</t>
        </is>
      </c>
      <c r="C50" s="19" t="n">
        <v>2388249000</v>
      </c>
      <c r="D50" s="4" t="inlineStr">
        <is>
          <t>'Total operating expenses (Notes 6, 8 and 14)  2,388,249  -  2,388,249  2,224,534' (thousands). FY25 report, Statement of Activities, PDF p6 (printed p4).</t>
        </is>
      </c>
      <c r="E50" s="4" t="inlineStr">
        <is>
          <t>FY25 audited consolidated financial statements (June 30, 2025 and 2024; PwC opinion dated Oct 29, 2025): https://finance.northeastern.edu/wp-content/uploads/Northeastern-University-Financial-Statements-FY25-Final.pdf; FY24 audited consolidated financial statements (June 30, 2024 and 2023): https://finance.northeastern.edu/wp-content/uploads/2024-Financial-Statements.pdf</t>
        </is>
      </c>
    </row>
    <row r="51">
      <c r="A51" s="9" t="inlineStr">
        <is>
          <t>Northeastern</t>
        </is>
      </c>
      <c r="B51" s="9" t="inlineStr">
        <is>
          <t>Depreciation</t>
        </is>
      </c>
      <c r="C51" s="19" t="n">
        <v>151250000</v>
      </c>
      <c r="D51" s="4" t="inlineStr">
        <is>
          <t>'Depreciation  151,250  -  151,250  134,195'. FY25 report PDF p6; Note 6 text: 'Depreciation expense amounted to $151,250,000 and $134,195,000 for the years ended June 30, 2025 and 2024' (PDF p20).</t>
        </is>
      </c>
      <c r="E51" s="4" t="inlineStr">
        <is>
          <t>FY25 audited consolidated financial statements (June 30, 2025 and 2024; PwC opinion dated Oct 29, 2025): https://finance.northeastern.edu/wp-content/uploads/Northeastern-University-Financial-Statements-FY25-Final.pdf; FY24 audited consolidated financial statements (June 30, 2024 and 2023): https://finance.northeastern.edu/wp-content/uploads/2024-Financial-Statements.pdf</t>
        </is>
      </c>
    </row>
    <row r="52">
      <c r="A52" s="9" t="inlineStr">
        <is>
          <t>Northeastern</t>
        </is>
      </c>
      <c r="B52" s="9" t="inlineStr">
        <is>
          <t>Interest</t>
        </is>
      </c>
      <c r="C52" s="19" t="n">
        <v>49862000</v>
      </c>
      <c r="D52" s="4" t="inlineStr">
        <is>
          <t>'Interest  49,862  -  49,862  35,970' (operating expenses section). FY25 report PDF p6. Note 8 (PDF p23) separately says 'Interest expense on bonds and notes payable totaled $60,042,000 and $40,936,000'.</t>
        </is>
      </c>
      <c r="E52" s="4" t="inlineStr">
        <is>
          <t>FY25 audited consolidated financial statements (June 30, 2025 and 2024; PwC opinion dated Oct 29, 2025): https://finance.northeastern.edu/wp-content/uploads/Northeastern-University-Financial-Statements-FY25-Final.pdf; FY24 audited consolidated financial statements (June 30, 2024 and 2023): https://finance.northeastern.edu/wp-content/uploads/2024-Financial-Statements.pdf</t>
        </is>
      </c>
    </row>
    <row r="53">
      <c r="A53" s="9" t="inlineStr">
        <is>
          <t>Boston University</t>
        </is>
      </c>
      <c r="B53" s="9" t="inlineStr">
        <is>
          <t>Salaries and wages</t>
        </is>
      </c>
      <c r="C53" s="19" t="n">
        <v>1238476000</v>
      </c>
      <c r="D53" s="4" t="inlineStr">
        <is>
          <t>'Salaries and wages  1,238,476' ($000), OPERATING EXPENSES, Consolidated Statements of Activities 2025 total column. FY25 report PDF p18 (printed p16); also Note 12 PDF p45 (printed p43).</t>
        </is>
      </c>
      <c r="E53" s="4" t="inlineStr">
        <is>
          <t>FY25 Consolidated Financial Report, June 30, 2025 and 2024 (KPMG opinion; issued Sept 25, 2025): https://www.bu.edu/cfo/files/2025/09/FY25-Boston-University-Consolidated-Financial-Report_Final_9.25.25.pdf; FY24 Consolidated Financial Statements, June 30, 2024 and 2023: https://www.bu.edu/cfo/files/2024/09/FY24-Boston-University-Financial-Statements-9.26.24-FINAL.pdf</t>
        </is>
      </c>
    </row>
    <row r="54">
      <c r="A54" s="9" t="inlineStr">
        <is>
          <t>Boston University</t>
        </is>
      </c>
      <c r="B54" s="9" t="inlineStr">
        <is>
          <t>Total operating expenses</t>
        </is>
      </c>
      <c r="C54" s="19" t="n">
        <v>2719848000</v>
      </c>
      <c r="D54" s="4" t="inlineStr">
        <is>
          <t>'Total operating expenses  2,719,848' ($000). FY25 report PDF p18 (printed p16).</t>
        </is>
      </c>
      <c r="E54" s="4" t="inlineStr">
        <is>
          <t>FY25 Consolidated Financial Report, June 30, 2025 and 2024 (KPMG opinion; issued Sept 25, 2025): https://www.bu.edu/cfo/files/2025/09/FY25-Boston-University-Consolidated-Financial-Report_Final_9.25.25.pdf; FY24 Consolidated Financial Statements, June 30, 2024 and 2023: https://www.bu.edu/cfo/files/2024/09/FY24-Boston-University-Financial-Statements-9.26.24-FINAL.pdf</t>
        </is>
      </c>
    </row>
    <row r="55">
      <c r="A55" s="9" t="inlineStr">
        <is>
          <t>Boston University</t>
        </is>
      </c>
      <c r="B55" s="9" t="inlineStr">
        <is>
          <t>Depreciation</t>
        </is>
      </c>
      <c r="C55" s="19" t="n">
        <v>160697000</v>
      </c>
      <c r="D55" s="4" t="inlineStr">
        <is>
          <t>'Depreciation  160,697'. FY25 report PDF p18; Note 1: 'Depreciation expense for the years ended June 30, 2025 and 2024 was $160,697,000 and $156,577,000' (PDF p24).</t>
        </is>
      </c>
      <c r="E55" s="4" t="inlineStr">
        <is>
          <t>FY25 Consolidated Financial Report, June 30, 2025 and 2024 (KPMG opinion; issued Sept 25, 2025): https://www.bu.edu/cfo/files/2025/09/FY25-Boston-University-Consolidated-Financial-Report_Final_9.25.25.pdf; FY24 Consolidated Financial Statements, June 30, 2024 and 2023: https://www.bu.edu/cfo/files/2024/09/FY24-Boston-University-Financial-Statements-9.26.24-FINAL.pdf</t>
        </is>
      </c>
    </row>
    <row r="56">
      <c r="A56" s="9" t="inlineStr">
        <is>
          <t>Boston University</t>
        </is>
      </c>
      <c r="B56" s="9" t="inlineStr">
        <is>
          <t>Interest</t>
        </is>
      </c>
      <c r="C56" s="19" t="n">
        <v>81689000</v>
      </c>
      <c r="D56" s="4" t="inlineStr">
        <is>
          <t>'Interest  81,689' in OPERATING EXPENSES. FY25 report PDF p18.</t>
        </is>
      </c>
      <c r="E56" s="4" t="inlineStr">
        <is>
          <t>FY25 Consolidated Financial Report, June 30, 2025 and 2024 (KPMG opinion; issued Sept 25, 2025): https://www.bu.edu/cfo/files/2025/09/FY25-Boston-University-Consolidated-Financial-Report_Final_9.25.25.pdf; FY24 Consolidated Financial Statements, June 30, 2024 and 2023: https://www.bu.edu/cfo/files/2024/09/FY24-Boston-University-Financial-Statements-9.26.24-FINAL.pdf</t>
        </is>
      </c>
    </row>
    <row r="57">
      <c r="A57" s="9" t="inlineStr">
        <is>
          <t>MIT</t>
        </is>
      </c>
      <c r="B57" s="9" t="inlineStr">
        <is>
          <t>Salaries and wages</t>
        </is>
      </c>
      <c r="C57" s="19" t="n">
        <v>2090862000</v>
      </c>
      <c r="D57" s="4" t="inlineStr">
        <is>
          <t>Salaries and wages  $ 2,090,862 (total 2025 column; 2024 comparative 1,993,165) | FY25 Report of the Treasurer, Consolidated Statement of Activities, printed p.12 (PDF p.16)</t>
        </is>
      </c>
      <c r="E57" s="4" t="inlineStr">
        <is>
          <t>FY25 audited financial statements (Report of the Treasurer 2025; PwC audit): https://vpf.mit.edu/sites/default/files/downloads/TreasurersReport/MITTreasurersReport2025.pdf; FY24 audited financial statements (Report of the Treasurer 2024): https://vpf.mit.edu/sites/default/files/downloads/TreasurersReport/MITTreasurersReport2024.pdf</t>
        </is>
      </c>
    </row>
    <row r="58">
      <c r="A58" s="9" t="inlineStr">
        <is>
          <t>MIT</t>
        </is>
      </c>
      <c r="B58" s="9" t="inlineStr">
        <is>
          <t>Total operating expenses</t>
        </is>
      </c>
      <c r="C58" s="19" t="n">
        <v>5117184000</v>
      </c>
      <c r="D58" s="4" t="inlineStr">
        <is>
          <t>Total expenses before depreciation and interest 4,657,120; Depreciation 289,575; Interest 170,489 (in thousands) =&gt; operating expense total 5,117,184; check: Total revenues 5,372,823 less Results of operations 255,639 = 5,117,184 | FY25 Report of the Treasurer, Consolidated Statement of Activities, printed p.12 (PDF p.16)</t>
        </is>
      </c>
      <c r="E58" s="4" t="inlineStr">
        <is>
          <t>FY25 audited financial statements (Report of the Treasurer 2025; PwC audit): https://vpf.mit.edu/sites/default/files/downloads/TreasurersReport/MITTreasurersReport2025.pdf; FY24 audited financial statements (Report of the Treasurer 2024): https://vpf.mit.edu/sites/default/files/downloads/TreasurersReport/MITTreasurersReport2024.pdf</t>
        </is>
      </c>
    </row>
    <row r="59">
      <c r="A59" s="9" t="inlineStr">
        <is>
          <t>MIT</t>
        </is>
      </c>
      <c r="B59" s="9" t="inlineStr">
        <is>
          <t>Depreciation</t>
        </is>
      </c>
      <c r="C59" s="19" t="n">
        <v>289575000</v>
      </c>
      <c r="D59" s="4" t="inlineStr">
        <is>
          <t>Depreciation 289,575 (2024: 266,510) | FY25 Report of the Treasurer, Consolidated Statement of Activities, printed p.12 (PDF p.16) | also Note A: 'Depreciation expense was $289.6 million in fiscal 2025 and $266.5 million in fiscal 2024' (printed p.15)</t>
        </is>
      </c>
      <c r="E59" s="4" t="inlineStr">
        <is>
          <t>FY25 audited financial statements (Report of the Treasurer 2025; PwC audit): https://vpf.mit.edu/sites/default/files/downloads/TreasurersReport/MITTreasurersReport2025.pdf; FY24 audited financial statements (Report of the Treasurer 2024): https://vpf.mit.edu/sites/default/files/downloads/TreasurersReport/MITTreasurersReport2024.pdf</t>
        </is>
      </c>
    </row>
    <row r="60">
      <c r="A60" s="9" t="inlineStr">
        <is>
          <t>MIT</t>
        </is>
      </c>
      <c r="B60" s="9" t="inlineStr">
        <is>
          <t>Interest</t>
        </is>
      </c>
      <c r="C60" s="19" t="n">
        <v>170489000</v>
      </c>
      <c r="D60" s="4" t="inlineStr">
        <is>
          <t>Interest 170,489 (2024: 163,079) | FY25 Report of the Treasurer, Consolidated Statement of Activities, printed p.12 (PDF p.16)</t>
        </is>
      </c>
      <c r="E60" s="4" t="inlineStr">
        <is>
          <t>FY25 audited financial statements (Report of the Treasurer 2025; PwC audit): https://vpf.mit.edu/sites/default/files/downloads/TreasurersReport/MITTreasurersReport2025.pdf; FY24 audited financial statements (Report of the Treasurer 2024): https://vpf.mit.edu/sites/default/files/downloads/TreasurersReport/MITTreasurersReport2024.pdf</t>
        </is>
      </c>
    </row>
    <row r="62">
      <c r="A62" s="17" t="inlineStr">
        <is>
          <t>Form 990 Part IX, Northeastern / Northwestern / Penn / Stanford: ProPublica Nonprofit Explorer 'Full Filing' renders of the IRS e-files; IRS object IDs are in inputs/fin/Northeastern_University_990.json and 990_northwestern_penn_stanford.json.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5" customWidth="1" min="1" max="1"/>
    <col width="7" customWidth="1" min="2" max="2"/>
    <col width="66" customWidth="1" min="3" max="3"/>
    <col width="120" customWidth="1" min="4" max="4"/>
    <col width="16" customWidth="1" min="5" max="5"/>
  </cols>
  <sheetData>
    <row r="1">
      <c r="A1" s="1" t="inlineStr">
        <is>
          <t>Checks run, disconnects found, and how each was handled</t>
        </is>
      </c>
    </row>
    <row r="3">
      <c r="A3" s="5" t="inlineStr">
        <is>
          <t>#</t>
        </is>
      </c>
      <c r="B3" s="5" t="inlineStr">
        <is>
          <t>Slide</t>
        </is>
      </c>
      <c r="C3" s="5" t="inlineStr">
        <is>
          <t>Check / observation</t>
        </is>
      </c>
      <c r="D3" s="5" t="inlineStr">
        <is>
          <t>Result</t>
        </is>
      </c>
      <c r="E3" s="5" t="inlineStr">
        <is>
          <t>Status</t>
        </is>
      </c>
    </row>
    <row r="4">
      <c r="A4" s="4" t="n">
        <v>1</v>
      </c>
      <c r="B4" s="4" t="inlineStr">
        <is>
          <t>1</t>
        </is>
      </c>
      <c r="C4" s="4" t="inlineStr">
        <is>
          <t>Same filters reproduce the analysis set</t>
        </is>
      </c>
      <c r="D4" s="4" t="inlineStr">
        <is>
          <t>6,273 rows in the June 2026 file -&gt; 1,527 institutions (584 public, 943 private) after CONTROL, CCBASIC 15-23, CCUGPROF 5-15, net price and 10-year earnings present. The original release had 1,557.</t>
        </is>
      </c>
      <c r="E4" s="27" t="inlineStr">
        <is>
          <t>Pass</t>
        </is>
      </c>
    </row>
    <row r="5">
      <c r="A5" s="4" t="n">
        <v>2</v>
      </c>
      <c r="B5" s="4" t="inlineStr">
        <is>
          <t>1</t>
        </is>
      </c>
      <c r="C5" s="4" t="inlineStr">
        <is>
          <t>Ranks (1 + institutions with higher earnings)</t>
        </is>
      </c>
      <c r="D5" s="4" t="inlineStr">
        <is>
          <t>Northeastern 33rd of 1,527 (29th of 943 private; ties with its 'Northeastern University Oakland' row at $92,538). Vanderbilt 38th, Boston University 77th, MIT 1st. Earlier release: 38th / 53rd / 75th / 2nd.</t>
        </is>
      </c>
      <c r="E5" s="27" t="inlineStr">
        <is>
          <t>Info</t>
        </is>
      </c>
    </row>
    <row r="6">
      <c r="A6" s="4" t="n">
        <v>3</v>
      </c>
      <c r="B6" s="4" t="inlineStr">
        <is>
          <t>1</t>
        </is>
      </c>
      <c r="C6" s="4" t="inlineStr">
        <is>
          <t>Does the earnings data run 'through 2024'?</t>
        </is>
      </c>
      <c r="D6" s="4" t="inlineStr">
        <is>
          <t>No. Net price is now AY2023-24 (IPEDS 2024-25 collection). 10-year earnings are the pooled AY2009-10 / 2010-11 entry cohorts measured CY2020-21 in 2022 dollars; the last 10-year refresh was June 13, 2024 and no later cohort exists. Scorecard was updated June 10, 2026 for IPEDS and FSA items.</t>
        </is>
      </c>
      <c r="E6" s="27" t="inlineStr">
        <is>
          <t>Info</t>
        </is>
      </c>
    </row>
    <row r="7">
      <c r="A7" s="4" t="n">
        <v>4</v>
      </c>
      <c r="B7" s="4" t="inlineStr">
        <is>
          <t>1</t>
        </is>
      </c>
      <c r="C7" s="4" t="inlineStr">
        <is>
          <t>Private trendline</t>
        </is>
      </c>
      <c r="D7" s="4" t="inlineStr">
        <is>
          <t>OLS on private institutions: slope 0.924, intercept $34,026, r 0.47, R-squared 0.22. Weak fit: 'better deal / worse deal' is directional.</t>
        </is>
      </c>
      <c r="E7" s="27" t="inlineStr">
        <is>
          <t>Pass / caveat</t>
        </is>
      </c>
    </row>
    <row r="8">
      <c r="A8" s="4" t="n">
        <v>5</v>
      </c>
      <c r="B8" s="4" t="inlineStr">
        <is>
          <t>1</t>
        </is>
      </c>
      <c r="C8" s="4" t="inlineStr">
        <is>
          <t>Title and axis said '10 years after graduation'</t>
        </is>
      </c>
      <c r="D8" s="4" t="inlineStr">
        <is>
          <t>The field is measured 10 years after entry (enrollment). Slide says 'after entry'.</t>
        </is>
      </c>
      <c r="E8" s="27" t="inlineStr">
        <is>
          <t>Fixed</t>
        </is>
      </c>
    </row>
    <row r="9">
      <c r="A9" s="4" t="n">
        <v>6</v>
      </c>
      <c r="B9" s="4" t="inlineStr">
        <is>
          <t>1</t>
        </is>
      </c>
      <c r="C9" s="4" t="inlineStr">
        <is>
          <t>Data quirks</t>
        </is>
      </c>
      <c r="D9" s="4" t="inlineStr">
        <is>
          <t>One institution reports a negative net price (Colegio Universitario de San Juan, -$778): counted in statistics, falls left of the axis. Three institutions exceed $56K net price (axis now to $60K). Cal Maritime is now Cal Poly Maritime Academy; University of the Sciences (merged into Saint Joseph's University in 2022) drops out. MIT net price is now $20,111 (the old file's $5,084 looked like an outlier).</t>
        </is>
      </c>
      <c r="E9" s="27" t="inlineStr">
        <is>
          <t>Handled</t>
        </is>
      </c>
    </row>
    <row r="10">
      <c r="A10" s="4" t="n">
        <v>7</v>
      </c>
      <c r="B10" s="4" t="inlineStr">
        <is>
          <t>2</t>
        </is>
      </c>
      <c r="C10" s="4" t="inlineStr">
        <is>
          <t>Item wording</t>
        </is>
      </c>
      <c r="D10" s="4" t="inlineStr">
        <is>
          <t>The 2015-2024 reports all ask 'aware of and understand the financial challenges confronting my institution'. 'Realistic about' was only the 2013-2014 wording. Slide statement corrected.</t>
        </is>
      </c>
      <c r="E10" s="27" t="inlineStr">
        <is>
          <t>Fixed</t>
        </is>
      </c>
    </row>
    <row r="11">
      <c r="A11" s="4" t="n">
        <v>8</v>
      </c>
      <c r="B11" s="4" t="inlineStr">
        <is>
          <t>2</t>
        </is>
      </c>
      <c r="C11" s="4" t="inlineStr">
        <is>
          <t>Original values that did not match the reports (all institutions)</t>
        </is>
      </c>
      <c r="D11" s="4" t="inlineStr">
        <is>
          <t>2015 faculty 33 -&gt; 32; 2020 31/87/93 -&gt; 34/84/90 (the original used a private-nonprofit sub-column); 2022 28/91/91 -&gt; 53/90/91 (the 2022 chart on p.28 has misaligned rows; the detail tables give 53/90/91); 2024 44/91/95 -&gt; 39/79/88 (the original used the private-nonprofit column). 2023 and the other rows match.</t>
        </is>
      </c>
      <c r="E11" s="27" t="inlineStr">
        <is>
          <t>Fixed</t>
        </is>
      </c>
    </row>
    <row r="12">
      <c r="A12" s="4" t="n">
        <v>9</v>
      </c>
      <c r="B12" s="4" t="inlineStr">
        <is>
          <t>2</t>
        </is>
      </c>
      <c r="C12" s="4" t="inlineStr">
        <is>
          <t>Faculty item in 2016 and 2017</t>
        </is>
      </c>
      <c r="D12" s="4" t="inlineStr">
        <is>
          <t>Different item: 'Faculty members understand the financial challenges my institution faces when they participate in college-wide budget discussions.' Values 27 and 32 are correct for that item; marked with an asterisk.</t>
        </is>
      </c>
      <c r="E12" s="27" t="inlineStr">
        <is>
          <t>Caveat</t>
        </is>
      </c>
    </row>
    <row r="13">
      <c r="A13" s="4" t="n">
        <v>10</v>
      </c>
      <c r="B13" s="4" t="inlineStr">
        <is>
          <t>2</t>
        </is>
      </c>
      <c r="C13" s="4" t="inlineStr">
        <is>
          <t>2025 and 2026</t>
        </is>
      </c>
      <c r="D13" s="4" t="inlineStr">
        <is>
          <t>The three-group item was not asked. Trustees-only statement: 74% (2025, n=169, +/-7%) and 79% (2026, n=213, +/-6%). Plotted as separate open markers. No faculty or senior-administrator values exist for these years.</t>
        </is>
      </c>
      <c r="E13" s="27" t="inlineStr">
        <is>
          <t>Info</t>
        </is>
      </c>
    </row>
    <row r="14">
      <c r="A14" s="4" t="n">
        <v>11</v>
      </c>
      <c r="B14" s="4" t="inlineStr">
        <is>
          <t>2</t>
        </is>
      </c>
      <c r="C14" s="4" t="inlineStr">
        <is>
          <t>Comparability of the series</t>
        </is>
      </c>
      <c r="D14" s="4" t="inlineStr">
        <is>
          <t>Fielded by Gallup in the earlier editions and by Hanover Research from 2021 (n=133 in 2021; 273-416 earlier; 169-238 for 2022-2026). No margin of error is stated for 2015-2022 (6-7% for 2023-2026). Year-to-year moves of a few points are within sampling error.</t>
        </is>
      </c>
      <c r="E14" s="27" t="inlineStr">
        <is>
          <t>Caveat</t>
        </is>
      </c>
    </row>
    <row r="15">
      <c r="A15" s="4" t="n">
        <v>12</v>
      </c>
      <c r="B15" s="4" t="inlineStr">
        <is>
          <t>2</t>
        </is>
      </c>
      <c r="C15" s="4" t="inlineStr">
        <is>
          <t>Who is asked</t>
        </is>
      </c>
      <c r="D15" s="4" t="inlineStr">
        <is>
          <t>Business officers rating other groups (Sr. Administrators includes their own peers); not faculty's own view.</t>
        </is>
      </c>
      <c r="E15" s="27" t="inlineStr">
        <is>
          <t>Fixed (labeled)</t>
        </is>
      </c>
    </row>
    <row r="16">
      <c r="A16" s="4" t="n">
        <v>13</v>
      </c>
      <c r="B16" s="4" t="inlineStr">
        <is>
          <t>3</t>
        </is>
      </c>
      <c r="C16" s="4" t="inlineStr">
        <is>
          <t>Definition of 'core operating expenses'</t>
        </is>
      </c>
      <c r="D16" s="4" t="inlineStr">
        <is>
          <t>The original values equal audited total operating expenses to the dollar for every school checked (Rice, Vanderbilt, Northwestern, Princeton, Yale, Chicago, Duke, Emory, Penn, Stanford), and equal the IPEDS FY23 'total expenses' field for Rice, Vanderbilt, Northwestern, Princeton, Harvard, Duke and Penn. Depreciation, amortization and interest were never removed although the axis says they were. FY25 now follows the axis; FY23 restated is 5-15% lower (S3_FY23_Recalc).</t>
        </is>
      </c>
      <c r="E16" s="28" t="inlineStr">
        <is>
          <t>Finding / fixed</t>
        </is>
      </c>
    </row>
    <row r="17">
      <c r="A17" s="4" t="n">
        <v>14</v>
      </c>
      <c r="B17" s="4" t="inlineStr">
        <is>
          <t>3</t>
        </is>
      </c>
      <c r="C17" s="4" t="inlineStr">
        <is>
          <t>Origin of the original S&amp;W for Penn, Stanford, Northwestern</t>
        </is>
      </c>
      <c r="D17" s="4" t="inlineStr">
        <is>
          <t>Exactly 72.800% of each school's audited combined salaries and benefits: an undisclosed assumption. Schools that report both lines run 74.8%-81.4%, so 72.8% understates S&amp;W by 3-10%. Northwestern is now actual (Form 990 ties to the audited line); Penn and Stanford are flagged estimates.</t>
        </is>
      </c>
      <c r="E17" s="28" t="inlineStr">
        <is>
          <t>Finding / fixed</t>
        </is>
      </c>
    </row>
    <row r="18">
      <c r="A18" s="4" t="n">
        <v>15</v>
      </c>
      <c r="B18" s="4" t="inlineStr">
        <is>
          <t>3</t>
        </is>
      </c>
      <c r="C18" s="4" t="inlineStr">
        <is>
          <t>S&amp;W not separately reported in audited statements</t>
        </is>
      </c>
      <c r="D18" s="4" t="inlineStr">
        <is>
          <t>Northeastern, Northwestern, Penn, Stanford, Vanderbilt combine salaries and benefits. Northeastern and Northwestern use Form 990 S&amp;W; Vanderbilt uses the MD&amp;A expense chart. Penn and Stanford (grey markers) use S&amp;W = combined / 1.35, a 35% fringe benefit rate assumed per Northeastern's direction (74.1% S&amp;W share).</t>
        </is>
      </c>
      <c r="E18" s="27" t="inlineStr">
        <is>
          <t>Decided / caveat</t>
        </is>
      </c>
    </row>
    <row r="19">
      <c r="A19" s="4" t="n">
        <v>16</v>
      </c>
      <c r="B19" s="4" t="inlineStr">
        <is>
          <t>3</t>
        </is>
      </c>
      <c r="C19" s="4" t="inlineStr">
        <is>
          <t>35% fringe rate vs observed rates</t>
        </is>
      </c>
      <c r="D19" s="4" t="inlineStr">
        <is>
          <t>Schools that report both lines have fringe rates (benefits / S&amp;W) of 22.8% to 33.8% (Chicago 22.8%, Duke 23.6%, Emory 23.9%, Rice 23.9%, Princeton 30.3%, BU 31.5%, Yale 31.5%, MIT 33.8%). 35% is above all of them, so the Penn and Stanford estimates lean low: using each school's own Form 990 S&amp;W share instead would raise S&amp;W per student by about 4% (Penn) and 8% (Stanford) (S3_Sensitivity C). Neither changes the ranking of Penn or Stanford or any conclusion about Northeastern.</t>
        </is>
      </c>
      <c r="E19" s="27" t="inlineStr">
        <is>
          <t>Caveat</t>
        </is>
      </c>
    </row>
    <row r="20">
      <c r="A20" s="4" t="n">
        <v>17</v>
      </c>
      <c r="B20" s="4" t="inlineStr">
        <is>
          <t>3</t>
        </is>
      </c>
      <c r="C20" s="4" t="inlineStr">
        <is>
          <t>Student counts</t>
        </is>
      </c>
      <c r="D20" s="4" t="inlineStr">
        <is>
          <t>One instrument for all: Common Data Set 2024-25 B1 total all students (fall 2024). The original mixed fall 2021 (Rice), fall 2022 (Vanderbilt), degree-seeking counts (Harvard, Penn) and round estimates (Emory, Northwestern). CDS differs materially from IPEDS for Northeastern (+24%), Chicago (-14%), Penn (-17%) and Harvard (-30%).</t>
        </is>
      </c>
      <c r="E20" s="27" t="inlineStr">
        <is>
          <t>Handled / caveat</t>
        </is>
      </c>
    </row>
    <row r="21">
      <c r="A21" s="4" t="n">
        <v>18</v>
      </c>
      <c r="B21" s="4" t="inlineStr">
        <is>
          <t>3</t>
        </is>
      </c>
      <c r="C21" s="4" t="inlineStr">
        <is>
          <t>Northeastern student count is the key sensitivity</t>
        </is>
      </c>
      <c r="D21" s="4" t="inlineStr">
        <is>
          <t>CDS 39,774 (used, per Northeastern's direction) -&gt; S&amp;W per student $26.3K; IPEDS-style 32,553 -&gt; $32.1K; Facts and Figures 48,812 -&gt; $21.4K. Northeastern is lowest in the peer set on all three (S3_Sensitivity A, B).</t>
        </is>
      </c>
      <c r="E21" s="27" t="inlineStr">
        <is>
          <t>Decided</t>
        </is>
      </c>
    </row>
    <row r="22">
      <c r="A22" s="4" t="n">
        <v>19</v>
      </c>
      <c r="B22" s="4" t="inlineStr">
        <is>
          <t>3</t>
        </is>
      </c>
      <c r="C22" s="4" t="inlineStr">
        <is>
          <t>Headcount vs FTE</t>
        </is>
      </c>
      <c r="D22" s="4" t="inlineStr">
        <is>
          <t>Northeastern and BU headcounts include large graduate, online and co-op populations (BU reports 29.6K FTE against 37.7K headcount), so S&amp;W per headcount student understates S&amp;W per FTE student for both.</t>
        </is>
      </c>
      <c r="E22" s="27" t="inlineStr">
        <is>
          <t>Caveat</t>
        </is>
      </c>
    </row>
    <row r="23">
      <c r="A23" s="4" t="n">
        <v>20</v>
      </c>
      <c r="B23" s="4" t="inlineStr">
        <is>
          <t>3</t>
        </is>
      </c>
      <c r="C23" s="4" t="inlineStr">
        <is>
          <t>Northeastern S&amp;W scope</t>
        </is>
      </c>
      <c r="D23" s="4" t="inlineStr">
        <is>
          <t>Form 990 (university) lines 5-10 are 96.8% of the audited combined line; S&amp;W may be understated by about 3% against the consolidated core expenses.</t>
        </is>
      </c>
      <c r="E23" s="27" t="inlineStr">
        <is>
          <t>Caveat</t>
        </is>
      </c>
    </row>
    <row r="24">
      <c r="A24" s="4" t="n">
        <v>21</v>
      </c>
      <c r="B24" s="4" t="inlineStr">
        <is>
          <t>3</t>
        </is>
      </c>
      <c r="C24" s="4" t="inlineStr">
        <is>
          <t>FY23 to FY24 comparability</t>
        </is>
      </c>
      <c r="D24" s="4" t="inlineStr">
        <is>
          <t>Duke's FY24 includes the July 1, 2023 physician-practice acquisition (S&amp;W +29.5%); FY25 is unaffected. Rice's FY25 scholarship presentation changed (total and core not strictly comparable with FY24). Emory FY25 includes three months of Houston Healthcare. Northeastern FY25 includes two weeks of Marymount Manhattan College.</t>
        </is>
      </c>
      <c r="E24" s="27" t="inlineStr">
        <is>
          <t>Info</t>
        </is>
      </c>
    </row>
    <row r="25">
      <c r="A25" s="4" t="n">
        <v>22</v>
      </c>
      <c r="B25" s="4" t="inlineStr">
        <is>
          <t>3</t>
        </is>
      </c>
      <c r="C25" s="4" t="inlineStr">
        <is>
          <t>Entities inside the numbers</t>
        </is>
      </c>
      <c r="D25" s="4" t="inlineStr">
        <is>
          <t>Consolidated: hospitals at Chicago, Duke, Emory, Penn, Stanford; Lincoln Laboratory (MIT), Plasma Physics Laboratory (Princeton), SLAC (Stanford). Not consolidated: Northwestern Medicine, VUMC, Yale New Haven Hospital, Boston Medical Center, Argonne, Fermilab. Footnoted on the slide.</t>
        </is>
      </c>
      <c r="E25" s="27" t="inlineStr">
        <is>
          <t>Handled</t>
        </is>
      </c>
    </row>
    <row r="26">
      <c r="A26" s="4" t="n">
        <v>23</v>
      </c>
      <c r="B26" s="4" t="inlineStr">
        <is>
          <t>3</t>
        </is>
      </c>
      <c r="C26" s="4" t="inlineStr">
        <is>
          <t>Arithmetic</t>
        </is>
      </c>
      <c r="D26" s="4" t="inlineStr">
        <is>
          <t>For every school, core = total - depreciation - amortization - interest (formula), S&amp;W per student = x * y (column Q = 0), and the natural-classification lines sum to total operating expenses in every year (as reported by the extraction). Key rows for Northeastern, BU and MIT re-checked against the PDFs.</t>
        </is>
      </c>
      <c r="E26" s="27" t="inlineStr">
        <is>
          <t>Pass</t>
        </is>
      </c>
    </row>
    <row r="27">
      <c r="A27" s="4" t="n">
        <v>24</v>
      </c>
      <c r="B27" s="4" t="inlineStr">
        <is>
          <t>3</t>
        </is>
      </c>
      <c r="C27" s="4" t="inlineStr">
        <is>
          <t>Harvard</t>
        </is>
      </c>
      <c r="D27" s="4" t="inlineStr">
        <is>
          <t>The FY25 Financial Report could not be reached (finance.harvard.edu denies automated access). Harvard is not on the FY25 chart; CDS fall 2024 enrollment (21,189) is recorded.</t>
        </is>
      </c>
      <c r="E27" s="28" t="inlineStr">
        <is>
          <t>Open</t>
        </is>
      </c>
    </row>
    <row r="28">
      <c r="A28" s="4" t="n">
        <v>25</v>
      </c>
      <c r="B28" s="4" t="inlineStr">
        <is>
          <t>3</t>
        </is>
      </c>
      <c r="C28" s="4" t="inlineStr">
        <is>
          <t>Original chart construction</t>
        </is>
      </c>
      <c r="D28" s="4" t="inlineStr">
        <is>
          <t>The original plotted only the eight iso-lines; logos were hand-placed pictures, so positions did not come from data, and Stanford's x-value exceeded the axis maximum. Rebuilt with real data points.</t>
        </is>
      </c>
      <c r="E28" s="27" t="inlineStr">
        <is>
          <t>Fixed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7" customWidth="1" min="1" max="1"/>
    <col width="70" customWidth="1" min="2" max="2"/>
    <col width="80" customWidth="1" min="3" max="3"/>
    <col width="70" customWidth="1" min="4" max="4"/>
  </cols>
  <sheetData>
    <row r="1">
      <c r="A1" s="1" t="inlineStr">
        <is>
          <t>Still open</t>
        </is>
      </c>
    </row>
    <row r="3">
      <c r="A3" s="5" t="inlineStr">
        <is>
          <t>Slide</t>
        </is>
      </c>
      <c r="B3" s="5" t="inlineStr">
        <is>
          <t>Item</t>
        </is>
      </c>
      <c r="C3" s="5" t="inlineStr">
        <is>
          <t>Why</t>
        </is>
      </c>
      <c r="D3" s="5" t="inlineStr">
        <is>
          <t>Action</t>
        </is>
      </c>
    </row>
    <row r="4">
      <c r="A4" s="4" t="inlineStr">
        <is>
          <t>3</t>
        </is>
      </c>
      <c r="B4" s="4" t="inlineStr">
        <is>
          <t>Harvard FY25 Financial Report (and FY23 for calibration)</t>
        </is>
      </c>
      <c r="C4" s="4" t="inlineStr">
        <is>
          <t>finance.harvard.edu denies automated access; the PDFs are public.</t>
        </is>
      </c>
      <c r="D4" s="4" t="inlineStr">
        <is>
          <t>Download the FY25 Harvard Financial Report from finance.harvard.edu (Financial Reports) in a browser and upload; I will add Harvard to the chart.</t>
        </is>
      </c>
    </row>
    <row r="5">
      <c r="A5" s="4" t="inlineStr">
        <is>
          <t>3</t>
        </is>
      </c>
      <c r="B5" s="4" t="inlineStr">
        <is>
          <t>Penn and Stanford salaries and wages (optional)</t>
        </is>
      </c>
      <c r="C5" s="4" t="inlineStr">
        <is>
          <t>Estimated at combined salaries+benefits / 1.35 (35% fringe rate, per Northeastern). Audited statements combine the two lines; Form 990s cover a narrower scope.</t>
        </is>
      </c>
      <c r="D5" s="4" t="inlineStr">
        <is>
          <t>If either finance office can supply consolidated S&amp;W, replace the grey estimate.</t>
        </is>
      </c>
    </row>
    <row r="6">
      <c r="A6" s="4" t="inlineStr">
        <is>
          <t>3</t>
        </is>
      </c>
      <c r="B6" s="4" t="inlineStr">
        <is>
          <t>Princeton Common Data Set 2024-25 (optional)</t>
        </is>
      </c>
      <c r="C6" s="4" t="inlineStr">
        <is>
          <t>ir.princeton.edu is behind a bot challenge; the Treasurer's report count (9,050) is used.</t>
        </is>
      </c>
      <c r="D6" s="4" t="inlineStr">
        <is>
          <t>Upload the CDS PDF if you want the same instrument as the other schools.</t>
        </is>
      </c>
    </row>
    <row r="7">
      <c r="A7" s="4" t="inlineStr">
        <is>
          <t>3</t>
        </is>
      </c>
      <c r="B7" s="4" t="inlineStr">
        <is>
          <t>IPEDS fall 2024 enrollment and FY24 finance files</t>
        </is>
      </c>
      <c r="C7" s="4" t="inlineStr">
        <is>
          <t>Not yet posted on the IPEDS data center.</t>
        </is>
      </c>
      <c r="D7" s="4" t="inlineStr">
        <is>
          <t>Re-check when posted.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2026-09-29T22:41:14Z</dcterms:created>
  <dcterms:modified xmlns:dcterms="http://purl.org/dc/terms/" xmlns:xsi="http://www.w3.org/2001/XMLSchema-instance" xsi:type="dcterms:W3CDTF">2026-09-29T22:41:15Z</dcterms:modified>
</cp:coreProperties>
</file>