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(Harvard FY25 report; Northeastern headcount confirmation; Penn / Stanford salaries and wages).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Students = fall 2024 total enrollment.</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8" t="n">
        <v>515800000</v>
      </c>
      <c r="D5" s="9" t="inlineStr">
        <is>
          <t>audited line</t>
        </is>
      </c>
      <c r="E5" s="18">
        <f>C5+123330000</f>
        <v/>
      </c>
      <c r="H5" s="18" t="n">
        <v>1087937000</v>
      </c>
      <c r="I5" s="18" t="n">
        <v>82255000</v>
      </c>
      <c r="K5" s="18" t="n">
        <v>45396000</v>
      </c>
      <c r="L5" s="18">
        <f>H5-I5-J5-K5</f>
        <v/>
      </c>
      <c r="M5" s="18" t="n">
        <v>8961</v>
      </c>
      <c r="N5" s="11">
        <f>C5/M5</f>
        <v/>
      </c>
      <c r="O5" s="11">
        <f>L5/M5</f>
        <v/>
      </c>
      <c r="P5" s="19">
        <f>C5/L5</f>
        <v/>
      </c>
      <c r="Q5" s="20">
        <f>O5*P5-N5</f>
        <v/>
      </c>
      <c r="R5" s="9" t="inlineStr">
        <is>
          <t>no</t>
        </is>
      </c>
      <c r="S5" s="4" t="inlineStr">
        <is>
          <t>Depreciation and amortization are one line; interest and bond costs separate.</t>
        </is>
      </c>
    </row>
    <row r="6">
      <c r="A6" s="9" t="inlineStr">
        <is>
          <t>Vanderbilt</t>
        </is>
      </c>
      <c r="B6" s="9" t="inlineStr">
        <is>
          <t>June 30, 2025</t>
        </is>
      </c>
      <c r="C6" s="18" t="n">
        <v>804000000</v>
      </c>
      <c r="D6" s="9" t="inlineStr">
        <is>
          <t>MD&amp;A expense chart</t>
        </is>
      </c>
      <c r="E6" s="18" t="n">
        <v>976417000</v>
      </c>
      <c r="H6" s="18" t="n">
        <v>1799663000</v>
      </c>
      <c r="I6" s="18" t="n">
        <v>116913000</v>
      </c>
      <c r="K6" s="18" t="n">
        <v>30063000</v>
      </c>
      <c r="L6" s="18">
        <f>H6-I6-J6-K6</f>
        <v/>
      </c>
      <c r="M6" s="18" t="n">
        <v>13575</v>
      </c>
      <c r="N6" s="11">
        <f>C6/M6</f>
        <v/>
      </c>
      <c r="O6" s="11">
        <f>L6/M6</f>
        <v/>
      </c>
      <c r="P6" s="19">
        <f>C6/L6</f>
        <v/>
      </c>
      <c r="Q6" s="20">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8">
        <f>F7</f>
        <v/>
      </c>
      <c r="D7" s="9" t="inlineStr">
        <is>
          <t>Form 990 (ties to audited)</t>
        </is>
      </c>
      <c r="E7" s="18" t="n">
        <v>1997951000</v>
      </c>
      <c r="F7" s="18" t="n">
        <v>1556522638</v>
      </c>
      <c r="G7" s="18" t="n">
        <v>1997950859</v>
      </c>
      <c r="H7" s="18" t="n">
        <v>3607255000</v>
      </c>
      <c r="I7" s="18" t="n">
        <v>216713000</v>
      </c>
      <c r="K7" s="18" t="n">
        <v>99478000</v>
      </c>
      <c r="L7" s="18">
        <f>H7-I7-J7-K7</f>
        <v/>
      </c>
      <c r="M7" s="18" t="n">
        <v>23431</v>
      </c>
      <c r="N7" s="11">
        <f>C7/M7</f>
        <v/>
      </c>
      <c r="O7" s="11">
        <f>L7/M7</f>
        <v/>
      </c>
      <c r="P7" s="19">
        <f>C7/L7</f>
        <v/>
      </c>
      <c r="Q7" s="20">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8" t="n">
        <v>1162823000</v>
      </c>
      <c r="D8" s="9" t="inlineStr">
        <is>
          <t>audited line</t>
        </is>
      </c>
      <c r="E8" s="18">
        <f>C8+351760000</f>
        <v/>
      </c>
      <c r="H8" s="18" t="n">
        <v>2744548000</v>
      </c>
      <c r="I8" s="18" t="n">
        <v>231467000</v>
      </c>
      <c r="K8" s="18" t="n">
        <v>221826000</v>
      </c>
      <c r="L8" s="18">
        <f>H8-I8-J8-K8</f>
        <v/>
      </c>
      <c r="M8" s="18" t="n">
        <v>9050</v>
      </c>
      <c r="N8" s="11">
        <f>C8/M8</f>
        <v/>
      </c>
      <c r="O8" s="11">
        <f>L8/M8</f>
        <v/>
      </c>
      <c r="P8" s="19">
        <f>C8/L8</f>
        <v/>
      </c>
      <c r="Q8" s="20">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D9" s="13" t="inlineStr">
        <is>
          <t>pending</t>
        </is>
      </c>
      <c r="M9" s="18" t="n">
        <v>21189</v>
      </c>
      <c r="S9" s="4" t="inlineStr">
        <is>
          <t>PENDING: Harvard's finance site denies automated access; FY25 Financial Report PDF needed.</t>
        </is>
      </c>
    </row>
    <row r="10">
      <c r="A10" s="9" t="inlineStr">
        <is>
          <t>Yale</t>
        </is>
      </c>
      <c r="B10" s="9" t="inlineStr">
        <is>
          <t>June 30, 2025</t>
        </is>
      </c>
      <c r="C10" s="18" t="n">
        <v>2737371000</v>
      </c>
      <c r="D10" s="9" t="inlineStr">
        <is>
          <t>audited line</t>
        </is>
      </c>
      <c r="E10" s="18">
        <f>C10+861635000</f>
        <v/>
      </c>
      <c r="H10" s="18" t="n">
        <v>5807911000</v>
      </c>
      <c r="I10" s="18" t="n">
        <v>504923000</v>
      </c>
      <c r="L10" s="18">
        <f>H10-I10-J10-K10</f>
        <v/>
      </c>
      <c r="M10" s="18" t="n">
        <v>15564</v>
      </c>
      <c r="N10" s="11">
        <f>C10/M10</f>
        <v/>
      </c>
      <c r="O10" s="11">
        <f>L10/M10</f>
        <v/>
      </c>
      <c r="P10" s="19">
        <f>C10/L10</f>
        <v/>
      </c>
      <c r="Q10" s="20">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8" t="n">
        <v>3678678000</v>
      </c>
      <c r="D11" s="9" t="inlineStr">
        <is>
          <t>audited line</t>
        </is>
      </c>
      <c r="E11" s="18" t="n">
        <v>4517817000</v>
      </c>
      <c r="H11" s="18" t="n">
        <v>8283042000</v>
      </c>
      <c r="I11" s="18" t="n">
        <v>401386000</v>
      </c>
      <c r="K11" s="18" t="n">
        <v>215170000</v>
      </c>
      <c r="L11" s="18">
        <f>H11-I11-J11-K11</f>
        <v/>
      </c>
      <c r="M11" s="18" t="n">
        <v>16221</v>
      </c>
      <c r="N11" s="11">
        <f>C11/M11</f>
        <v/>
      </c>
      <c r="O11" s="11">
        <f>L11/M11</f>
        <v/>
      </c>
      <c r="P11" s="19">
        <f>C11/L11</f>
        <v/>
      </c>
      <c r="Q11" s="20">
        <f>O11*P11-N11</f>
        <v/>
      </c>
      <c r="R11" s="9" t="inlineStr">
        <is>
          <t>UChicago Medicine</t>
        </is>
      </c>
      <c r="S11" s="4" t="inlineStr">
        <is>
          <t>Includes UChicago Medicine; Argonne and Fermilab are not consolidated.</t>
        </is>
      </c>
    </row>
    <row r="12">
      <c r="A12" s="9" t="inlineStr">
        <is>
          <t>Duke</t>
        </is>
      </c>
      <c r="B12" s="9" t="inlineStr">
        <is>
          <t>June 30, 2025</t>
        </is>
      </c>
      <c r="C12" s="18" t="n">
        <v>5041664000</v>
      </c>
      <c r="D12" s="9" t="inlineStr">
        <is>
          <t>audited line</t>
        </is>
      </c>
      <c r="E12" s="18" t="n">
        <v>6230712000</v>
      </c>
      <c r="H12" s="18" t="n">
        <v>10953208000</v>
      </c>
      <c r="I12" s="18" t="n">
        <v>471677000</v>
      </c>
      <c r="K12" s="18" t="n">
        <v>161512000</v>
      </c>
      <c r="L12" s="18">
        <f>H12-I12-J12-K12</f>
        <v/>
      </c>
      <c r="M12" s="18" t="n">
        <v>17499</v>
      </c>
      <c r="N12" s="11">
        <f>C12/M12</f>
        <v/>
      </c>
      <c r="O12" s="11">
        <f>L12/M12</f>
        <v/>
      </c>
      <c r="P12" s="19">
        <f>C12/L12</f>
        <v/>
      </c>
      <c r="Q12" s="20">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8" t="n">
        <v>5265449000</v>
      </c>
      <c r="D13" s="9" t="inlineStr">
        <is>
          <t>audited line</t>
        </is>
      </c>
      <c r="E13" s="18">
        <f>C13+1259151000</f>
        <v/>
      </c>
      <c r="H13" s="18" t="n">
        <v>10577959000</v>
      </c>
      <c r="I13" s="18" t="n">
        <v>379158000</v>
      </c>
      <c r="K13" s="18" t="n">
        <v>113892000</v>
      </c>
      <c r="L13" s="18">
        <f>H13-I13-J13-K13</f>
        <v/>
      </c>
      <c r="M13" s="18" t="n">
        <v>15179</v>
      </c>
      <c r="N13" s="11">
        <f>C13/M13</f>
        <v/>
      </c>
      <c r="O13" s="11">
        <f>L13/M13</f>
        <v/>
      </c>
      <c r="P13" s="19">
        <f>C13/L13</f>
        <v/>
      </c>
      <c r="Q13" s="20">
        <f>O13*P13-N13</f>
        <v/>
      </c>
      <c r="R13" s="9" t="inlineStr">
        <is>
          <t>Emory Healthcare</t>
        </is>
      </c>
      <c r="S13" s="4" t="inlineStr">
        <is>
          <t>Depreciation and amortization are one line ($379.2M).</t>
        </is>
      </c>
    </row>
    <row r="14">
      <c r="A14" s="9" t="inlineStr">
        <is>
          <t>Penn</t>
        </is>
      </c>
      <c r="B14" s="9" t="inlineStr">
        <is>
          <t>June 30, 2025</t>
        </is>
      </c>
      <c r="C14" s="18">
        <f>E14*F14/G14</f>
        <v/>
      </c>
      <c r="D14" s="21" t="inlineStr">
        <is>
          <t>ESTIMATE (990 share x audited combined)</t>
        </is>
      </c>
      <c r="E14" s="18" t="n">
        <v>9019270000</v>
      </c>
      <c r="F14" s="18" t="n">
        <v>4515553000</v>
      </c>
      <c r="G14" s="18" t="n">
        <v>5886033000</v>
      </c>
      <c r="H14" s="18" t="n">
        <v>16445321000</v>
      </c>
      <c r="I14" s="18" t="n">
        <v>686510000</v>
      </c>
      <c r="K14" s="18" t="n">
        <v>133923000</v>
      </c>
      <c r="L14" s="18">
        <f>H14-I14-J14-K14</f>
        <v/>
      </c>
      <c r="M14" s="18" t="n">
        <v>24023</v>
      </c>
      <c r="N14" s="11">
        <f>C14/M14</f>
        <v/>
      </c>
      <c r="O14" s="11">
        <f>L14/M14</f>
        <v/>
      </c>
      <c r="P14" s="19">
        <f>C14/L14</f>
        <v/>
      </c>
      <c r="Q14" s="20">
        <f>O14*P14-N14</f>
        <v/>
      </c>
      <c r="R14" s="9" t="inlineStr">
        <is>
          <t>Penn Medicine (UPHS)</t>
        </is>
      </c>
      <c r="S14" s="4" t="inlineStr">
        <is>
          <t>Statements show 'compensation and benefits' combined only. S&amp;W ESTIMATED = combined x Form 990 S&amp;W share (990 covers a narrower scope than the consolidated statements). D&amp;A one line.</t>
        </is>
      </c>
    </row>
    <row r="15">
      <c r="A15" s="9" t="inlineStr">
        <is>
          <t>Stanford</t>
        </is>
      </c>
      <c r="B15" s="9" t="inlineStr">
        <is>
          <t>August 31, 2025</t>
        </is>
      </c>
      <c r="C15" s="18">
        <f>E15*F15/G15</f>
        <v/>
      </c>
      <c r="D15" s="21" t="inlineStr">
        <is>
          <t>ESTIMATE (990 share x audited combined)</t>
        </is>
      </c>
      <c r="E15" s="18" t="n">
        <v>11647045000</v>
      </c>
      <c r="F15" s="18" t="n">
        <v>4781181437</v>
      </c>
      <c r="G15" s="18" t="n">
        <v>5963697901</v>
      </c>
      <c r="H15" s="18" t="n">
        <v>18935447000</v>
      </c>
      <c r="I15" s="18" t="n">
        <v>930917000</v>
      </c>
      <c r="K15" s="18" t="n">
        <v>278763000</v>
      </c>
      <c r="L15" s="18">
        <f>H15-I15-J15-K15</f>
        <v/>
      </c>
      <c r="M15" s="18" t="n">
        <v>18625</v>
      </c>
      <c r="N15" s="11">
        <f>C15/M15</f>
        <v/>
      </c>
      <c r="O15" s="11">
        <f>L15/M15</f>
        <v/>
      </c>
      <c r="P15" s="19">
        <f>C15/L15</f>
        <v/>
      </c>
      <c r="Q15" s="20">
        <f>O15*P15-N15</f>
        <v/>
      </c>
      <c r="R15" s="9" t="inlineStr">
        <is>
          <t>Stanford Health Care and Lucile Packard Children's Hospital</t>
        </is>
      </c>
      <c r="S15" s="4" t="inlineStr">
        <is>
          <t>Statements show salaries and benefits combined only. S&amp;W ESTIMATED = combined x Form 990 S&amp;W share. Interest is net and embedded in other operating expenses. Includes SLAC and the hospitals.</t>
        </is>
      </c>
    </row>
    <row r="16">
      <c r="A16" s="13" t="inlineStr">
        <is>
          <t>Northeastern</t>
        </is>
      </c>
      <c r="B16" s="9" t="inlineStr">
        <is>
          <t>June 30, 2025</t>
        </is>
      </c>
      <c r="C16" s="18">
        <f>F16</f>
        <v/>
      </c>
      <c r="D16" s="9" t="inlineStr">
        <is>
          <t>Form 990 (96.8% of audited combined)</t>
        </is>
      </c>
      <c r="E16" s="18" t="n">
        <v>1341049000</v>
      </c>
      <c r="F16" s="18" t="n">
        <v>1045135178</v>
      </c>
      <c r="G16" s="18" t="n">
        <v>1297581752</v>
      </c>
      <c r="H16" s="18" t="n">
        <v>2388249000</v>
      </c>
      <c r="I16" s="18" t="n">
        <v>151250000</v>
      </c>
      <c r="K16" s="18" t="n">
        <v>49862000</v>
      </c>
      <c r="L16" s="18">
        <f>H16-I16-J16-K16</f>
        <v/>
      </c>
      <c r="M16" s="18" t="n">
        <v>39774</v>
      </c>
      <c r="N16" s="11">
        <f>C16/M16</f>
        <v/>
      </c>
      <c r="O16" s="11">
        <f>L16/M16</f>
        <v/>
      </c>
      <c r="P16" s="19">
        <f>C16/L16</f>
        <v/>
      </c>
      <c r="Q16" s="20">
        <f>O16*P16-N16</f>
        <v/>
      </c>
      <c r="R16" s="9" t="inlineStr">
        <is>
          <t>no</t>
        </is>
      </c>
      <c r="S16" s="4" t="inlineStr">
        <is>
          <t>Audited statements show 'Salary and benefits' combined ($1,341.0M). S&amp;W from Form 990 lines 5+6+7 (990 lines 5-10 are 96.8% of the audited combined line). Interest ($49.9M) is below the debt-note figure ($60.0M).</t>
        </is>
      </c>
    </row>
    <row r="17">
      <c r="A17" s="9" t="inlineStr">
        <is>
          <t>Boston University</t>
        </is>
      </c>
      <c r="B17" s="9" t="inlineStr">
        <is>
          <t>June 30, 2025</t>
        </is>
      </c>
      <c r="C17" s="18" t="n">
        <v>1238476000</v>
      </c>
      <c r="D17" s="9" t="inlineStr">
        <is>
          <t>audited line</t>
        </is>
      </c>
      <c r="E17" s="18">
        <f>C17+389796000</f>
        <v/>
      </c>
      <c r="H17" s="18" t="n">
        <v>2719848000</v>
      </c>
      <c r="I17" s="18" t="n">
        <v>160697000</v>
      </c>
      <c r="K17" s="18" t="n">
        <v>81689000</v>
      </c>
      <c r="L17" s="18">
        <f>H17-I17-J17-K17</f>
        <v/>
      </c>
      <c r="M17" s="18" t="n">
        <v>37737</v>
      </c>
      <c r="N17" s="11">
        <f>C17/M17</f>
        <v/>
      </c>
      <c r="O17" s="11">
        <f>L17/M17</f>
        <v/>
      </c>
      <c r="P17" s="19">
        <f>C17/L17</f>
        <v/>
      </c>
      <c r="Q17" s="20">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8" t="n">
        <v>2090862000</v>
      </c>
      <c r="D18" s="9" t="inlineStr">
        <is>
          <t>audited line</t>
        </is>
      </c>
      <c r="E18" s="18" t="n">
        <v>2796822000</v>
      </c>
      <c r="H18" s="18" t="n">
        <v>5117184000</v>
      </c>
      <c r="I18" s="18" t="n">
        <v>289575000</v>
      </c>
      <c r="K18" s="18" t="n">
        <v>170489000</v>
      </c>
      <c r="L18" s="18">
        <f>H18-I18-J18-K18</f>
        <v/>
      </c>
      <c r="M18" s="18" t="n">
        <v>11886</v>
      </c>
      <c r="N18" s="11">
        <f>C18/M18</f>
        <v/>
      </c>
      <c r="O18" s="11">
        <f>L18/M18</f>
        <v/>
      </c>
      <c r="P18" s="19">
        <f>C18/L18</f>
        <v/>
      </c>
      <c r="Q18" s="20">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(13 schools with data)</t>
        </is>
      </c>
      <c r="N20" s="8">
        <f>MEDIAN(N5:N18)</f>
        <v/>
      </c>
      <c r="O20" s="8">
        <f>MEDIAN(O5:O18)</f>
        <v/>
      </c>
      <c r="P20" s="22">
        <f>MEDIAN(P5:P18)</f>
        <v/>
      </c>
    </row>
    <row r="21">
      <c r="A21" s="3" t="inlineStr">
        <is>
          <t>Northeastern rank, S&amp;W per student (1 = lowest)</t>
        </is>
      </c>
      <c r="N21" s="10">
        <f>RANK(N16,N5:N18,1)</f>
        <v/>
      </c>
    </row>
    <row r="22">
      <c r="A22" s="3" t="inlineStr">
        <is>
          <t>Northeastern S&amp;W per student as % of peer median</t>
        </is>
      </c>
      <c r="N22" s="23">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8" t="n">
        <v>39774</v>
      </c>
      <c r="C6" s="11">
        <f>S3_FY25!C16/B6</f>
        <v/>
      </c>
      <c r="D6" s="11">
        <f>S3_FY25!L16/B6</f>
        <v/>
      </c>
      <c r="E6" s="9" t="inlineStr">
        <is>
          <t>B1 'total all students'</t>
        </is>
      </c>
    </row>
    <row r="7">
      <c r="A7" s="9" t="inlineStr">
        <is>
          <t>IPEDS-style headcount (College Navigator fall 2024)</t>
        </is>
      </c>
      <c r="B7" s="18"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8"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CDS fall 2024</t>
        </is>
      </c>
      <c r="C11" s="5" t="inlineStr">
        <is>
          <t>IPEDS fall 2023</t>
        </is>
      </c>
      <c r="D11" s="5" t="inlineStr">
        <is>
          <t>S&amp;W per student (CDS)</t>
        </is>
      </c>
      <c r="E11" s="5" t="inlineStr">
        <is>
          <t>S&amp;W per student (IPEDS F23)</t>
        </is>
      </c>
      <c r="F11" s="5" t="inlineStr">
        <is>
          <t>Rank low-to-high (CDS)</t>
        </is>
      </c>
      <c r="G11" s="5" t="inlineStr">
        <is>
          <t>Rank low-to-high (IPEDS)</t>
        </is>
      </c>
      <c r="H11" s="5" t="inlineStr">
        <is>
          <t>IPEDS F23 vs CDS F24 (%)</t>
        </is>
      </c>
    </row>
    <row r="12">
      <c r="A12" s="9" t="inlineStr">
        <is>
          <t>Rice</t>
        </is>
      </c>
      <c r="B12" s="18">
        <f>S3_FY25!M5</f>
        <v/>
      </c>
      <c r="C12" s="18" t="n">
        <v>8556</v>
      </c>
      <c r="D12" s="11">
        <f>S3_FY25!C5/B12</f>
        <v/>
      </c>
      <c r="E12" s="11">
        <f>S3_FY25!C5/C12</f>
        <v/>
      </c>
      <c r="F12" s="16">
        <f>RANK(D12,D$12:D$24,1)</f>
        <v/>
      </c>
      <c r="G12" s="16">
        <f>RANK(E12,E$12:E$24,1)</f>
        <v/>
      </c>
      <c r="H12" s="24">
        <f>(C12/B12-1)*100</f>
        <v/>
      </c>
    </row>
    <row r="13">
      <c r="A13" s="9" t="inlineStr">
        <is>
          <t>Vanderbilt</t>
        </is>
      </c>
      <c r="B13" s="18">
        <f>S3_FY25!M6</f>
        <v/>
      </c>
      <c r="C13" s="18" t="n">
        <v>13456</v>
      </c>
      <c r="D13" s="11">
        <f>S3_FY25!C6/B13</f>
        <v/>
      </c>
      <c r="E13" s="11">
        <f>S3_FY25!C6/C13</f>
        <v/>
      </c>
      <c r="F13" s="16">
        <f>RANK(D13,D$12:D$24,1)</f>
        <v/>
      </c>
      <c r="G13" s="16">
        <f>RANK(E13,E$12:E$24,1)</f>
        <v/>
      </c>
      <c r="H13" s="24">
        <f>(C13/B13-1)*100</f>
        <v/>
      </c>
    </row>
    <row r="14">
      <c r="A14" s="9" t="inlineStr">
        <is>
          <t>Northwestern</t>
        </is>
      </c>
      <c r="B14" s="18">
        <f>S3_FY25!M7</f>
        <v/>
      </c>
      <c r="C14" s="18" t="n">
        <v>23203</v>
      </c>
      <c r="D14" s="11">
        <f>S3_FY25!C7/B14</f>
        <v/>
      </c>
      <c r="E14" s="11">
        <f>S3_FY25!C7/C14</f>
        <v/>
      </c>
      <c r="F14" s="16">
        <f>RANK(D14,D$12:D$24,1)</f>
        <v/>
      </c>
      <c r="G14" s="16">
        <f>RANK(E14,E$12:E$24,1)</f>
        <v/>
      </c>
      <c r="H14" s="24">
        <f>(C14/B14-1)*100</f>
        <v/>
      </c>
    </row>
    <row r="15">
      <c r="A15" s="9" t="inlineStr">
        <is>
          <t>Princeton</t>
        </is>
      </c>
      <c r="B15" s="18">
        <f>S3_FY25!M8</f>
        <v/>
      </c>
      <c r="C15" s="18" t="n">
        <v>8922</v>
      </c>
      <c r="D15" s="11">
        <f>S3_FY25!C8/B15</f>
        <v/>
      </c>
      <c r="E15" s="11">
        <f>S3_FY25!C8/C15</f>
        <v/>
      </c>
      <c r="F15" s="16">
        <f>RANK(D15,D$12:D$24,1)</f>
        <v/>
      </c>
      <c r="G15" s="16">
        <f>RANK(E15,E$12:E$24,1)</f>
        <v/>
      </c>
      <c r="H15" s="24">
        <f>(C15/B15-1)*100</f>
        <v/>
      </c>
    </row>
    <row r="16">
      <c r="A16" s="9" t="inlineStr">
        <is>
          <t>Yale</t>
        </is>
      </c>
      <c r="B16" s="18">
        <f>S3_FY25!M10</f>
        <v/>
      </c>
      <c r="C16" s="18" t="n">
        <v>15081</v>
      </c>
      <c r="D16" s="11">
        <f>S3_FY25!C10/B16</f>
        <v/>
      </c>
      <c r="E16" s="11">
        <f>S3_FY25!C10/C16</f>
        <v/>
      </c>
      <c r="F16" s="16">
        <f>RANK(D16,D$12:D$24,1)</f>
        <v/>
      </c>
      <c r="G16" s="16">
        <f>RANK(E16,E$12:E$24,1)</f>
        <v/>
      </c>
      <c r="H16" s="24">
        <f>(C16/B16-1)*100</f>
        <v/>
      </c>
    </row>
    <row r="17">
      <c r="A17" s="9" t="inlineStr">
        <is>
          <t>Chicago</t>
        </is>
      </c>
      <c r="B17" s="18">
        <f>S3_FY25!M11</f>
        <v/>
      </c>
      <c r="C17" s="18" t="n">
        <v>18339</v>
      </c>
      <c r="D17" s="11">
        <f>S3_FY25!C11/B17</f>
        <v/>
      </c>
      <c r="E17" s="11">
        <f>S3_FY25!C11/C17</f>
        <v/>
      </c>
      <c r="F17" s="16">
        <f>RANK(D17,D$12:D$24,1)</f>
        <v/>
      </c>
      <c r="G17" s="16">
        <f>RANK(E17,E$12:E$24,1)</f>
        <v/>
      </c>
      <c r="H17" s="24">
        <f>(C17/B17-1)*100</f>
        <v/>
      </c>
    </row>
    <row r="18">
      <c r="A18" s="9" t="inlineStr">
        <is>
          <t>Duke</t>
        </is>
      </c>
      <c r="B18" s="18">
        <f>S3_FY25!M12</f>
        <v/>
      </c>
      <c r="C18" s="18" t="n">
        <v>17112</v>
      </c>
      <c r="D18" s="11">
        <f>S3_FY25!C12/B18</f>
        <v/>
      </c>
      <c r="E18" s="11">
        <f>S3_FY25!C12/C18</f>
        <v/>
      </c>
      <c r="F18" s="16">
        <f>RANK(D18,D$12:D$24,1)</f>
        <v/>
      </c>
      <c r="G18" s="16">
        <f>RANK(E18,E$12:E$24,1)</f>
        <v/>
      </c>
      <c r="H18" s="24">
        <f>(C18/B18-1)*100</f>
        <v/>
      </c>
    </row>
    <row r="19">
      <c r="A19" s="9" t="inlineStr">
        <is>
          <t>Emory</t>
        </is>
      </c>
      <c r="B19" s="18">
        <f>S3_FY25!M13</f>
        <v/>
      </c>
      <c r="C19" s="18" t="n">
        <v>15046</v>
      </c>
      <c r="D19" s="11">
        <f>S3_FY25!C13/B19</f>
        <v/>
      </c>
      <c r="E19" s="11">
        <f>S3_FY25!C13/C19</f>
        <v/>
      </c>
      <c r="F19" s="16">
        <f>RANK(D19,D$12:D$24,1)</f>
        <v/>
      </c>
      <c r="G19" s="16">
        <f>RANK(E19,E$12:E$24,1)</f>
        <v/>
      </c>
      <c r="H19" s="24">
        <f>(C19/B19-1)*100</f>
        <v/>
      </c>
    </row>
    <row r="20">
      <c r="A20" s="9" t="inlineStr">
        <is>
          <t>Penn</t>
        </is>
      </c>
      <c r="B20" s="18">
        <f>S3_FY25!M14</f>
        <v/>
      </c>
      <c r="C20" s="18" t="n">
        <v>28711</v>
      </c>
      <c r="D20" s="11">
        <f>S3_FY25!C14/B20</f>
        <v/>
      </c>
      <c r="E20" s="11">
        <f>S3_FY25!C14/C20</f>
        <v/>
      </c>
      <c r="F20" s="16">
        <f>RANK(D20,D$12:D$24,1)</f>
        <v/>
      </c>
      <c r="G20" s="16">
        <f>RANK(E20,E$12:E$24,1)</f>
        <v/>
      </c>
      <c r="H20" s="24">
        <f>(C20/B20-1)*100</f>
        <v/>
      </c>
    </row>
    <row r="21">
      <c r="A21" s="9" t="inlineStr">
        <is>
          <t>Stanford</t>
        </is>
      </c>
      <c r="B21" s="18">
        <f>S3_FY25!M15</f>
        <v/>
      </c>
      <c r="C21" s="18" t="n">
        <v>18446</v>
      </c>
      <c r="D21" s="11">
        <f>S3_FY25!C15/B21</f>
        <v/>
      </c>
      <c r="E21" s="11">
        <f>S3_FY25!C15/C21</f>
        <v/>
      </c>
      <c r="F21" s="16">
        <f>RANK(D21,D$12:D$24,1)</f>
        <v/>
      </c>
      <c r="G21" s="16">
        <f>RANK(E21,E$12:E$24,1)</f>
        <v/>
      </c>
      <c r="H21" s="24">
        <f>(C21/B21-1)*100</f>
        <v/>
      </c>
    </row>
    <row r="22">
      <c r="A22" s="9" t="inlineStr">
        <is>
          <t>Northeastern</t>
        </is>
      </c>
      <c r="B22" s="18">
        <f>S3_FY25!M16</f>
        <v/>
      </c>
      <c r="C22" s="18" t="n">
        <v>31159</v>
      </c>
      <c r="D22" s="11">
        <f>S3_FY25!C16/B22</f>
        <v/>
      </c>
      <c r="E22" s="11">
        <f>S3_FY25!C16/C22</f>
        <v/>
      </c>
      <c r="F22" s="16">
        <f>RANK(D22,D$12:D$24,1)</f>
        <v/>
      </c>
      <c r="G22" s="16">
        <f>RANK(E22,E$12:E$24,1)</f>
        <v/>
      </c>
      <c r="H22" s="24">
        <f>(C22/B22-1)*100</f>
        <v/>
      </c>
    </row>
    <row r="23">
      <c r="A23" s="9" t="inlineStr">
        <is>
          <t>Boston University</t>
        </is>
      </c>
      <c r="B23" s="18">
        <f>S3_FY25!M17</f>
        <v/>
      </c>
      <c r="C23" s="18" t="n">
        <v>36624</v>
      </c>
      <c r="D23" s="11">
        <f>S3_FY25!C17/B23</f>
        <v/>
      </c>
      <c r="E23" s="11">
        <f>S3_FY25!C17/C23</f>
        <v/>
      </c>
      <c r="F23" s="16">
        <f>RANK(D23,D$12:D$24,1)</f>
        <v/>
      </c>
      <c r="G23" s="16">
        <f>RANK(E23,E$12:E$24,1)</f>
        <v/>
      </c>
      <c r="H23" s="24">
        <f>(C23/B23-1)*100</f>
        <v/>
      </c>
    </row>
    <row r="24">
      <c r="A24" s="9" t="inlineStr">
        <is>
          <t>MIT</t>
        </is>
      </c>
      <c r="B24" s="18">
        <f>S3_FY25!M18</f>
        <v/>
      </c>
      <c r="C24" s="18" t="n">
        <v>11920</v>
      </c>
      <c r="D24" s="11">
        <f>S3_FY25!C18/B24</f>
        <v/>
      </c>
      <c r="E24" s="11">
        <f>S3_FY25!C18/C24</f>
        <v/>
      </c>
      <c r="F24" s="16">
        <f>RANK(D24,D$12:D$24,1)</f>
        <v/>
      </c>
      <c r="G24" s="16">
        <f>RANK(E24,E$12:E$24,1)</f>
        <v/>
      </c>
      <c r="H24" s="24">
        <f>(C24/B24-1)*100</f>
        <v/>
      </c>
    </row>
    <row r="27">
      <c r="A27" s="3" t="inlineStr">
        <is>
          <t>C. Penn and Stanford estimated S&amp;W under alternative S&amp;W shares of salaries + benefits</t>
        </is>
      </c>
    </row>
    <row r="28">
      <c r="A28" s="5" t="inlineStr">
        <is>
          <t>Institution</t>
        </is>
      </c>
      <c r="B28" s="5" t="inlineStr">
        <is>
          <t>Salaries + benefits ($)</t>
        </is>
      </c>
      <c r="C28" s="5" t="inlineStr">
        <is>
          <t>S&amp;W share used (Form 990)</t>
        </is>
      </c>
      <c r="D28" s="5" t="inlineStr">
        <is>
          <t>S&amp;W per student, share used</t>
        </is>
      </c>
      <c r="E28" s="5" t="inlineStr">
        <is>
          <t>Peer-median share (hospital schools)</t>
        </is>
      </c>
      <c r="F28" s="5" t="inlineStr">
        <is>
          <t>S&amp;W per student, peer share</t>
        </is>
      </c>
      <c r="G28" s="5" t="inlineStr">
        <is>
          <t>Original slide assumption (72.8%)</t>
        </is>
      </c>
      <c r="H28" s="5" t="inlineStr">
        <is>
          <t>S&amp;W per student, 72.8%</t>
        </is>
      </c>
    </row>
    <row r="29">
      <c r="A29" s="9" t="inlineStr">
        <is>
          <t>Penn</t>
        </is>
      </c>
      <c r="B29" s="18">
        <f>S3_FY25!E14</f>
        <v/>
      </c>
      <c r="C29" s="19">
        <f>S3_FY25!F14/S3_FY25!G14</f>
        <v/>
      </c>
      <c r="D29" s="11">
        <f>B29*C29/S3_FY25!M14</f>
        <v/>
      </c>
      <c r="E29" s="19">
        <f>MEDIAN(S3_FY25!C11/S3_FY25!E11,S3_FY25!C12/S3_FY25!E12,S3_FY25!C13/S3_FY25!E13)</f>
        <v/>
      </c>
      <c r="F29" s="11">
        <f>B29*E29/S3_FY25!M14</f>
        <v/>
      </c>
      <c r="G29" s="19" t="n">
        <v>0.728</v>
      </c>
      <c r="H29" s="11">
        <f>B29*G29/S3_FY25!M14</f>
        <v/>
      </c>
    </row>
    <row r="30">
      <c r="A30" s="9" t="inlineStr">
        <is>
          <t>Stanford</t>
        </is>
      </c>
      <c r="B30" s="18">
        <f>S3_FY25!E15</f>
        <v/>
      </c>
      <c r="C30" s="19">
        <f>S3_FY25!F15/S3_FY25!G15</f>
        <v/>
      </c>
      <c r="D30" s="11">
        <f>B30*C30/S3_FY25!M15</f>
        <v/>
      </c>
      <c r="E30" s="19">
        <f>MEDIAN(S3_FY25!C11/S3_FY25!E11,S3_FY25!C12/S3_FY25!E12,S3_FY25!C13/S3_FY25!E13)</f>
        <v/>
      </c>
      <c r="F30" s="11">
        <f>B30*E30/S3_FY25!M15</f>
        <v/>
      </c>
      <c r="G30" s="19" t="n">
        <v>0.728</v>
      </c>
      <c r="H30" s="11">
        <f>B30*G30/S3_FY25!M15</f>
        <v/>
      </c>
    </row>
    <row r="32">
      <c r="A32" s="17" t="inlineStr">
        <is>
          <t>Peer-median share = median of Chicago, Duke and Emory (the hospital-consolidated schools whose audited statements report S&amp;W and benefits separately).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8" t="n">
        <v>421781000</v>
      </c>
      <c r="C5" s="18" t="n">
        <v>959377000</v>
      </c>
      <c r="D5" s="18" t="n">
        <v>421781000</v>
      </c>
      <c r="E5" s="18" t="n">
        <v>959377000</v>
      </c>
      <c r="F5" s="18" t="n">
        <v>118187000</v>
      </c>
      <c r="G5" s="18">
        <f>E5-F5</f>
        <v/>
      </c>
      <c r="H5" s="24">
        <f>(C5/E5-1)*100</f>
        <v/>
      </c>
      <c r="I5" s="24">
        <f>(C5/G5-1)*100</f>
        <v/>
      </c>
      <c r="J5" s="24">
        <f>(B5/D5-1)*100</f>
        <v/>
      </c>
      <c r="M5" s="18" t="n">
        <v>959377000</v>
      </c>
      <c r="N5" s="18" t="n">
        <v>421781000</v>
      </c>
    </row>
    <row r="6">
      <c r="A6" s="9" t="inlineStr">
        <is>
          <t>Vanderbilt</t>
        </is>
      </c>
      <c r="B6" s="18" t="n">
        <v>699234000</v>
      </c>
      <c r="C6" s="18" t="n">
        <v>1615854000</v>
      </c>
      <c r="D6" s="18" t="n">
        <v>700000000</v>
      </c>
      <c r="E6" s="18" t="n">
        <v>1615854000</v>
      </c>
      <c r="F6" s="18" t="n">
        <v>122175000</v>
      </c>
      <c r="G6" s="18">
        <f>E6-F6</f>
        <v/>
      </c>
      <c r="H6" s="24">
        <f>(C6/E6-1)*100</f>
        <v/>
      </c>
      <c r="I6" s="24">
        <f>(C6/G6-1)*100</f>
        <v/>
      </c>
      <c r="J6" s="24">
        <f>(B6/D6-1)*100</f>
        <v/>
      </c>
      <c r="K6" s="18" t="n">
        <v>832612000</v>
      </c>
      <c r="L6" s="25">
        <f>B6/K6</f>
        <v/>
      </c>
      <c r="M6" s="18" t="n">
        <v>1615854013</v>
      </c>
      <c r="N6" s="18" t="n">
        <v>699234852</v>
      </c>
    </row>
    <row r="7">
      <c r="A7" s="9" t="inlineStr">
        <is>
          <t>Northwestern</t>
        </is>
      </c>
      <c r="B7" s="18" t="n">
        <v>1219645336</v>
      </c>
      <c r="C7" s="18" t="n">
        <v>3038060000</v>
      </c>
      <c r="D7" s="18" t="n"/>
      <c r="E7" s="18" t="n">
        <v>3038060000</v>
      </c>
      <c r="F7" s="18" t="n">
        <v>303553000</v>
      </c>
      <c r="G7" s="18">
        <f>E7-F7</f>
        <v/>
      </c>
      <c r="H7" s="24">
        <f>(C7/E7-1)*100</f>
        <v/>
      </c>
      <c r="I7" s="24">
        <f>(C7/G7-1)*100</f>
        <v/>
      </c>
      <c r="K7" s="18" t="n">
        <v>1675337000</v>
      </c>
      <c r="L7" s="25">
        <f>B7/K7</f>
        <v/>
      </c>
      <c r="M7" s="18" t="n">
        <v>3038060000</v>
      </c>
      <c r="N7" s="18" t="n">
        <v>1334540000</v>
      </c>
    </row>
    <row r="8">
      <c r="A8" s="9" t="inlineStr">
        <is>
          <t>Princeton</t>
        </is>
      </c>
      <c r="B8" s="18" t="n">
        <v>969089000</v>
      </c>
      <c r="C8" s="18" t="n">
        <v>2263259000</v>
      </c>
      <c r="D8" s="18" t="n">
        <v>969089000</v>
      </c>
      <c r="E8" s="18" t="n">
        <v>2263259000</v>
      </c>
      <c r="F8" s="18" t="n">
        <v>349162000</v>
      </c>
      <c r="G8" s="18">
        <f>E8-F8</f>
        <v/>
      </c>
      <c r="H8" s="24">
        <f>(C8/E8-1)*100</f>
        <v/>
      </c>
      <c r="I8" s="24">
        <f>(C8/G8-1)*100</f>
        <v/>
      </c>
      <c r="J8" s="24">
        <f>(B8/D8-1)*100</f>
        <v/>
      </c>
      <c r="M8" s="18" t="n">
        <v>2263259000</v>
      </c>
      <c r="N8" s="18" t="n">
        <v>886833000</v>
      </c>
    </row>
    <row r="9">
      <c r="A9" s="9" t="inlineStr">
        <is>
          <t>Harvard</t>
        </is>
      </c>
      <c r="B9" s="18" t="n">
        <v>2421076000</v>
      </c>
      <c r="C9" s="18" t="n">
        <v>5911797000</v>
      </c>
      <c r="D9" s="21" t="inlineStr">
        <is>
          <t>Harvard FY23 report not reached</t>
        </is>
      </c>
      <c r="M9" s="18" t="n">
        <v>5911797000</v>
      </c>
      <c r="N9" s="18" t="n">
        <v>2421074000</v>
      </c>
    </row>
    <row r="10">
      <c r="A10" s="9" t="inlineStr">
        <is>
          <t>Yale</t>
        </is>
      </c>
      <c r="B10" s="18" t="n">
        <v>2328136000</v>
      </c>
      <c r="C10" s="18" t="n">
        <v>4936268000</v>
      </c>
      <c r="D10" s="18" t="n">
        <v>2328136000</v>
      </c>
      <c r="E10" s="18" t="n">
        <v>4936268000</v>
      </c>
      <c r="F10" s="18" t="n">
        <v>441202000</v>
      </c>
      <c r="G10" s="18">
        <f>E10-F10</f>
        <v/>
      </c>
      <c r="H10" s="24">
        <f>(C10/E10-1)*100</f>
        <v/>
      </c>
      <c r="I10" s="24">
        <f>(C10/G10-1)*100</f>
        <v/>
      </c>
      <c r="J10" s="24">
        <f>(B10/D10-1)*100</f>
        <v/>
      </c>
      <c r="M10" s="18" t="n">
        <v>4873675887</v>
      </c>
      <c r="N10" s="18" t="n">
        <v>2202260626</v>
      </c>
    </row>
    <row r="11">
      <c r="A11" s="9" t="inlineStr">
        <is>
          <t>Chicago</t>
        </is>
      </c>
      <c r="B11" s="18" t="n">
        <v>3033100000</v>
      </c>
      <c r="C11" s="18" t="n">
        <v>6779655000</v>
      </c>
      <c r="D11" s="18" t="n">
        <v>3033100000</v>
      </c>
      <c r="E11" s="18" t="n">
        <v>6779655000</v>
      </c>
      <c r="F11" s="18" t="n">
        <v>563830000</v>
      </c>
      <c r="G11" s="18">
        <f>E11-F11</f>
        <v/>
      </c>
      <c r="H11" s="24">
        <f>(C11/E11-1)*100</f>
        <v/>
      </c>
      <c r="I11" s="24">
        <f>(C11/G11-1)*100</f>
        <v/>
      </c>
      <c r="J11" s="24">
        <f>(B11/D11-1)*100</f>
        <v/>
      </c>
      <c r="K11" s="18" t="n">
        <v>3662513000</v>
      </c>
      <c r="L11" s="25">
        <f>B11/K11</f>
        <v/>
      </c>
      <c r="M11" s="18" t="n">
        <v>5084463771</v>
      </c>
      <c r="N11" s="18" t="n">
        <v>1604106945</v>
      </c>
    </row>
    <row r="12">
      <c r="A12" s="9" t="inlineStr">
        <is>
          <t>Duke</t>
        </is>
      </c>
      <c r="B12" s="18" t="n">
        <v>3676675000</v>
      </c>
      <c r="C12" s="18" t="n">
        <v>8431382000</v>
      </c>
      <c r="D12" s="18" t="n">
        <v>3676675000</v>
      </c>
      <c r="E12" s="18" t="n">
        <v>8431382000</v>
      </c>
      <c r="F12" s="18" t="n">
        <v>635501000</v>
      </c>
      <c r="G12" s="18">
        <f>E12-F12</f>
        <v/>
      </c>
      <c r="H12" s="24">
        <f>(C12/E12-1)*100</f>
        <v/>
      </c>
      <c r="I12" s="24">
        <f>(C12/G12-1)*100</f>
        <v/>
      </c>
      <c r="J12" s="24">
        <f>(B12/D12-1)*100</f>
        <v/>
      </c>
      <c r="K12" s="18" t="n">
        <v>4568399000</v>
      </c>
      <c r="L12" s="25">
        <f>B12/K12</f>
        <v/>
      </c>
      <c r="M12" s="18" t="n">
        <v>8431382000</v>
      </c>
      <c r="N12" s="18" t="n">
        <v>3609077000</v>
      </c>
    </row>
    <row r="13">
      <c r="A13" s="9" t="inlineStr">
        <is>
          <t>Emory</t>
        </is>
      </c>
      <c r="B13" s="18" t="n">
        <v>4313737000</v>
      </c>
      <c r="C13" s="18" t="n">
        <v>8570621000</v>
      </c>
      <c r="D13" s="18" t="n">
        <v>4313737000</v>
      </c>
      <c r="E13" s="18" t="n">
        <v>8570621000</v>
      </c>
      <c r="F13" s="18" t="n">
        <v>452316000</v>
      </c>
      <c r="G13" s="18">
        <f>E13-F13</f>
        <v/>
      </c>
      <c r="H13" s="24">
        <f>(C13/E13-1)*100</f>
        <v/>
      </c>
      <c r="I13" s="24">
        <f>(C13/G13-1)*100</f>
        <v/>
      </c>
      <c r="J13" s="24">
        <f>(B13/D13-1)*100</f>
        <v/>
      </c>
      <c r="M13" s="18" t="n">
        <v>8514754000</v>
      </c>
      <c r="N13" s="18" t="n">
        <v>4252849000</v>
      </c>
    </row>
    <row r="14">
      <c r="A14" s="9" t="inlineStr">
        <is>
          <t>Penn</t>
        </is>
      </c>
      <c r="B14" s="18" t="n">
        <v>5636695792</v>
      </c>
      <c r="C14" s="18" t="n">
        <v>13857148000</v>
      </c>
      <c r="D14" s="18" t="n"/>
      <c r="E14" s="18" t="n">
        <v>13857148000</v>
      </c>
      <c r="F14" s="18" t="n">
        <v>789992000</v>
      </c>
      <c r="G14" s="18">
        <f>E14-F14</f>
        <v/>
      </c>
      <c r="H14" s="24">
        <f>(C14/E14-1)*100</f>
        <v/>
      </c>
      <c r="I14" s="24">
        <f>(C14/G14-1)*100</f>
        <v/>
      </c>
      <c r="K14" s="18" t="n">
        <v>7742714000</v>
      </c>
      <c r="L14" s="25">
        <f>B14/K14</f>
        <v/>
      </c>
      <c r="M14" s="18" t="n">
        <v>13857148000</v>
      </c>
      <c r="N14" s="18" t="n">
        <v>6045218000</v>
      </c>
    </row>
    <row r="15">
      <c r="A15" s="9" t="inlineStr">
        <is>
          <t>Stanford</t>
        </is>
      </c>
      <c r="B15" s="18" t="n">
        <v>7106067696</v>
      </c>
      <c r="C15" s="18" t="n">
        <v>16053362000</v>
      </c>
      <c r="D15" s="18" t="n"/>
      <c r="E15" s="18" t="n">
        <v>16053362000</v>
      </c>
      <c r="F15" s="18" t="n">
        <v>1116974000</v>
      </c>
      <c r="G15" s="18">
        <f>E15-F15</f>
        <v/>
      </c>
      <c r="H15" s="24">
        <f>(C15/E15-1)*100</f>
        <v/>
      </c>
      <c r="I15" s="24">
        <f>(C15/G15-1)*100</f>
        <v/>
      </c>
      <c r="K15" s="18" t="n">
        <v>9761082000</v>
      </c>
      <c r="L15" s="25">
        <f>B15/K15</f>
        <v/>
      </c>
      <c r="M15" s="18" t="n">
        <v>7659884000</v>
      </c>
      <c r="N15" s="18"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8" t="n">
        <v>8961</v>
      </c>
      <c r="C5" s="18" t="n">
        <v>8556</v>
      </c>
      <c r="D5" s="18" t="n">
        <v>8672</v>
      </c>
      <c r="E5" s="18" t="n">
        <v>8556</v>
      </c>
      <c r="F5" s="18" t="n">
        <v>8672</v>
      </c>
      <c r="G5" s="18" t="n">
        <v>8285</v>
      </c>
      <c r="H5" s="24">
        <f>(E5/C5-1)*100</f>
        <v/>
      </c>
      <c r="I5" s="24">
        <f>(G5/F5-1)*100</f>
        <v/>
      </c>
      <c r="J5" s="9" t="inlineStr">
        <is>
          <t>https://ideas.rice.edu/wp-content/uploads/2025/10/CDS_2024-25_WEBSITE.pdf</t>
        </is>
      </c>
    </row>
    <row r="6">
      <c r="A6" s="9" t="inlineStr">
        <is>
          <t>Vanderbilt</t>
        </is>
      </c>
      <c r="B6" s="18" t="n">
        <v>13575</v>
      </c>
      <c r="C6" s="18" t="n">
        <v>13456</v>
      </c>
      <c r="D6" s="18" t="n">
        <v>13710</v>
      </c>
      <c r="E6" s="18" t="n">
        <v>13456</v>
      </c>
      <c r="F6" s="18" t="n">
        <v>13710</v>
      </c>
      <c r="G6" s="18" t="n">
        <v>13710</v>
      </c>
      <c r="H6" s="24">
        <f>(E6/C6-1)*100</f>
        <v/>
      </c>
      <c r="I6" s="24">
        <f>(G6/F6-1)*100</f>
        <v/>
      </c>
      <c r="J6" s="9" t="inlineStr">
        <is>
          <t>https://cdn.vanderbilt.edu/vu-wpfsx/wp-content/uploads/sites/70/2025/11/CDS_2024-2025.xlsx</t>
        </is>
      </c>
    </row>
    <row r="7">
      <c r="A7" s="9" t="inlineStr">
        <is>
          <t>Northwestern</t>
        </is>
      </c>
      <c r="B7" s="18" t="n">
        <v>23431</v>
      </c>
      <c r="C7" s="18" t="n">
        <v>22801</v>
      </c>
      <c r="D7" s="18" t="n">
        <v>22732</v>
      </c>
      <c r="E7" s="18" t="n">
        <v>23203</v>
      </c>
      <c r="F7" s="18" t="n">
        <v>23161</v>
      </c>
      <c r="G7" s="18" t="n">
        <v>23000</v>
      </c>
      <c r="H7" s="24">
        <f>(E7/C7-1)*100</f>
        <v/>
      </c>
      <c r="I7" s="24">
        <f>(G7/F7-1)*100</f>
        <v/>
      </c>
      <c r="J7" s="9" t="inlineStr">
        <is>
          <t>https://enrollment.northwestern.edu/data/2024-2025.pdf</t>
        </is>
      </c>
    </row>
    <row r="8">
      <c r="A8" s="9" t="inlineStr">
        <is>
          <t>Princeton</t>
        </is>
      </c>
      <c r="B8" s="18" t="n">
        <v>9050</v>
      </c>
      <c r="C8" s="18" t="n"/>
      <c r="D8" s="18" t="n"/>
      <c r="E8" s="18" t="n">
        <v>8922</v>
      </c>
      <c r="F8" s="18" t="n">
        <v>8842</v>
      </c>
      <c r="G8" s="18" t="n">
        <v>8778</v>
      </c>
      <c r="I8" s="24">
        <f>(G8/F8-1)*100</f>
        <v/>
      </c>
      <c r="J8" s="9" t="inlineStr">
        <is>
          <t>Princeton Report of the Treasurer FY25: 5,726 undergraduates + 3,324 graduate students (term not named; CDS host not reachable)</t>
        </is>
      </c>
    </row>
    <row r="9">
      <c r="A9" s="9" t="inlineStr">
        <is>
          <t>Harvard</t>
        </is>
      </c>
      <c r="B9" s="18" t="n">
        <v>21189</v>
      </c>
      <c r="C9" s="18" t="n">
        <v>21278</v>
      </c>
      <c r="D9" s="18" t="n">
        <v>21613</v>
      </c>
      <c r="E9" s="18" t="n">
        <v>30386</v>
      </c>
      <c r="F9" s="18" t="n">
        <v>30631</v>
      </c>
      <c r="G9" s="18" t="n">
        <v>21400</v>
      </c>
      <c r="H9" s="24">
        <f>(E9/C9-1)*100</f>
        <v/>
      </c>
      <c r="I9" s="24">
        <f>(G9/F9-1)*100</f>
        <v/>
      </c>
      <c r="J9" s="9" t="inlineStr">
        <is>
          <t>https://oira.harvard.edu/files/2025/06/HarvardUniversity_CDS_2024-2025.pdf</t>
        </is>
      </c>
    </row>
    <row r="10">
      <c r="A10" s="9" t="inlineStr">
        <is>
          <t>Yale</t>
        </is>
      </c>
      <c r="B10" s="18" t="n">
        <v>15564</v>
      </c>
      <c r="C10" s="18" t="n">
        <v>15081</v>
      </c>
      <c r="D10" s="18" t="n">
        <v>14806</v>
      </c>
      <c r="E10" s="18" t="n">
        <v>15081</v>
      </c>
      <c r="F10" s="18" t="n">
        <v>14776</v>
      </c>
      <c r="G10" s="18" t="n">
        <v>14751</v>
      </c>
      <c r="H10" s="24">
        <f>(E10/C10-1)*100</f>
        <v/>
      </c>
      <c r="I10" s="24">
        <f>(G10/F10-1)*100</f>
        <v/>
      </c>
      <c r="J10" s="9" t="inlineStr">
        <is>
          <t>https://oir.yale.edu/sites/default/files/yale_cds_2024-25_rmd_20250612.pdf</t>
        </is>
      </c>
    </row>
    <row r="11">
      <c r="A11" s="9" t="inlineStr">
        <is>
          <t>Chicago</t>
        </is>
      </c>
      <c r="B11" s="18" t="n">
        <v>16221</v>
      </c>
      <c r="C11" s="18" t="n">
        <v>15763</v>
      </c>
      <c r="D11" s="18" t="n">
        <v>15946</v>
      </c>
      <c r="E11" s="18" t="n">
        <v>18339</v>
      </c>
      <c r="F11" s="18" t="n">
        <v>18339</v>
      </c>
      <c r="G11" s="18" t="n">
        <v>18058</v>
      </c>
      <c r="H11" s="24">
        <f>(E11/C11-1)*100</f>
        <v/>
      </c>
      <c r="I11" s="24">
        <f>(G11/F11-1)*100</f>
        <v/>
      </c>
      <c r="J11" s="9" t="inlineStr">
        <is>
          <t>https://bpb-us-w2.wpmucdn.com/voices.uchicago.edu/dist/8/2077/files/2025/08/CDS_2024-2025_to_publish.pdf</t>
        </is>
      </c>
    </row>
    <row r="12">
      <c r="A12" s="9" t="inlineStr">
        <is>
          <t>Duke</t>
        </is>
      </c>
      <c r="B12" s="18" t="n">
        <v>17499</v>
      </c>
      <c r="C12" s="18" t="n">
        <v>17112</v>
      </c>
      <c r="D12" s="18" t="n">
        <v>18024</v>
      </c>
      <c r="E12" s="18" t="n">
        <v>17112</v>
      </c>
      <c r="F12" s="18" t="n">
        <v>18023</v>
      </c>
      <c r="G12" s="18" t="n">
        <v>18009</v>
      </c>
      <c r="H12" s="24">
        <f>(E12/C12-1)*100</f>
        <v/>
      </c>
      <c r="I12" s="24">
        <f>(G12/F12-1)*100</f>
        <v/>
      </c>
      <c r="J12" s="9" t="inlineStr">
        <is>
          <t>https://ir.provost.duke.edu/sites/default/files/CDS-2024-25-Final-2.pdf</t>
        </is>
      </c>
    </row>
    <row r="13">
      <c r="A13" s="9" t="inlineStr">
        <is>
          <t>Emory</t>
        </is>
      </c>
      <c r="B13" s="18" t="n">
        <v>15179</v>
      </c>
      <c r="C13" s="18" t="n">
        <v>15046</v>
      </c>
      <c r="D13" s="18" t="n">
        <v>14852</v>
      </c>
      <c r="E13" s="18" t="n">
        <v>15046</v>
      </c>
      <c r="F13" s="18" t="n">
        <v>14841</v>
      </c>
      <c r="G13" s="18" t="n">
        <v>16000</v>
      </c>
      <c r="H13" s="24">
        <f>(E13/C13-1)*100</f>
        <v/>
      </c>
      <c r="I13" s="24">
        <f>(G13/F13-1)*100</f>
        <v/>
      </c>
      <c r="J13" s="9" t="inlineStr">
        <is>
          <t>https://provost.emory.edu/planning-administration/_includes/documents/sections/institutional-data/emory-common-data-set-2024-2025.pdf</t>
        </is>
      </c>
    </row>
    <row r="14">
      <c r="A14" s="9" t="inlineStr">
        <is>
          <t>Penn</t>
        </is>
      </c>
      <c r="B14" s="18" t="n">
        <v>24023</v>
      </c>
      <c r="C14" s="18" t="n">
        <v>23790</v>
      </c>
      <c r="D14" s="18" t="n">
        <v>23374</v>
      </c>
      <c r="E14" s="18" t="n">
        <v>28711</v>
      </c>
      <c r="F14" s="18" t="n">
        <v>28201</v>
      </c>
      <c r="G14" s="18" t="n">
        <v>23374</v>
      </c>
      <c r="H14" s="24">
        <f>(E14/C14-1)*100</f>
        <v/>
      </c>
      <c r="I14" s="24">
        <f>(G14/F14-1)*100</f>
        <v/>
      </c>
      <c r="J14" s="9" t="inlineStr">
        <is>
          <t>https://upenn.box.com/s/ckv4frz37rzxa4u6bdiv2h4yzykqm4ef</t>
        </is>
      </c>
    </row>
    <row r="15">
      <c r="A15" s="9" t="inlineStr">
        <is>
          <t>Stanford</t>
        </is>
      </c>
      <c r="B15" s="18" t="n">
        <v>18625</v>
      </c>
      <c r="C15" s="18" t="n">
        <v>18446</v>
      </c>
      <c r="D15" s="18" t="n">
        <v>18283</v>
      </c>
      <c r="E15" s="18" t="n">
        <v>18446</v>
      </c>
      <c r="F15" s="18" t="n">
        <v>18283</v>
      </c>
      <c r="G15" s="18" t="n">
        <v>17529</v>
      </c>
      <c r="H15" s="24">
        <f>(E15/C15-1)*100</f>
        <v/>
      </c>
      <c r="I15" s="24">
        <f>(G15/F15-1)*100</f>
        <v/>
      </c>
      <c r="J15" s="9" t="inlineStr">
        <is>
          <t>https://drive.google.com/file/d/12MjIqdzzHiECf6hfRlbU3RmmIy14hl1H/view (posted at https://irds.stanford.edu/data-findings/cds)</t>
        </is>
      </c>
    </row>
    <row r="16">
      <c r="A16" s="9" t="inlineStr">
        <is>
          <t>Northeastern</t>
        </is>
      </c>
      <c r="B16" s="18" t="n">
        <v>39774</v>
      </c>
      <c r="C16" s="18" t="n">
        <v>38760</v>
      </c>
      <c r="D16" s="18" t="n">
        <v>36806</v>
      </c>
      <c r="E16" s="18" t="n">
        <v>31159</v>
      </c>
      <c r="F16" s="18" t="n">
        <v>30013</v>
      </c>
      <c r="H16" s="24">
        <f>(E16/C16-1)*100</f>
        <v/>
      </c>
      <c r="J16" s="9" t="inlineStr">
        <is>
          <t>https://uds.northeastern.edu/wp-content/uploads/2026/03/CDS-2024-25.pdf</t>
        </is>
      </c>
    </row>
    <row r="17">
      <c r="A17" s="9" t="inlineStr">
        <is>
          <t>Boston University</t>
        </is>
      </c>
      <c r="B17" s="18" t="n">
        <v>37737</v>
      </c>
      <c r="C17" s="18" t="n">
        <v>36624</v>
      </c>
      <c r="D17" s="18" t="n">
        <v>36714</v>
      </c>
      <c r="E17" s="18" t="n">
        <v>36624</v>
      </c>
      <c r="F17" s="18" t="n">
        <v>36714</v>
      </c>
      <c r="H17" s="24">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8" t="n">
        <v>11886</v>
      </c>
      <c r="C18" s="18" t="n">
        <v>11920</v>
      </c>
      <c r="D18" s="18" t="n">
        <v>11858</v>
      </c>
      <c r="E18" s="18" t="n">
        <v>11920</v>
      </c>
      <c r="F18" s="18" t="n">
        <v>11858</v>
      </c>
      <c r="H18" s="24">
        <f>(E18/C18-1)*100</f>
        <v/>
      </c>
      <c r="J18" s="9" t="inlineStr">
        <is>
          <t>https://ir.mit.edu/projects/2024-25-common-data-set/</t>
        </is>
      </c>
    </row>
    <row r="20">
      <c r="A20" s="17" t="inlineStr">
        <is>
          <t>Reading it: Harvard (CDS excludes Extension School),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8"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8"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8"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8"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8"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8"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8"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8"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8"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8"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8"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8"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8"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8"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8"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8"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8" t="n"/>
      <c r="D21" s="4" t="inlineStr">
        <is>
          <t>NOT EXTRACTED: the Harvard Financial Report PDFs could not be retrieved (finance.harvard.edu returns Akamai 'Access Denied' 403 to curl with a browser User-Agent, and WebFetch reports the host blocked by the network egress proxy). No number was taken from a search snippet or memory.</t>
        </is>
      </c>
      <c r="E21" s="4" t="inlineStr">
        <is>
          <t>FY25 Harvard University Financial Report (located, NOT retrieved: 403): https://finance.harvard.edu/sites/g/files/omnuum12671/files/2025-10/fy25-financial-report.pdf; FY25 Financial Overview from the VP for Finance and the Treasurer (located, NOT retrieved: 403): https://finance.harvard.edu/sites/g/files/omnuum12671/files/2025-10/fy25-financial-overview.pdf</t>
        </is>
      </c>
    </row>
    <row r="22">
      <c r="A22" s="9" t="inlineStr">
        <is>
          <t>Harvard</t>
        </is>
      </c>
      <c r="B22" s="9" t="inlineStr">
        <is>
          <t>Total operating expenses</t>
        </is>
      </c>
      <c r="C22" s="18" t="n"/>
      <c r="D22" s="4" t="inlineStr">
        <is>
          <t>NOT EXTRACTED: the Harvard Financial Report PDFs could not be retrieved (finance.harvard.edu returns Akamai 'Access Denied' 403 to curl with a browser User-Agent, and WebFetch reports the host blocked by the network egress proxy). No number was taken from a search snippet or memory.</t>
        </is>
      </c>
      <c r="E22" s="4" t="inlineStr">
        <is>
          <t>FY25 Harvard University Financial Report (located, NOT retrieved: 403): https://finance.harvard.edu/sites/g/files/omnuum12671/files/2025-10/fy25-financial-report.pdf; FY25 Financial Overview from the VP for Finance and the Treasurer (located, NOT retrieved: 403): https://finance.harvard.edu/sites/g/files/omnuum12671/files/2025-10/fy25-financial-overview.pdf</t>
        </is>
      </c>
    </row>
    <row r="23">
      <c r="A23" s="9" t="inlineStr">
        <is>
          <t>Harvard</t>
        </is>
      </c>
      <c r="B23" s="9" t="inlineStr">
        <is>
          <t>Depreciation</t>
        </is>
      </c>
      <c r="C23" s="18" t="n"/>
      <c r="D23" s="4" t="inlineStr">
        <is>
          <t>NOT EXTRACTED: the Harvard Financial Report PDFs could not be retrieved (finance.harvard.edu returns Akamai 'Access Denied' 403 to curl with a browser User-Agent, and WebFetch reports the host blocked by the network egress proxy). No number was taken from a search snippet or memory.</t>
        </is>
      </c>
      <c r="E23" s="4" t="inlineStr">
        <is>
          <t>FY25 Harvard University Financial Report (located, NOT retrieved: 403): https://finance.harvard.edu/sites/g/files/omnuum12671/files/2025-10/fy25-financial-report.pdf; FY25 Financial Overview from the VP for Finance and the Treasurer (located, NOT retrieved: 403): https://finance.harvard.edu/sites/g/files/omnuum12671/files/2025-10/fy25-financial-overview.pdf</t>
        </is>
      </c>
    </row>
    <row r="24">
      <c r="A24" s="9" t="inlineStr">
        <is>
          <t>Harvard</t>
        </is>
      </c>
      <c r="B24" s="9" t="inlineStr">
        <is>
          <t>Interest</t>
        </is>
      </c>
      <c r="C24" s="18" t="n"/>
      <c r="D24" s="4" t="inlineStr">
        <is>
          <t>NOT EXTRACTED: the Harvard Financial Report PDFs could not be retrieved (finance.harvard.edu returns Akamai 'Access Denied' 403 to curl with a browser User-Agent, and WebFetch reports the host blocked by the network egress proxy). No number was taken from a search snippet or memory.</t>
        </is>
      </c>
      <c r="E24" s="4" t="inlineStr">
        <is>
          <t>FY25 Harvard University Financial Report (located, NOT retrieved: 403): https://finance.harvard.edu/sites/g/files/omnuum12671/files/2025-10/fy25-financial-report.pdf; FY25 Financial Overview from the VP for Finance and the Treasurer (located, NOT retrieved: 403): https://finance.harvard.edu/sites/g/files/omnuum12671/files/2025-10/fy25-financial-overview.pdf</t>
        </is>
      </c>
    </row>
    <row r="25">
      <c r="A25" s="9" t="inlineStr">
        <is>
          <t>Yale</t>
        </is>
      </c>
      <c r="B25" s="9" t="inlineStr">
        <is>
          <t>Salaries and wages</t>
        </is>
      </c>
      <c r="C25" s="18"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8"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8"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8"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8"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8"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8"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8"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8"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8"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8"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8"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8"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8"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8"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8"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8"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8"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8"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8"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8"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8"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8"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8"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8"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8"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8"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8"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8"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8"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8"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8"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8"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8"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8"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8"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6"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6"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6"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6"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6"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6"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6"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6"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6"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6"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6"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6"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7"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 using their own Form 990 shares.</t>
        </is>
      </c>
      <c r="E17" s="27"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and Northwestern use Form 990 S&amp;W; Vanderbilt uses the MD&amp;A expense chart; Penn and Stanford are estimated (grey markers). Sensitivity in S3_Sensitivity C: using the median share of the three hospital-consolidated schools with audited splits (about 81%) instead of each school's own 990 share moves Penn by about +6% and Stanford by about +1%.</t>
        </is>
      </c>
      <c r="E18" s="26" t="inlineStr">
        <is>
          <t>Handled / caveat</t>
        </is>
      </c>
    </row>
    <row r="19">
      <c r="A19" s="4" t="n">
        <v>16</v>
      </c>
      <c r="B19" s="4" t="inlineStr">
        <is>
          <t>3</t>
        </is>
      </c>
      <c r="C19" s="4" t="inlineStr">
        <is>
          <t>Student counts</t>
        </is>
      </c>
      <c r="D19"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19" s="26" t="inlineStr">
        <is>
          <t>Handled / caveat</t>
        </is>
      </c>
    </row>
    <row r="20">
      <c r="A20" s="4" t="n">
        <v>17</v>
      </c>
      <c r="B20" s="4" t="inlineStr">
        <is>
          <t>3</t>
        </is>
      </c>
      <c r="C20" s="4" t="inlineStr">
        <is>
          <t>Northeastern student count is the key sensitivity</t>
        </is>
      </c>
      <c r="D20" s="4" t="inlineStr">
        <is>
          <t>CDS 39,774 -&gt; S&amp;W per student $26.3K; IPEDS-style 32,553 -&gt; $32.1K; Facts and Figures 48,812 -&gt; $21.4K. Northeastern is lowest in the peer set on all three (S3_Sensitivity A, B). Confirm the official count with University Decision Support.</t>
        </is>
      </c>
      <c r="E20" s="27" t="inlineStr">
        <is>
          <t>Open</t>
        </is>
      </c>
    </row>
    <row r="21">
      <c r="A21" s="4" t="n">
        <v>18</v>
      </c>
      <c r="B21" s="4" t="inlineStr">
        <is>
          <t>3</t>
        </is>
      </c>
      <c r="C21" s="4" t="inlineStr">
        <is>
          <t>Headcount vs FTE</t>
        </is>
      </c>
      <c r="D21" s="4" t="inlineStr">
        <is>
          <t>Northeastern and BU headcounts include large graduate, online and co-op populations (BU reports 29.6K FTE against 37.7K headcount), so S&amp;W per headcount student understates S&amp;W per FTE student for both.</t>
        </is>
      </c>
      <c r="E21" s="26" t="inlineStr">
        <is>
          <t>Caveat</t>
        </is>
      </c>
    </row>
    <row r="22">
      <c r="A22" s="4" t="n">
        <v>19</v>
      </c>
      <c r="B22" s="4" t="inlineStr">
        <is>
          <t>3</t>
        </is>
      </c>
      <c r="C22" s="4" t="inlineStr">
        <is>
          <t>Northeastern S&amp;W scope</t>
        </is>
      </c>
      <c r="D22" s="4" t="inlineStr">
        <is>
          <t>Form 990 (university) lines 5-10 are 96.8% of the audited combined line; S&amp;W may be understated by about 3% against the consolidated core expenses.</t>
        </is>
      </c>
      <c r="E22" s="26" t="inlineStr">
        <is>
          <t>Caveat</t>
        </is>
      </c>
    </row>
    <row r="23">
      <c r="A23" s="4" t="n">
        <v>20</v>
      </c>
      <c r="B23" s="4" t="inlineStr">
        <is>
          <t>3</t>
        </is>
      </c>
      <c r="C23" s="4" t="inlineStr">
        <is>
          <t>FY23 to FY24 comparability</t>
        </is>
      </c>
      <c r="D23"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3" s="26" t="inlineStr">
        <is>
          <t>Info</t>
        </is>
      </c>
    </row>
    <row r="24">
      <c r="A24" s="4" t="n">
        <v>21</v>
      </c>
      <c r="B24" s="4" t="inlineStr">
        <is>
          <t>3</t>
        </is>
      </c>
      <c r="C24" s="4" t="inlineStr">
        <is>
          <t>Entities inside the numbers</t>
        </is>
      </c>
      <c r="D24"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4" s="26" t="inlineStr">
        <is>
          <t>Handled</t>
        </is>
      </c>
    </row>
    <row r="25">
      <c r="A25" s="4" t="n">
        <v>22</v>
      </c>
      <c r="B25" s="4" t="inlineStr">
        <is>
          <t>3</t>
        </is>
      </c>
      <c r="C25" s="4" t="inlineStr">
        <is>
          <t>Arithmetic</t>
        </is>
      </c>
      <c r="D25"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5" s="26" t="inlineStr">
        <is>
          <t>Pass</t>
        </is>
      </c>
    </row>
    <row r="26">
      <c r="A26" s="4" t="n">
        <v>23</v>
      </c>
      <c r="B26" s="4" t="inlineStr">
        <is>
          <t>3</t>
        </is>
      </c>
      <c r="C26" s="4" t="inlineStr">
        <is>
          <t>Harvard</t>
        </is>
      </c>
      <c r="D26" s="4" t="inlineStr">
        <is>
          <t>The FY25 Financial Report could not be reached (finance.harvard.edu denies automated access). Harvard is not on the FY25 chart; CDS fall 2024 enrollment (21,189) is recorded.</t>
        </is>
      </c>
      <c r="E26" s="27" t="inlineStr">
        <is>
          <t>Open</t>
        </is>
      </c>
    </row>
    <row r="27">
      <c r="A27" s="4" t="n">
        <v>24</v>
      </c>
      <c r="B27" s="4" t="inlineStr">
        <is>
          <t>3</t>
        </is>
      </c>
      <c r="C27" s="4" t="inlineStr">
        <is>
          <t>Original chart construction</t>
        </is>
      </c>
      <c r="D27" s="4" t="inlineStr">
        <is>
          <t>The original plotted only the eight iso-lines; logos were hand-placed pictures, so positions did not come from data, and Stanford's x-value exceeded the axis maximum. Rebuilt with real data points.</t>
        </is>
      </c>
      <c r="E27" s="26"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Harvard FY25 Financial Report (and FY23 for calibration)</t>
        </is>
      </c>
      <c r="C4" s="4" t="inlineStr">
        <is>
          <t>finance.harvard.edu denies automated access; the PDFs are public.</t>
        </is>
      </c>
      <c r="D4" s="4" t="inlineStr">
        <is>
          <t>Download 'fy25 Harvard Financial Report' from finance.harvard.edu (Financial Reports) in a browser and upload; I will add Harvard to the chart.</t>
        </is>
      </c>
    </row>
    <row r="5">
      <c r="A5" s="4" t="inlineStr">
        <is>
          <t>3</t>
        </is>
      </c>
      <c r="B5" s="4" t="inlineStr">
        <is>
          <t>Northeastern official student count for FY25 analysis</t>
        </is>
      </c>
      <c r="C5" s="4" t="inlineStr">
        <is>
          <t>CDS 39,774 vs IPEDS-style 32,553 vs Facts and Figures 48,812 (S&amp;W per student $26K / $32K / $21K).</t>
        </is>
      </c>
      <c r="D5" s="4" t="inlineStr">
        <is>
          <t>Confirm with University Decision Support which count leadership uses; I will relabel.</t>
        </is>
      </c>
    </row>
    <row r="6">
      <c r="A6" s="4" t="inlineStr">
        <is>
          <t>3</t>
        </is>
      </c>
      <c r="B6" s="4" t="inlineStr">
        <is>
          <t>Penn and Stanford salaries and wages</t>
        </is>
      </c>
      <c r="C6" s="4" t="inlineStr">
        <is>
          <t>Audited statements combine salaries and benefits; Form 990s cover a narrower scope than the consolidated statements.</t>
        </is>
      </c>
      <c r="D6" s="4" t="inlineStr">
        <is>
          <t>If Penn / Stanford finance offices can supply consolidated S&amp;W, replace the grey estimates.</t>
        </is>
      </c>
    </row>
    <row r="7">
      <c r="A7" s="4" t="inlineStr">
        <is>
          <t>3</t>
        </is>
      </c>
      <c r="B7" s="4" t="inlineStr">
        <is>
          <t>Princeton Common Data Set 2024-25</t>
        </is>
      </c>
      <c r="C7" s="4" t="inlineStr">
        <is>
          <t>ir.princeton.edu is behind a bot challenge; the Treasurer's report count (9,050) is used.</t>
        </is>
      </c>
      <c r="D7" s="4" t="inlineStr">
        <is>
          <t>Optional: upload the CDS PDF.</t>
        </is>
      </c>
    </row>
    <row r="8">
      <c r="A8" s="4" t="inlineStr">
        <is>
          <t>3</t>
        </is>
      </c>
      <c r="B8" s="4" t="inlineStr">
        <is>
          <t>IPEDS fall 2024 enrollment and FY24 finance files</t>
        </is>
      </c>
      <c r="C8" s="4" t="inlineStr">
        <is>
          <t>Not yet posted on the IPEDS data center.</t>
        </is>
      </c>
      <c r="D8" s="4" t="inlineStr">
        <is>
          <t>Re-check when posted; IPEDS fall enrollment would give one government-standard definition.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2026-09-29T22:37:45Z</dcterms:created>
  <dcterms:modified xmlns:dcterms="http://purl.org/dc/terms/" xmlns:xsi="http://www.w3.org/2001/XMLSchema-instance" xsi:type="dcterms:W3CDTF">2026-09-29T22:37:46Z</dcterms:modified>
</cp:coreProperties>
</file>