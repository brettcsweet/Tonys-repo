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1_Scorecard" sheetId="2" state="visible" r:id="rId2"/>
    <sheet xmlns:r="http://schemas.openxmlformats.org/officeDocument/2006/relationships" name="S2_Survey" sheetId="3" state="visible" r:id="rId3"/>
    <sheet xmlns:r="http://schemas.openxmlformats.org/officeDocument/2006/relationships" name="S3_FY23" sheetId="4" state="visible" r:id="rId4"/>
    <sheet xmlns:r="http://schemas.openxmlformats.org/officeDocument/2006/relationships" name="Checks" sheetId="5" state="visible" r:id="rId5"/>
    <sheet xmlns:r="http://schemas.openxmlformats.org/officeDocument/2006/relationships" name="Data_needed" sheetId="6" state="visible" r:id="rId6"/>
  </sheets>
  <definedNames/>
  <calcPr calcId="124519" fullCalcOnLoad="1"/>
</workbook>
</file>

<file path=xl/styles.xml><?xml version="1.0" encoding="utf-8"?>
<styleSheet xmlns="http://schemas.openxmlformats.org/spreadsheetml/2006/main">
  <numFmts count="5">
    <numFmt numFmtId="164" formatCode="&quot;$&quot;#,##0"/>
    <numFmt numFmtId="165" formatCode="0.000"/>
    <numFmt numFmtId="166" formatCode="0.0"/>
    <numFmt numFmtId="167" formatCode="0.0%"/>
    <numFmt numFmtId="168" formatCode="0.0&quot;x&quot;"/>
  </numFmts>
  <fonts count="9">
    <font>
      <name val="Calibri"/>
      <family val="2"/>
      <color theme="1"/>
      <sz val="11"/>
      <scheme val="minor"/>
    </font>
    <font>
      <name val="Lato"/>
      <b val="1"/>
      <color rgb="00C8102E"/>
      <sz val="14"/>
    </font>
    <font>
      <name val="Lato"/>
      <color rgb="006B6B70"/>
      <sz val="9"/>
    </font>
    <font>
      <name val="Lato"/>
      <b val="1"/>
      <sz val="10"/>
    </font>
    <font>
      <name val="Lato"/>
      <sz val="10"/>
    </font>
    <font>
      <name val="Lato"/>
      <color rgb="00000000"/>
      <sz val="10"/>
    </font>
    <font>
      <name val="Lato"/>
      <b val="1"/>
      <color rgb="00000000"/>
      <sz val="10"/>
    </font>
    <font>
      <name val="Lato"/>
      <b val="1"/>
      <color rgb="00C8102E"/>
      <sz val="10"/>
    </font>
    <font>
      <name val="Lato"/>
      <color rgb="00C8102E"/>
      <sz val="10"/>
    </font>
  </fonts>
  <fills count="2">
    <fill>
      <patternFill/>
    </fill>
    <fill>
      <patternFill patternType="gray125"/>
    </fill>
  </fills>
  <borders count="2">
    <border>
      <left/>
      <right/>
      <top/>
      <bottom/>
      <diagonal/>
    </border>
    <border>
      <bottom style="thin">
        <color rgb="00000000"/>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3" fillId="0" borderId="1" applyAlignment="1" pivotButton="0" quotePrefix="0" xfId="0">
      <alignment vertical="bottom" wrapText="1"/>
    </xf>
    <xf numFmtId="0" fontId="3" fillId="0" borderId="1" pivotButton="0" quotePrefix="0" xfId="0"/>
    <xf numFmtId="0" fontId="0" fillId="0" borderId="1" pivotButton="0" quotePrefix="0" xfId="0"/>
    <xf numFmtId="0" fontId="5" fillId="0" borderId="0" pivotButton="0" quotePrefix="0" xfId="0"/>
    <xf numFmtId="164" fontId="5" fillId="0" borderId="0" pivotButton="0" quotePrefix="0" xfId="0"/>
    <xf numFmtId="0" fontId="4" fillId="0" borderId="0" pivotButton="0" quotePrefix="0" xfId="0"/>
    <xf numFmtId="1" fontId="3" fillId="0" borderId="0" pivotButton="0" quotePrefix="0" xfId="0"/>
    <xf numFmtId="0" fontId="6" fillId="0" borderId="0" pivotButton="0" quotePrefix="0" xfId="0"/>
    <xf numFmtId="164" fontId="6" fillId="0" borderId="0" pivotButton="0" quotePrefix="0" xfId="0"/>
    <xf numFmtId="165" fontId="3" fillId="0" borderId="0" pivotButton="0" quotePrefix="0" xfId="0"/>
    <xf numFmtId="164" fontId="3" fillId="0" borderId="0" pivotButton="0" quotePrefix="0" xfId="0"/>
    <xf numFmtId="0" fontId="7" fillId="0" borderId="0" pivotButton="0" quotePrefix="0" xfId="0"/>
    <xf numFmtId="164" fontId="7" fillId="0" borderId="0" pivotButton="0" quotePrefix="0" xfId="0"/>
    <xf numFmtId="9" fontId="4" fillId="0" borderId="0" pivotButton="0" quotePrefix="0" xfId="0"/>
    <xf numFmtId="1" fontId="4" fillId="0" borderId="0" pivotButton="0" quotePrefix="0" xfId="0"/>
    <xf numFmtId="0" fontId="8" fillId="0" borderId="0" pivotButton="0" quotePrefix="0" xfId="0"/>
    <xf numFmtId="9" fontId="3" fillId="0" borderId="0" pivotButton="0" quotePrefix="0" xfId="0"/>
    <xf numFmtId="166" fontId="3" fillId="0" borderId="0" pivotButton="0" quotePrefix="0" xfId="0"/>
    <xf numFmtId="3" fontId="4" fillId="0" borderId="0" pivotButton="0" quotePrefix="0" xfId="0"/>
    <xf numFmtId="164" fontId="4" fillId="0" borderId="0" pivotButton="0" quotePrefix="0" xfId="0"/>
    <xf numFmtId="167" fontId="4" fillId="0" borderId="0" pivotButton="0" quotePrefix="0" xfId="0"/>
    <xf numFmtId="2" fontId="4" fillId="0" borderId="0" pivotButton="0" quotePrefix="0" xfId="0"/>
    <xf numFmtId="166" fontId="4" fillId="0" borderId="0" pivotButton="0" quotePrefix="0" xfId="0"/>
    <xf numFmtId="167" fontId="3" fillId="0" borderId="0" pivotButton="0" quotePrefix="0" xfId="0"/>
    <xf numFmtId="168" fontId="3"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4" customWidth="1" min="1" max="1"/>
    <col width="120" customWidth="1" min="2" max="2"/>
  </cols>
  <sheetData>
    <row r="1">
      <c r="A1" s="1" t="inlineStr">
        <is>
          <t>Peer slides: backup data and checks</t>
        </is>
      </c>
    </row>
    <row r="2">
      <c r="A2" s="2" t="inlineStr">
        <is>
          <t>Interim build on the data inside the uploaded deck. Every derived number below is a live formula.</t>
        </is>
      </c>
    </row>
    <row r="4">
      <c r="A4" s="3" t="inlineStr">
        <is>
          <t>Status</t>
        </is>
      </c>
      <c r="B4" s="4" t="inlineStr">
        <is>
          <t>Slides are rebranded. Data has NOT yet been refreshed: the network policy of the working session blocks the sources (see Data_needed).</t>
        </is>
      </c>
    </row>
    <row r="5">
      <c r="A5" s="3" t="inlineStr">
        <is>
          <t>Slide 1</t>
        </is>
      </c>
      <c r="B5" s="4" t="inlineStr">
        <is>
          <t>S1_Scorecard: 1,557 institutions from the Oct 2023 College Scorecard release (as embedded in the original chart). Northeastern highlighted.</t>
        </is>
      </c>
    </row>
    <row r="6">
      <c r="A6" s="3" t="inlineStr">
        <is>
          <t>Slide 2</t>
        </is>
      </c>
      <c r="B6" s="4" t="inlineStr">
        <is>
          <t>S2_Survey: Inside Higher Ed business-officer survey values 2014-2024 as printed on the original slide. 2014 removed from the slide per request.</t>
        </is>
      </c>
    </row>
    <row r="7">
      <c r="A7" s="3" t="inlineStr">
        <is>
          <t>Slide 3</t>
        </is>
      </c>
      <c r="B7" s="4" t="inlineStr">
        <is>
          <t>S3_FY23: FY23 salaries and wages, core operating expenses and students as embedded in the original chart. Northeastern, BU, MIT not yet added.</t>
        </is>
      </c>
    </row>
    <row r="8">
      <c r="A8" s="3" t="inlineStr">
        <is>
          <t>Checks</t>
        </is>
      </c>
      <c r="B8" s="4" t="inlineStr">
        <is>
          <t>Checks: every test run on the original numbers, with result. Findings are items to resolve in the refresh.</t>
        </is>
      </c>
    </row>
    <row r="9">
      <c r="A9" s="3" t="inlineStr">
        <is>
          <t>Data_needed</t>
        </is>
      </c>
      <c r="B9" s="4" t="inlineStr">
        <is>
          <t>Exact files and hosts required to finish the update.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61"/>
  <sheetViews>
    <sheetView workbookViewId="0">
      <pane ySplit="4" topLeftCell="A5" activePane="bottomLeft" state="frozen"/>
      <selection pane="bottomLeft" activeCell="A1" sqref="A1"/>
    </sheetView>
  </sheetViews>
  <sheetFormatPr baseColWidth="8" defaultRowHeight="15"/>
  <cols>
    <col width="46" customWidth="1" min="1" max="1"/>
    <col width="20" customWidth="1" min="2" max="2"/>
    <col width="7" customWidth="1" min="3" max="3"/>
    <col width="9" customWidth="1" min="4" max="4"/>
    <col width="16" customWidth="1" min="5" max="5"/>
    <col width="22" customWidth="1" min="6" max="6"/>
    <col width="10" customWidth="1" min="7" max="7"/>
    <col width="18" customWidth="1" min="8" max="8"/>
    <col width="14" customWidth="1" min="9" max="9"/>
    <col width="14" customWidth="1" min="10" max="10"/>
    <col width="40" customWidth="1" min="12" max="12"/>
    <col width="14" customWidth="1" min="13" max="13"/>
  </cols>
  <sheetData>
    <row r="1">
      <c r="A1" s="1" t="inlineStr">
        <is>
          <t>Slide 1: net price vs median earnings 10 years after entry (College Scorecard, Oct 2023 release)</t>
        </is>
      </c>
    </row>
    <row r="4">
      <c r="A4" s="5" t="inlineStr">
        <is>
          <t>Institution</t>
        </is>
      </c>
      <c r="B4" s="5" t="inlineStr">
        <is>
          <t>City</t>
        </is>
      </c>
      <c r="C4" s="5" t="inlineStr">
        <is>
          <t>State</t>
        </is>
      </c>
      <c r="D4" s="5" t="inlineStr">
        <is>
          <t>Control</t>
        </is>
      </c>
      <c r="E4" s="5" t="inlineStr">
        <is>
          <t>Avg annual net price (NPT4)</t>
        </is>
      </c>
      <c r="F4" s="5" t="inlineStr">
        <is>
          <t>Median earnings, 10th yr after entry (MD_EARN_WNE_P10)</t>
        </is>
      </c>
      <c r="G4" s="5" t="inlineStr">
        <is>
          <t>Rank by earnings</t>
        </is>
      </c>
      <c r="H4" s="5" t="inlineStr">
        <is>
          <t>Highlight</t>
        </is>
      </c>
      <c r="I4" s="5" t="inlineStr">
        <is>
          <t>Private net price</t>
        </is>
      </c>
      <c r="J4" s="5" t="inlineStr">
        <is>
          <t>Private earnings</t>
        </is>
      </c>
      <c r="L4" s="6" t="inlineStr">
        <is>
          <t>Summary (formulas)</t>
        </is>
      </c>
      <c r="M4" s="7" t="n"/>
    </row>
    <row r="5">
      <c r="A5" s="8" t="inlineStr">
        <is>
          <t>Harvey Mudd College</t>
        </is>
      </c>
      <c r="B5" s="8" t="inlineStr">
        <is>
          <t>Claremont</t>
        </is>
      </c>
      <c r="C5" s="8" t="inlineStr">
        <is>
          <t>CA</t>
        </is>
      </c>
      <c r="D5" s="8" t="inlineStr">
        <is>
          <t>Private</t>
        </is>
      </c>
      <c r="E5" s="9" t="n">
        <v>30026</v>
      </c>
      <c r="F5" s="9" t="n">
        <v>128215</v>
      </c>
      <c r="G5" s="8">
        <f>RANK(F5,$F$5:$F$1561)</f>
        <v/>
      </c>
      <c r="H5" s="8" t="inlineStr"/>
      <c r="I5" s="9">
        <f>IF(D5="Private",E5,"")</f>
        <v/>
      </c>
      <c r="J5" s="9">
        <f>IF(D5="Private",F5,"")</f>
        <v/>
      </c>
      <c r="L5" s="10" t="inlineStr">
        <is>
          <t>Institutions</t>
        </is>
      </c>
      <c r="M5" s="11">
        <f>COUNTA(A5:A1561)</f>
        <v/>
      </c>
    </row>
    <row r="6">
      <c r="A6" s="12" t="inlineStr">
        <is>
          <t>Massachusetts Institute of Technology</t>
        </is>
      </c>
      <c r="B6" s="12" t="inlineStr">
        <is>
          <t>Cambridge</t>
        </is>
      </c>
      <c r="C6" s="12" t="inlineStr">
        <is>
          <t>MA</t>
        </is>
      </c>
      <c r="D6" s="12" t="inlineStr">
        <is>
          <t>Private</t>
        </is>
      </c>
      <c r="E6" s="13" t="n">
        <v>5084</v>
      </c>
      <c r="F6" s="13" t="n">
        <v>124213</v>
      </c>
      <c r="G6" s="12">
        <f>RANK(F6,$F$5:$F$1561)</f>
        <v/>
      </c>
      <c r="H6" s="12" t="inlineStr">
        <is>
          <t>MIT</t>
        </is>
      </c>
      <c r="I6" s="13">
        <f>IF(D6="Private",E6,"")</f>
        <v/>
      </c>
      <c r="J6" s="13">
        <f>IF(D6="Private",F6,"")</f>
        <v/>
      </c>
      <c r="L6" s="10" t="inlineStr">
        <is>
          <t xml:space="preserve">  Public</t>
        </is>
      </c>
      <c r="M6" s="11">
        <f>COUNTIF(D5:D1561,"Public")</f>
        <v/>
      </c>
    </row>
    <row r="7">
      <c r="A7" s="8" t="inlineStr">
        <is>
          <t>University of Pennsylvania</t>
        </is>
      </c>
      <c r="B7" s="8" t="inlineStr">
        <is>
          <t>Philadelphia</t>
        </is>
      </c>
      <c r="C7" s="8" t="inlineStr">
        <is>
          <t>PA</t>
        </is>
      </c>
      <c r="D7" s="8" t="inlineStr">
        <is>
          <t>Private</t>
        </is>
      </c>
      <c r="E7" s="9" t="n">
        <v>14851</v>
      </c>
      <c r="F7" s="9" t="n">
        <v>112761</v>
      </c>
      <c r="G7" s="8">
        <f>RANK(F7,$F$5:$F$1561)</f>
        <v/>
      </c>
      <c r="H7" s="8" t="inlineStr"/>
      <c r="I7" s="9">
        <f>IF(D7="Private",E7,"")</f>
        <v/>
      </c>
      <c r="J7" s="9">
        <f>IF(D7="Private",F7,"")</f>
        <v/>
      </c>
      <c r="L7" s="10" t="inlineStr">
        <is>
          <t xml:space="preserve">  Private</t>
        </is>
      </c>
      <c r="M7" s="11">
        <f>COUNTIF(D5:D1561,"Private")</f>
        <v/>
      </c>
    </row>
    <row r="8">
      <c r="A8" s="8" t="inlineStr">
        <is>
          <t>Bentley University</t>
        </is>
      </c>
      <c r="B8" s="8" t="inlineStr">
        <is>
          <t>Waltham</t>
        </is>
      </c>
      <c r="C8" s="8" t="inlineStr">
        <is>
          <t>MA</t>
        </is>
      </c>
      <c r="D8" s="8" t="inlineStr">
        <is>
          <t>Private</t>
        </is>
      </c>
      <c r="E8" s="9" t="n">
        <v>39437</v>
      </c>
      <c r="F8" s="9" t="n">
        <v>111896</v>
      </c>
      <c r="G8" s="8">
        <f>RANK(F8,$F$5:$F$1561)</f>
        <v/>
      </c>
      <c r="H8" s="8" t="inlineStr"/>
      <c r="I8" s="9">
        <f>IF(D8="Private",E8,"")</f>
        <v/>
      </c>
      <c r="J8" s="9">
        <f>IF(D8="Private",F8,"")</f>
        <v/>
      </c>
      <c r="L8" s="10" t="inlineStr">
        <is>
          <t>Vanderbilt rank (slide title says 53)</t>
        </is>
      </c>
      <c r="M8" s="11">
        <f>INDEX(G5:G1561,MATCH("Vanderbilt University",A5:A1561,0))</f>
        <v/>
      </c>
    </row>
    <row r="9">
      <c r="A9" s="8" t="inlineStr">
        <is>
          <t>Carnegie Mellon University</t>
        </is>
      </c>
      <c r="B9" s="8" t="inlineStr">
        <is>
          <t>Pittsburgh</t>
        </is>
      </c>
      <c r="C9" s="8" t="inlineStr">
        <is>
          <t>PA</t>
        </is>
      </c>
      <c r="D9" s="8" t="inlineStr">
        <is>
          <t>Private</t>
        </is>
      </c>
      <c r="E9" s="9" t="n">
        <v>37846</v>
      </c>
      <c r="F9" s="9" t="n">
        <v>111064</v>
      </c>
      <c r="G9" s="8">
        <f>RANK(F9,$F$5:$F$1561)</f>
        <v/>
      </c>
      <c r="H9" s="8" t="inlineStr"/>
      <c r="I9" s="9">
        <f>IF(D9="Private",E9,"")</f>
        <v/>
      </c>
      <c r="J9" s="9">
        <f>IF(D9="Private",F9,"")</f>
        <v/>
      </c>
      <c r="L9" s="10" t="inlineStr">
        <is>
          <t>Northeastern rank</t>
        </is>
      </c>
      <c r="M9" s="11">
        <f>INDEX(G5:G1561,MATCH("Northeastern University",A5:A1561,0))</f>
        <v/>
      </c>
    </row>
    <row r="10">
      <c r="A10" s="8" t="inlineStr">
        <is>
          <t>Princeton University</t>
        </is>
      </c>
      <c r="B10" s="8" t="inlineStr">
        <is>
          <t>Princeton</t>
        </is>
      </c>
      <c r="C10" s="8" t="inlineStr">
        <is>
          <t>NJ</t>
        </is>
      </c>
      <c r="D10" s="8" t="inlineStr">
        <is>
          <t>Private</t>
        </is>
      </c>
      <c r="E10" s="9" t="n">
        <v>11080</v>
      </c>
      <c r="F10" s="9" t="n">
        <v>110433</v>
      </c>
      <c r="G10" s="8">
        <f>RANK(F10,$F$5:$F$1561)</f>
        <v/>
      </c>
      <c r="H10" s="8" t="inlineStr"/>
      <c r="I10" s="9">
        <f>IF(D10="Private",E10,"")</f>
        <v/>
      </c>
      <c r="J10" s="9">
        <f>IF(D10="Private",F10,"")</f>
        <v/>
      </c>
      <c r="L10" s="10" t="inlineStr">
        <is>
          <t>Boston University rank</t>
        </is>
      </c>
      <c r="M10" s="11">
        <f>INDEX(G5:G1561,MATCH("Boston University",A5:A1561,0))</f>
        <v/>
      </c>
    </row>
    <row r="11">
      <c r="A11" s="8" t="inlineStr">
        <is>
          <t>Stanford University</t>
        </is>
      </c>
      <c r="B11" s="8" t="inlineStr">
        <is>
          <t>Stanford</t>
        </is>
      </c>
      <c r="C11" s="8" t="inlineStr">
        <is>
          <t>CA</t>
        </is>
      </c>
      <c r="D11" s="8" t="inlineStr">
        <is>
          <t>Private</t>
        </is>
      </c>
      <c r="E11" s="9" t="n">
        <v>7200</v>
      </c>
      <c r="F11" s="9" t="n">
        <v>106987</v>
      </c>
      <c r="G11" s="8">
        <f>RANK(F11,$F$5:$F$1561)</f>
        <v/>
      </c>
      <c r="H11" s="8" t="inlineStr"/>
      <c r="I11" s="9">
        <f>IF(D11="Private",E11,"")</f>
        <v/>
      </c>
      <c r="J11" s="9">
        <f>IF(D11="Private",F11,"")</f>
        <v/>
      </c>
      <c r="L11" s="10" t="inlineStr">
        <is>
          <t>MIT rank</t>
        </is>
      </c>
      <c r="M11" s="11">
        <f>INDEX(G5:G1561,MATCH("Massachusetts Institute of Technology",A5:A1561,0))</f>
        <v/>
      </c>
    </row>
    <row r="12">
      <c r="A12" s="8" t="inlineStr">
        <is>
          <t>Stevens Institute of Technology</t>
        </is>
      </c>
      <c r="B12" s="8" t="inlineStr">
        <is>
          <t>Hoboken</t>
        </is>
      </c>
      <c r="C12" s="8" t="inlineStr">
        <is>
          <t>NJ</t>
        </is>
      </c>
      <c r="D12" s="8" t="inlineStr">
        <is>
          <t>Private</t>
        </is>
      </c>
      <c r="E12" s="9" t="n">
        <v>36674</v>
      </c>
      <c r="F12" s="9" t="n">
        <v>104918</v>
      </c>
      <c r="G12" s="8">
        <f>RANK(F12,$F$5:$F$1561)</f>
        <v/>
      </c>
      <c r="H12" s="8" t="inlineStr"/>
      <c r="I12" s="9">
        <f>IF(D12="Private",E12,"")</f>
        <v/>
      </c>
      <c r="J12" s="9">
        <f>IF(D12="Private",F12,"")</f>
        <v/>
      </c>
      <c r="L12" s="10" t="inlineStr">
        <is>
          <t>Private trendline slope</t>
        </is>
      </c>
      <c r="M12" s="14">
        <f>SLOPE(J5:J1561,I5:I1561)</f>
        <v/>
      </c>
    </row>
    <row r="13">
      <c r="A13" s="8" t="inlineStr">
        <is>
          <t>University of the Sciences</t>
        </is>
      </c>
      <c r="B13" s="8" t="inlineStr">
        <is>
          <t>Philadelphia</t>
        </is>
      </c>
      <c r="C13" s="8" t="inlineStr">
        <is>
          <t>PA</t>
        </is>
      </c>
      <c r="D13" s="8" t="inlineStr">
        <is>
          <t>Private</t>
        </is>
      </c>
      <c r="E13" s="9" t="n">
        <v>34773</v>
      </c>
      <c r="F13" s="9" t="n">
        <v>104361</v>
      </c>
      <c r="G13" s="8">
        <f>RANK(F13,$F$5:$F$1561)</f>
        <v/>
      </c>
      <c r="H13" s="8" t="inlineStr"/>
      <c r="I13" s="9">
        <f>IF(D13="Private",E13,"")</f>
        <v/>
      </c>
      <c r="J13" s="9">
        <f>IF(D13="Private",F13,"")</f>
        <v/>
      </c>
      <c r="L13" s="10" t="inlineStr">
        <is>
          <t>Private trendline intercept</t>
        </is>
      </c>
      <c r="M13" s="15">
        <f>INTERCEPT(J5:J1561,I5:I1561)</f>
        <v/>
      </c>
    </row>
    <row r="14">
      <c r="A14" s="8" t="inlineStr">
        <is>
          <t>California Institute of Technology</t>
        </is>
      </c>
      <c r="B14" s="8" t="inlineStr">
        <is>
          <t>Pasadena</t>
        </is>
      </c>
      <c r="C14" s="8" t="inlineStr">
        <is>
          <t>CA</t>
        </is>
      </c>
      <c r="D14" s="8" t="inlineStr">
        <is>
          <t>Private</t>
        </is>
      </c>
      <c r="E14" s="9" t="n">
        <v>29279</v>
      </c>
      <c r="F14" s="9" t="n">
        <v>104209</v>
      </c>
      <c r="G14" s="8">
        <f>RANK(F14,$F$5:$F$1561)</f>
        <v/>
      </c>
      <c r="H14" s="8" t="inlineStr"/>
      <c r="I14" s="9">
        <f>IF(D14="Private",E14,"")</f>
        <v/>
      </c>
      <c r="J14" s="9">
        <f>IF(D14="Private",F14,"")</f>
        <v/>
      </c>
      <c r="L14" s="10" t="inlineStr">
        <is>
          <t>Private trendline r</t>
        </is>
      </c>
      <c r="M14" s="14">
        <f>CORREL(I5:I1561,J5:J1561)</f>
        <v/>
      </c>
    </row>
    <row r="15">
      <c r="A15" s="8" t="inlineStr">
        <is>
          <t>Georgetown University</t>
        </is>
      </c>
      <c r="B15" s="8" t="inlineStr">
        <is>
          <t>Washington</t>
        </is>
      </c>
      <c r="C15" s="8" t="inlineStr">
        <is>
          <t>DC</t>
        </is>
      </c>
      <c r="D15" s="8" t="inlineStr">
        <is>
          <t>Private</t>
        </is>
      </c>
      <c r="E15" s="9" t="n">
        <v>24570</v>
      </c>
      <c r="F15" s="9" t="n">
        <v>101797</v>
      </c>
      <c r="G15" s="8">
        <f>RANK(F15,$F$5:$F$1561)</f>
        <v/>
      </c>
      <c r="H15" s="8" t="inlineStr"/>
      <c r="I15" s="9">
        <f>IF(D15="Private",E15,"")</f>
        <v/>
      </c>
      <c r="J15" s="9">
        <f>IF(D15="Private",F15,"")</f>
        <v/>
      </c>
      <c r="L15" s="10" t="inlineStr">
        <is>
          <t>Private trendline R-squared</t>
        </is>
      </c>
      <c r="M15" s="14">
        <f>RSQ(J5:J1561,I5:I1561)</f>
        <v/>
      </c>
    </row>
    <row r="16">
      <c r="A16" s="8" t="inlineStr">
        <is>
          <t>Lehigh University</t>
        </is>
      </c>
      <c r="B16" s="8" t="inlineStr">
        <is>
          <t>Bethlehem</t>
        </is>
      </c>
      <c r="C16" s="8" t="inlineStr">
        <is>
          <t>PA</t>
        </is>
      </c>
      <c r="D16" s="8" t="inlineStr">
        <is>
          <t>Private</t>
        </is>
      </c>
      <c r="E16" s="9" t="n">
        <v>32698</v>
      </c>
      <c r="F16" s="9" t="n">
        <v>100559</v>
      </c>
      <c r="G16" s="8">
        <f>RANK(F16,$F$5:$F$1561)</f>
        <v/>
      </c>
      <c r="H16" s="8" t="inlineStr"/>
      <c r="I16" s="9">
        <f>IF(D16="Private",E16,"")</f>
        <v/>
      </c>
      <c r="J16" s="9">
        <f>IF(D16="Private",F16,"")</f>
        <v/>
      </c>
      <c r="L16" s="10" t="inlineStr">
        <is>
          <t>Northeastern earnings</t>
        </is>
      </c>
      <c r="M16" s="15">
        <f>INDEX(F5:F1561,MATCH("Northeastern University",A5:A1561,0))</f>
        <v/>
      </c>
    </row>
    <row r="17">
      <c r="A17" s="8" t="inlineStr">
        <is>
          <t>Worcester Polytechnic Institute</t>
        </is>
      </c>
      <c r="B17" s="8" t="inlineStr">
        <is>
          <t>Worcester</t>
        </is>
      </c>
      <c r="C17" s="8" t="inlineStr">
        <is>
          <t>MA</t>
        </is>
      </c>
      <c r="D17" s="8" t="inlineStr">
        <is>
          <t>Private</t>
        </is>
      </c>
      <c r="E17" s="9" t="n">
        <v>45005</v>
      </c>
      <c r="F17" s="9" t="n">
        <v>100193</v>
      </c>
      <c r="G17" s="8">
        <f>RANK(F17,$F$5:$F$1561)</f>
        <v/>
      </c>
      <c r="H17" s="8" t="inlineStr"/>
      <c r="I17" s="9">
        <f>IF(D17="Private",E17,"")</f>
        <v/>
      </c>
      <c r="J17" s="9">
        <f>IF(D17="Private",F17,"")</f>
        <v/>
      </c>
      <c r="L17" s="10" t="inlineStr">
        <is>
          <t>Northeastern net price</t>
        </is>
      </c>
      <c r="M17" s="15">
        <f>INDEX(E5:E1561,MATCH("Northeastern University",A5:A1561,0))</f>
        <v/>
      </c>
    </row>
    <row r="18">
      <c r="A18" s="8" t="inlineStr">
        <is>
          <t>Rensselaer Polytechnic Institute</t>
        </is>
      </c>
      <c r="B18" s="8" t="inlineStr">
        <is>
          <t>Troy</t>
        </is>
      </c>
      <c r="C18" s="8" t="inlineStr">
        <is>
          <t>NY</t>
        </is>
      </c>
      <c r="D18" s="8" t="inlineStr">
        <is>
          <t>Private</t>
        </is>
      </c>
      <c r="E18" s="9" t="n">
        <v>31456</v>
      </c>
      <c r="F18" s="9" t="n">
        <v>100141</v>
      </c>
      <c r="G18" s="8">
        <f>RANK(F18,$F$5:$F$1561)</f>
        <v/>
      </c>
      <c r="H18" s="8" t="inlineStr"/>
      <c r="I18" s="9">
        <f>IF(D18="Private",E18,"")</f>
        <v/>
      </c>
      <c r="J18" s="9">
        <f>IF(D18="Private",F18,"")</f>
        <v/>
      </c>
      <c r="L18" s="10" t="inlineStr">
        <is>
          <t>Northeastern vs private trendline ($)</t>
        </is>
      </c>
      <c r="M18" s="15">
        <f>M16-(M13+M12*M17)</f>
        <v/>
      </c>
    </row>
    <row r="19">
      <c r="A19" s="8" t="inlineStr">
        <is>
          <t>Massachusetts Maritime Academy</t>
        </is>
      </c>
      <c r="B19" s="8" t="inlineStr">
        <is>
          <t>Buzzards Bay</t>
        </is>
      </c>
      <c r="C19" s="8" t="inlineStr">
        <is>
          <t>MA</t>
        </is>
      </c>
      <c r="D19" s="8" t="inlineStr">
        <is>
          <t>Public</t>
        </is>
      </c>
      <c r="E19" s="9" t="n">
        <v>21604</v>
      </c>
      <c r="F19" s="9" t="n">
        <v>99713</v>
      </c>
      <c r="G19" s="8">
        <f>RANK(F19,$F$5:$F$1561)</f>
        <v/>
      </c>
      <c r="H19" s="8" t="inlineStr"/>
      <c r="I19" s="9">
        <f>IF(D19="Private",E19,"")</f>
        <v/>
      </c>
      <c r="J19" s="9">
        <f>IF(D19="Private",F19,"")</f>
        <v/>
      </c>
    </row>
    <row r="20">
      <c r="A20" s="8" t="inlineStr">
        <is>
          <t>Santa Clara University</t>
        </is>
      </c>
      <c r="B20" s="8" t="inlineStr">
        <is>
          <t>Santa Clara</t>
        </is>
      </c>
      <c r="C20" s="8" t="inlineStr">
        <is>
          <t>CA</t>
        </is>
      </c>
      <c r="D20" s="8" t="inlineStr">
        <is>
          <t>Private</t>
        </is>
      </c>
      <c r="E20" s="9" t="n">
        <v>43228</v>
      </c>
      <c r="F20" s="9" t="n">
        <v>99012</v>
      </c>
      <c r="G20" s="8">
        <f>RANK(F20,$F$5:$F$1561)</f>
        <v/>
      </c>
      <c r="H20" s="8" t="inlineStr"/>
      <c r="I20" s="9">
        <f>IF(D20="Private",E20,"")</f>
        <v/>
      </c>
      <c r="J20" s="9">
        <f>IF(D20="Private",F20,"")</f>
        <v/>
      </c>
    </row>
    <row r="21">
      <c r="A21" s="8" t="inlineStr">
        <is>
          <t>Cornell University</t>
        </is>
      </c>
      <c r="B21" s="8" t="inlineStr">
        <is>
          <t>Ithaca</t>
        </is>
      </c>
      <c r="C21" s="8" t="inlineStr">
        <is>
          <t>NY</t>
        </is>
      </c>
      <c r="D21" s="8" t="inlineStr">
        <is>
          <t>Private</t>
        </is>
      </c>
      <c r="E21" s="9" t="n">
        <v>29011</v>
      </c>
      <c r="F21" s="9" t="n">
        <v>98321</v>
      </c>
      <c r="G21" s="8">
        <f>RANK(F21,$F$5:$F$1561)</f>
        <v/>
      </c>
      <c r="H21" s="8" t="inlineStr"/>
      <c r="I21" s="9">
        <f>IF(D21="Private",E21,"")</f>
        <v/>
      </c>
      <c r="J21" s="9">
        <f>IF(D21="Private",F21,"")</f>
        <v/>
      </c>
    </row>
    <row r="22">
      <c r="A22" s="8" t="inlineStr">
        <is>
          <t>Columbia University in the City of New York</t>
        </is>
      </c>
      <c r="B22" s="8" t="inlineStr">
        <is>
          <t>New York</t>
        </is>
      </c>
      <c r="C22" s="8" t="inlineStr">
        <is>
          <t>NY</t>
        </is>
      </c>
      <c r="D22" s="8" t="inlineStr">
        <is>
          <t>Private</t>
        </is>
      </c>
      <c r="E22" s="9" t="n">
        <v>12836</v>
      </c>
      <c r="F22" s="9" t="n">
        <v>97540</v>
      </c>
      <c r="G22" s="8">
        <f>RANK(F22,$F$5:$F$1561)</f>
        <v/>
      </c>
      <c r="H22" s="8" t="inlineStr"/>
      <c r="I22" s="9">
        <f>IF(D22="Private",E22,"")</f>
        <v/>
      </c>
      <c r="J22" s="9">
        <f>IF(D22="Private",F22,"")</f>
        <v/>
      </c>
    </row>
    <row r="23">
      <c r="A23" s="8" t="inlineStr">
        <is>
          <t>Duke University</t>
        </is>
      </c>
      <c r="B23" s="8" t="inlineStr">
        <is>
          <t>Durham</t>
        </is>
      </c>
      <c r="C23" s="8" t="inlineStr">
        <is>
          <t>NC</t>
        </is>
      </c>
      <c r="D23" s="8" t="inlineStr">
        <is>
          <t>Private</t>
        </is>
      </c>
      <c r="E23" s="9" t="n">
        <v>31416</v>
      </c>
      <c r="F23" s="9" t="n">
        <v>97418</v>
      </c>
      <c r="G23" s="8">
        <f>RANK(F23,$F$5:$F$1561)</f>
        <v/>
      </c>
      <c r="H23" s="8" t="inlineStr"/>
      <c r="I23" s="9">
        <f>IF(D23="Private",E23,"")</f>
        <v/>
      </c>
      <c r="J23" s="9">
        <f>IF(D23="Private",F23,"")</f>
        <v/>
      </c>
    </row>
    <row r="24">
      <c r="A24" s="8" t="inlineStr">
        <is>
          <t>Claremont McKenna College</t>
        </is>
      </c>
      <c r="B24" s="8" t="inlineStr">
        <is>
          <t>Claremont</t>
        </is>
      </c>
      <c r="C24" s="8" t="inlineStr">
        <is>
          <t>CA</t>
        </is>
      </c>
      <c r="D24" s="8" t="inlineStr">
        <is>
          <t>Private</t>
        </is>
      </c>
      <c r="E24" s="9" t="n">
        <v>20114</v>
      </c>
      <c r="F24" s="9" t="n">
        <v>97174</v>
      </c>
      <c r="G24" s="8">
        <f>RANK(F24,$F$5:$F$1561)</f>
        <v/>
      </c>
      <c r="H24" s="8" t="inlineStr"/>
      <c r="I24" s="9">
        <f>IF(D24="Private",E24,"")</f>
        <v/>
      </c>
      <c r="J24" s="9">
        <f>IF(D24="Private",F24,"")</f>
        <v/>
      </c>
    </row>
    <row r="25">
      <c r="A25" s="8" t="inlineStr">
        <is>
          <t>Georgia Institute of Technology-Main Campus</t>
        </is>
      </c>
      <c r="B25" s="8" t="inlineStr">
        <is>
          <t>Atlanta</t>
        </is>
      </c>
      <c r="C25" s="8" t="inlineStr">
        <is>
          <t>GA</t>
        </is>
      </c>
      <c r="D25" s="8" t="inlineStr">
        <is>
          <t>Public</t>
        </is>
      </c>
      <c r="E25" s="9" t="n">
        <v>14820</v>
      </c>
      <c r="F25" s="9" t="n">
        <v>96375</v>
      </c>
      <c r="G25" s="8">
        <f>RANK(F25,$F$5:$F$1561)</f>
        <v/>
      </c>
      <c r="H25" s="8" t="inlineStr"/>
      <c r="I25" s="9">
        <f>IF(D25="Private",E25,"")</f>
        <v/>
      </c>
      <c r="J25" s="9">
        <f>IF(D25="Private",F25,"")</f>
        <v/>
      </c>
    </row>
    <row r="26">
      <c r="A26" s="8" t="inlineStr">
        <is>
          <t>Boston College</t>
        </is>
      </c>
      <c r="B26" s="8" t="inlineStr">
        <is>
          <t>Chestnut Hill</t>
        </is>
      </c>
      <c r="C26" s="8" t="inlineStr">
        <is>
          <t>MA</t>
        </is>
      </c>
      <c r="D26" s="8" t="inlineStr">
        <is>
          <t>Private</t>
        </is>
      </c>
      <c r="E26" s="9" t="n">
        <v>38412</v>
      </c>
      <c r="F26" s="9" t="n">
        <v>96325</v>
      </c>
      <c r="G26" s="8">
        <f>RANK(F26,$F$5:$F$1561)</f>
        <v/>
      </c>
      <c r="H26" s="8" t="inlineStr"/>
      <c r="I26" s="9">
        <f>IF(D26="Private",E26,"")</f>
        <v/>
      </c>
      <c r="J26" s="9">
        <f>IF(D26="Private",F26,"")</f>
        <v/>
      </c>
    </row>
    <row r="27">
      <c r="A27" s="8" t="inlineStr">
        <is>
          <t>Villanova University</t>
        </is>
      </c>
      <c r="B27" s="8" t="inlineStr">
        <is>
          <t>Villanova</t>
        </is>
      </c>
      <c r="C27" s="8" t="inlineStr">
        <is>
          <t>PA</t>
        </is>
      </c>
      <c r="D27" s="8" t="inlineStr">
        <is>
          <t>Private</t>
        </is>
      </c>
      <c r="E27" s="9" t="n">
        <v>34784</v>
      </c>
      <c r="F27" s="9" t="n">
        <v>96129</v>
      </c>
      <c r="G27" s="8">
        <f>RANK(F27,$F$5:$F$1561)</f>
        <v/>
      </c>
      <c r="H27" s="8" t="inlineStr"/>
      <c r="I27" s="9">
        <f>IF(D27="Private",E27,"")</f>
        <v/>
      </c>
      <c r="J27" s="9">
        <f>IF(D27="Private",F27,"")</f>
        <v/>
      </c>
    </row>
    <row r="28">
      <c r="A28" s="8" t="inlineStr">
        <is>
          <t>Yale University</t>
        </is>
      </c>
      <c r="B28" s="8" t="inlineStr">
        <is>
          <t>New Haven</t>
        </is>
      </c>
      <c r="C28" s="8" t="inlineStr">
        <is>
          <t>CT</t>
        </is>
      </c>
      <c r="D28" s="8" t="inlineStr">
        <is>
          <t>Private</t>
        </is>
      </c>
      <c r="E28" s="9" t="n">
        <v>16341</v>
      </c>
      <c r="F28" s="9" t="n">
        <v>95961</v>
      </c>
      <c r="G28" s="8">
        <f>RANK(F28,$F$5:$F$1561)</f>
        <v/>
      </c>
      <c r="H28" s="8" t="inlineStr"/>
      <c r="I28" s="9">
        <f>IF(D28="Private",E28,"")</f>
        <v/>
      </c>
      <c r="J28" s="9">
        <f>IF(D28="Private",F28,"")</f>
        <v/>
      </c>
    </row>
    <row r="29">
      <c r="A29" s="8" t="inlineStr">
        <is>
          <t>Colorado School of Mines</t>
        </is>
      </c>
      <c r="B29" s="8" t="inlineStr">
        <is>
          <t>Golden</t>
        </is>
      </c>
      <c r="C29" s="8" t="inlineStr">
        <is>
          <t>CO</t>
        </is>
      </c>
      <c r="D29" s="8" t="inlineStr">
        <is>
          <t>Public</t>
        </is>
      </c>
      <c r="E29" s="9" t="n">
        <v>25211</v>
      </c>
      <c r="F29" s="9" t="n">
        <v>95887</v>
      </c>
      <c r="G29" s="8">
        <f>RANK(F29,$F$5:$F$1561)</f>
        <v/>
      </c>
      <c r="H29" s="8" t="inlineStr"/>
      <c r="I29" s="9">
        <f>IF(D29="Private",E29,"")</f>
        <v/>
      </c>
      <c r="J29" s="9">
        <f>IF(D29="Private",F29,"")</f>
        <v/>
      </c>
    </row>
    <row r="30">
      <c r="A30" s="8" t="inlineStr">
        <is>
          <t>Dartmouth College</t>
        </is>
      </c>
      <c r="B30" s="8" t="inlineStr">
        <is>
          <t>Hanover</t>
        </is>
      </c>
      <c r="C30" s="8" t="inlineStr">
        <is>
          <t>NH</t>
        </is>
      </c>
      <c r="D30" s="8" t="inlineStr">
        <is>
          <t>Private</t>
        </is>
      </c>
      <c r="E30" s="9" t="n">
        <v>33023</v>
      </c>
      <c r="F30" s="9" t="n">
        <v>95540</v>
      </c>
      <c r="G30" s="8">
        <f>RANK(F30,$F$5:$F$1561)</f>
        <v/>
      </c>
      <c r="H30" s="8" t="inlineStr"/>
      <c r="I30" s="9">
        <f>IF(D30="Private",E30,"")</f>
        <v/>
      </c>
      <c r="J30" s="9">
        <f>IF(D30="Private",F30,"")</f>
        <v/>
      </c>
    </row>
    <row r="31">
      <c r="A31" s="8" t="inlineStr">
        <is>
          <t>Fairfield University</t>
        </is>
      </c>
      <c r="B31" s="8" t="inlineStr">
        <is>
          <t>Fairfield</t>
        </is>
      </c>
      <c r="C31" s="8" t="inlineStr">
        <is>
          <t>CT</t>
        </is>
      </c>
      <c r="D31" s="8" t="inlineStr">
        <is>
          <t>Private</t>
        </is>
      </c>
      <c r="E31" s="9" t="n">
        <v>43569</v>
      </c>
      <c r="F31" s="9" t="n">
        <v>95393</v>
      </c>
      <c r="G31" s="8">
        <f>RANK(F31,$F$5:$F$1561)</f>
        <v/>
      </c>
      <c r="H31" s="8" t="inlineStr"/>
      <c r="I31" s="9">
        <f>IF(D31="Private",E31,"")</f>
        <v/>
      </c>
      <c r="J31" s="9">
        <f>IF(D31="Private",F31,"")</f>
        <v/>
      </c>
    </row>
    <row r="32">
      <c r="A32" s="8" t="inlineStr">
        <is>
          <t>Harvard University</t>
        </is>
      </c>
      <c r="B32" s="8" t="inlineStr">
        <is>
          <t>Cambridge</t>
        </is>
      </c>
      <c r="C32" s="8" t="inlineStr">
        <is>
          <t>MA</t>
        </is>
      </c>
      <c r="D32" s="8" t="inlineStr">
        <is>
          <t>Private</t>
        </is>
      </c>
      <c r="E32" s="9" t="n">
        <v>13259</v>
      </c>
      <c r="F32" s="9" t="n">
        <v>95114</v>
      </c>
      <c r="G32" s="8">
        <f>RANK(F32,$F$5:$F$1561)</f>
        <v/>
      </c>
      <c r="H32" s="8" t="inlineStr"/>
      <c r="I32" s="9">
        <f>IF(D32="Private",E32,"")</f>
        <v/>
      </c>
      <c r="J32" s="9">
        <f>IF(D32="Private",F32,"")</f>
        <v/>
      </c>
    </row>
    <row r="33">
      <c r="A33" s="8" t="inlineStr">
        <is>
          <t>Kettering University</t>
        </is>
      </c>
      <c r="B33" s="8" t="inlineStr">
        <is>
          <t>Flint</t>
        </is>
      </c>
      <c r="C33" s="8" t="inlineStr">
        <is>
          <t>MI</t>
        </is>
      </c>
      <c r="D33" s="8" t="inlineStr">
        <is>
          <t>Private</t>
        </is>
      </c>
      <c r="E33" s="9" t="n">
        <v>34314</v>
      </c>
      <c r="F33" s="9" t="n">
        <v>94491</v>
      </c>
      <c r="G33" s="8">
        <f>RANK(F33,$F$5:$F$1561)</f>
        <v/>
      </c>
      <c r="H33" s="8" t="inlineStr"/>
      <c r="I33" s="9">
        <f>IF(D33="Private",E33,"")</f>
        <v/>
      </c>
      <c r="J33" s="9">
        <f>IF(D33="Private",F33,"")</f>
        <v/>
      </c>
    </row>
    <row r="34">
      <c r="A34" s="8" t="inlineStr">
        <is>
          <t>Lafayette College</t>
        </is>
      </c>
      <c r="B34" s="8" t="inlineStr">
        <is>
          <t>Easton</t>
        </is>
      </c>
      <c r="C34" s="8" t="inlineStr">
        <is>
          <t>PA</t>
        </is>
      </c>
      <c r="D34" s="8" t="inlineStr">
        <is>
          <t>Private</t>
        </is>
      </c>
      <c r="E34" s="9" t="n">
        <v>41937</v>
      </c>
      <c r="F34" s="9" t="n">
        <v>94200</v>
      </c>
      <c r="G34" s="8">
        <f>RANK(F34,$F$5:$F$1561)</f>
        <v/>
      </c>
      <c r="H34" s="8" t="inlineStr"/>
      <c r="I34" s="9">
        <f>IF(D34="Private",E34,"")</f>
        <v/>
      </c>
      <c r="J34" s="9">
        <f>IF(D34="Private",F34,"")</f>
        <v/>
      </c>
    </row>
    <row r="35">
      <c r="A35" s="8" t="inlineStr">
        <is>
          <t>University of Notre Dame</t>
        </is>
      </c>
      <c r="B35" s="8" t="inlineStr">
        <is>
          <t>Notre Dame</t>
        </is>
      </c>
      <c r="C35" s="8" t="inlineStr">
        <is>
          <t>IN</t>
        </is>
      </c>
      <c r="D35" s="8" t="inlineStr">
        <is>
          <t>Private</t>
        </is>
      </c>
      <c r="E35" s="9" t="n">
        <v>32369</v>
      </c>
      <c r="F35" s="9" t="n">
        <v>93220</v>
      </c>
      <c r="G35" s="8">
        <f>RANK(F35,$F$5:$F$1561)</f>
        <v/>
      </c>
      <c r="H35" s="8" t="inlineStr"/>
      <c r="I35" s="9">
        <f>IF(D35="Private",E35,"")</f>
        <v/>
      </c>
      <c r="J35" s="9">
        <f>IF(D35="Private",F35,"")</f>
        <v/>
      </c>
    </row>
    <row r="36">
      <c r="A36" s="8" t="inlineStr">
        <is>
          <t>California State University Maritime Academy</t>
        </is>
      </c>
      <c r="B36" s="8" t="inlineStr">
        <is>
          <t>Vallejo</t>
        </is>
      </c>
      <c r="C36" s="8" t="inlineStr">
        <is>
          <t>CA</t>
        </is>
      </c>
      <c r="D36" s="8" t="inlineStr">
        <is>
          <t>Public</t>
        </is>
      </c>
      <c r="E36" s="9" t="n">
        <v>18133</v>
      </c>
      <c r="F36" s="9" t="n">
        <v>91812</v>
      </c>
      <c r="G36" s="8">
        <f>RANK(F36,$F$5:$F$1561)</f>
        <v/>
      </c>
      <c r="H36" s="8" t="inlineStr"/>
      <c r="I36" s="9">
        <f>IF(D36="Private",E36,"")</f>
        <v/>
      </c>
      <c r="J36" s="9">
        <f>IF(D36="Private",F36,"")</f>
        <v/>
      </c>
    </row>
    <row r="37">
      <c r="A37" s="8" t="inlineStr">
        <is>
          <t>Washington University in St Louis</t>
        </is>
      </c>
      <c r="B37" s="8" t="inlineStr">
        <is>
          <t>Saint Louis</t>
        </is>
      </c>
      <c r="C37" s="8" t="inlineStr">
        <is>
          <t>MO</t>
        </is>
      </c>
      <c r="D37" s="8" t="inlineStr">
        <is>
          <t>Private</t>
        </is>
      </c>
      <c r="E37" s="9" t="n">
        <v>27595</v>
      </c>
      <c r="F37" s="9" t="n">
        <v>90646</v>
      </c>
      <c r="G37" s="8">
        <f>RANK(F37,$F$5:$F$1561)</f>
        <v/>
      </c>
      <c r="H37" s="8" t="inlineStr"/>
      <c r="I37" s="9">
        <f>IF(D37="Private",E37,"")</f>
        <v/>
      </c>
      <c r="J37" s="9">
        <f>IF(D37="Private",F37,"")</f>
        <v/>
      </c>
    </row>
    <row r="38">
      <c r="A38" s="8" t="inlineStr">
        <is>
          <t>University of Southern California</t>
        </is>
      </c>
      <c r="B38" s="8" t="inlineStr">
        <is>
          <t>Los Angeles</t>
        </is>
      </c>
      <c r="C38" s="8" t="inlineStr">
        <is>
          <t>CA</t>
        </is>
      </c>
      <c r="D38" s="8" t="inlineStr">
        <is>
          <t>Private</t>
        </is>
      </c>
      <c r="E38" s="9" t="n">
        <v>25972</v>
      </c>
      <c r="F38" s="9" t="n">
        <v>89884</v>
      </c>
      <c r="G38" s="8">
        <f>RANK(F38,$F$5:$F$1561)</f>
        <v/>
      </c>
      <c r="H38" s="8" t="inlineStr"/>
      <c r="I38" s="9">
        <f>IF(D38="Private",E38,"")</f>
        <v/>
      </c>
      <c r="J38" s="9">
        <f>IF(D38="Private",F38,"")</f>
        <v/>
      </c>
    </row>
    <row r="39">
      <c r="A39" s="8" t="inlineStr">
        <is>
          <t>Manhattan College</t>
        </is>
      </c>
      <c r="B39" s="8" t="inlineStr">
        <is>
          <t>Riverdale</t>
        </is>
      </c>
      <c r="C39" s="8" t="inlineStr">
        <is>
          <t>NY</t>
        </is>
      </c>
      <c r="D39" s="8" t="inlineStr">
        <is>
          <t>Private</t>
        </is>
      </c>
      <c r="E39" s="9" t="n">
        <v>25427</v>
      </c>
      <c r="F39" s="9" t="n">
        <v>89589</v>
      </c>
      <c r="G39" s="8">
        <f>RANK(F39,$F$5:$F$1561)</f>
        <v/>
      </c>
      <c r="H39" s="8" t="inlineStr"/>
      <c r="I39" s="9">
        <f>IF(D39="Private",E39,"")</f>
        <v/>
      </c>
      <c r="J39" s="9">
        <f>IF(D39="Private",F39,"")</f>
        <v/>
      </c>
    </row>
    <row r="40">
      <c r="A40" s="8" t="inlineStr">
        <is>
          <t>Johns Hopkins University</t>
        </is>
      </c>
      <c r="B40" s="8" t="inlineStr">
        <is>
          <t>Baltimore</t>
        </is>
      </c>
      <c r="C40" s="8" t="inlineStr">
        <is>
          <t>MD</t>
        </is>
      </c>
      <c r="D40" s="8" t="inlineStr">
        <is>
          <t>Private</t>
        </is>
      </c>
      <c r="E40" s="9" t="n">
        <v>14254</v>
      </c>
      <c r="F40" s="9" t="n">
        <v>89551</v>
      </c>
      <c r="G40" s="8">
        <f>RANK(F40,$F$5:$F$1561)</f>
        <v/>
      </c>
      <c r="H40" s="8" t="inlineStr"/>
      <c r="I40" s="9">
        <f>IF(D40="Private",E40,"")</f>
        <v/>
      </c>
      <c r="J40" s="9">
        <f>IF(D40="Private",F40,"")</f>
        <v/>
      </c>
    </row>
    <row r="41">
      <c r="A41" s="8" t="inlineStr">
        <is>
          <t>Bryant University</t>
        </is>
      </c>
      <c r="B41" s="8" t="inlineStr">
        <is>
          <t>Smithfield</t>
        </is>
      </c>
      <c r="C41" s="8" t="inlineStr">
        <is>
          <t>RI</t>
        </is>
      </c>
      <c r="D41" s="8" t="inlineStr">
        <is>
          <t>Private</t>
        </is>
      </c>
      <c r="E41" s="9" t="n">
        <v>40426</v>
      </c>
      <c r="F41" s="9" t="n">
        <v>89490</v>
      </c>
      <c r="G41" s="8">
        <f>RANK(F41,$F$5:$F$1561)</f>
        <v/>
      </c>
      <c r="H41" s="8" t="inlineStr"/>
      <c r="I41" s="9">
        <f>IF(D41="Private",E41,"")</f>
        <v/>
      </c>
      <c r="J41" s="9">
        <f>IF(D41="Private",F41,"")</f>
        <v/>
      </c>
    </row>
    <row r="42">
      <c r="A42" s="16" t="inlineStr">
        <is>
          <t>Northeastern University</t>
        </is>
      </c>
      <c r="B42" s="16" t="inlineStr">
        <is>
          <t>Boston</t>
        </is>
      </c>
      <c r="C42" s="16" t="inlineStr">
        <is>
          <t>MA</t>
        </is>
      </c>
      <c r="D42" s="16" t="inlineStr">
        <is>
          <t>Private</t>
        </is>
      </c>
      <c r="E42" s="17" t="n">
        <v>34255</v>
      </c>
      <c r="F42" s="17" t="n">
        <v>88842</v>
      </c>
      <c r="G42" s="16">
        <f>RANK(F42,$F$5:$F$1561)</f>
        <v/>
      </c>
      <c r="H42" s="16" t="inlineStr">
        <is>
          <t>Northeastern</t>
        </is>
      </c>
      <c r="I42" s="17">
        <f>IF(D42="Private",E42,"")</f>
        <v/>
      </c>
      <c r="J42" s="17">
        <f>IF(D42="Private",F42,"")</f>
        <v/>
      </c>
    </row>
    <row r="43">
      <c r="A43" s="8" t="inlineStr">
        <is>
          <t>University of California-Berkeley</t>
        </is>
      </c>
      <c r="B43" s="8" t="inlineStr">
        <is>
          <t>Berkeley</t>
        </is>
      </c>
      <c r="C43" s="8" t="inlineStr">
        <is>
          <t>CA</t>
        </is>
      </c>
      <c r="D43" s="8" t="inlineStr">
        <is>
          <t>Public</t>
        </is>
      </c>
      <c r="E43" s="9" t="n">
        <v>15240</v>
      </c>
      <c r="F43" s="9" t="n">
        <v>88046</v>
      </c>
      <c r="G43" s="8">
        <f>RANK(F43,$F$5:$F$1561)</f>
        <v/>
      </c>
      <c r="H43" s="8" t="inlineStr"/>
      <c r="I43" s="9">
        <f>IF(D43="Private",E43,"")</f>
        <v/>
      </c>
      <c r="J43" s="9">
        <f>IF(D43="Private",F43,"")</f>
        <v/>
      </c>
    </row>
    <row r="44">
      <c r="A44" s="8" t="inlineStr">
        <is>
          <t>Brown University</t>
        </is>
      </c>
      <c r="B44" s="8" t="inlineStr">
        <is>
          <t>Providence</t>
        </is>
      </c>
      <c r="C44" s="8" t="inlineStr">
        <is>
          <t>RI</t>
        </is>
      </c>
      <c r="D44" s="8" t="inlineStr">
        <is>
          <t>Private</t>
        </is>
      </c>
      <c r="E44" s="9" t="n">
        <v>26308</v>
      </c>
      <c r="F44" s="9" t="n">
        <v>87811</v>
      </c>
      <c r="G44" s="8">
        <f>RANK(F44,$F$5:$F$1561)</f>
        <v/>
      </c>
      <c r="H44" s="8" t="inlineStr"/>
      <c r="I44" s="9">
        <f>IF(D44="Private",E44,"")</f>
        <v/>
      </c>
      <c r="J44" s="9">
        <f>IF(D44="Private",F44,"")</f>
        <v/>
      </c>
    </row>
    <row r="45">
      <c r="A45" s="8" t="inlineStr">
        <is>
          <t>George Washington University</t>
        </is>
      </c>
      <c r="B45" s="8" t="inlineStr">
        <is>
          <t>Washington</t>
        </is>
      </c>
      <c r="C45" s="8" t="inlineStr">
        <is>
          <t>DC</t>
        </is>
      </c>
      <c r="D45" s="8" t="inlineStr">
        <is>
          <t>Private</t>
        </is>
      </c>
      <c r="E45" s="9" t="n">
        <v>26272</v>
      </c>
      <c r="F45" s="9" t="n">
        <v>87548</v>
      </c>
      <c r="G45" s="8">
        <f>RANK(F45,$F$5:$F$1561)</f>
        <v/>
      </c>
      <c r="H45" s="8" t="inlineStr"/>
      <c r="I45" s="9">
        <f>IF(D45="Private",E45,"")</f>
        <v/>
      </c>
      <c r="J45" s="9">
        <f>IF(D45="Private",F45,"")</f>
        <v/>
      </c>
    </row>
    <row r="46">
      <c r="A46" s="8" t="inlineStr">
        <is>
          <t>SUNY Maritime College</t>
        </is>
      </c>
      <c r="B46" s="8" t="inlineStr">
        <is>
          <t>Throggs Neck</t>
        </is>
      </c>
      <c r="C46" s="8" t="inlineStr">
        <is>
          <t>NY</t>
        </is>
      </c>
      <c r="D46" s="8" t="inlineStr">
        <is>
          <t>Public</t>
        </is>
      </c>
      <c r="E46" s="9" t="n">
        <v>21828</v>
      </c>
      <c r="F46" s="9" t="n">
        <v>87534</v>
      </c>
      <c r="G46" s="8">
        <f>RANK(F46,$F$5:$F$1561)</f>
        <v/>
      </c>
      <c r="H46" s="8" t="inlineStr"/>
      <c r="I46" s="9">
        <f>IF(D46="Private",E46,"")</f>
        <v/>
      </c>
      <c r="J46" s="9">
        <f>IF(D46="Private",F46,"")</f>
        <v/>
      </c>
    </row>
    <row r="47">
      <c r="A47" s="8" t="inlineStr">
        <is>
          <t>Rice University</t>
        </is>
      </c>
      <c r="B47" s="8" t="inlineStr">
        <is>
          <t>Houston</t>
        </is>
      </c>
      <c r="C47" s="8" t="inlineStr">
        <is>
          <t>TX</t>
        </is>
      </c>
      <c r="D47" s="8" t="inlineStr">
        <is>
          <t>Private</t>
        </is>
      </c>
      <c r="E47" s="9" t="n">
        <v>17805</v>
      </c>
      <c r="F47" s="9" t="n">
        <v>87254</v>
      </c>
      <c r="G47" s="8">
        <f>RANK(F47,$F$5:$F$1561)</f>
        <v/>
      </c>
      <c r="H47" s="8" t="inlineStr"/>
      <c r="I47" s="9">
        <f>IF(D47="Private",E47,"")</f>
        <v/>
      </c>
      <c r="J47" s="9">
        <f>IF(D47="Private",F47,"")</f>
        <v/>
      </c>
    </row>
    <row r="48">
      <c r="A48" s="8" t="inlineStr">
        <is>
          <t>Colgate University</t>
        </is>
      </c>
      <c r="B48" s="8" t="inlineStr">
        <is>
          <t>Hamilton</t>
        </is>
      </c>
      <c r="C48" s="8" t="inlineStr">
        <is>
          <t>NY</t>
        </is>
      </c>
      <c r="D48" s="8" t="inlineStr">
        <is>
          <t>Private</t>
        </is>
      </c>
      <c r="E48" s="9" t="n">
        <v>24489</v>
      </c>
      <c r="F48" s="9" t="n">
        <v>86737</v>
      </c>
      <c r="G48" s="8">
        <f>RANK(F48,$F$5:$F$1561)</f>
        <v/>
      </c>
      <c r="H48" s="8" t="inlineStr"/>
      <c r="I48" s="9">
        <f>IF(D48="Private",E48,"")</f>
        <v/>
      </c>
      <c r="J48" s="9">
        <f>IF(D48="Private",F48,"")</f>
        <v/>
      </c>
    </row>
    <row r="49">
      <c r="A49" s="8" t="inlineStr">
        <is>
          <t>Bucknell University</t>
        </is>
      </c>
      <c r="B49" s="8" t="inlineStr">
        <is>
          <t>Lewisburg</t>
        </is>
      </c>
      <c r="C49" s="8" t="inlineStr">
        <is>
          <t>PA</t>
        </is>
      </c>
      <c r="D49" s="8" t="inlineStr">
        <is>
          <t>Private</t>
        </is>
      </c>
      <c r="E49" s="9" t="n">
        <v>39403</v>
      </c>
      <c r="F49" s="9" t="n">
        <v>86631</v>
      </c>
      <c r="G49" s="8">
        <f>RANK(F49,$F$5:$F$1561)</f>
        <v/>
      </c>
      <c r="H49" s="8" t="inlineStr"/>
      <c r="I49" s="9">
        <f>IF(D49="Private",E49,"")</f>
        <v/>
      </c>
      <c r="J49" s="9">
        <f>IF(D49="Private",F49,"")</f>
        <v/>
      </c>
    </row>
    <row r="50">
      <c r="A50" s="8" t="inlineStr">
        <is>
          <t>Clarkson University</t>
        </is>
      </c>
      <c r="B50" s="8" t="inlineStr">
        <is>
          <t>Potsdam</t>
        </is>
      </c>
      <c r="C50" s="8" t="inlineStr">
        <is>
          <t>NY</t>
        </is>
      </c>
      <c r="D50" s="8" t="inlineStr">
        <is>
          <t>Private</t>
        </is>
      </c>
      <c r="E50" s="9" t="n">
        <v>31339</v>
      </c>
      <c r="F50" s="9" t="n">
        <v>86334</v>
      </c>
      <c r="G50" s="8">
        <f>RANK(F50,$F$5:$F$1561)</f>
        <v/>
      </c>
      <c r="H50" s="8" t="inlineStr"/>
      <c r="I50" s="9">
        <f>IF(D50="Private",E50,"")</f>
        <v/>
      </c>
      <c r="J50" s="9">
        <f>IF(D50="Private",F50,"")</f>
        <v/>
      </c>
    </row>
    <row r="51">
      <c r="A51" s="8" t="inlineStr">
        <is>
          <t>California Polytechnic State University-San Luis Obispo</t>
        </is>
      </c>
      <c r="B51" s="8" t="inlineStr">
        <is>
          <t>San Luis Obispo</t>
        </is>
      </c>
      <c r="C51" s="8" t="inlineStr">
        <is>
          <t>CA</t>
        </is>
      </c>
      <c r="D51" s="8" t="inlineStr">
        <is>
          <t>Public</t>
        </is>
      </c>
      <c r="E51" s="9" t="n">
        <v>20633</v>
      </c>
      <c r="F51" s="9" t="n">
        <v>85801</v>
      </c>
      <c r="G51" s="8">
        <f>RANK(F51,$F$5:$F$1561)</f>
        <v/>
      </c>
      <c r="H51" s="8" t="inlineStr"/>
      <c r="I51" s="9">
        <f>IF(D51="Private",E51,"")</f>
        <v/>
      </c>
      <c r="J51" s="9">
        <f>IF(D51="Private",F51,"")</f>
        <v/>
      </c>
    </row>
    <row r="52">
      <c r="A52" s="8" t="inlineStr">
        <is>
          <t>Northwestern University</t>
        </is>
      </c>
      <c r="B52" s="8" t="inlineStr">
        <is>
          <t>Evanston</t>
        </is>
      </c>
      <c r="C52" s="8" t="inlineStr">
        <is>
          <t>IL</t>
        </is>
      </c>
      <c r="D52" s="8" t="inlineStr">
        <is>
          <t>Private</t>
        </is>
      </c>
      <c r="E52" s="9" t="n">
        <v>28230</v>
      </c>
      <c r="F52" s="9" t="n">
        <v>85796</v>
      </c>
      <c r="G52" s="8">
        <f>RANK(F52,$F$5:$F$1561)</f>
        <v/>
      </c>
      <c r="H52" s="8" t="inlineStr"/>
      <c r="I52" s="9">
        <f>IF(D52="Private",E52,"")</f>
        <v/>
      </c>
      <c r="J52" s="9">
        <f>IF(D52="Private",F52,"")</f>
        <v/>
      </c>
    </row>
    <row r="53">
      <c r="A53" s="8" t="inlineStr">
        <is>
          <t>Maine Maritime Academy</t>
        </is>
      </c>
      <c r="B53" s="8" t="inlineStr">
        <is>
          <t>Castine</t>
        </is>
      </c>
      <c r="C53" s="8" t="inlineStr">
        <is>
          <t>ME</t>
        </is>
      </c>
      <c r="D53" s="8" t="inlineStr">
        <is>
          <t>Public</t>
        </is>
      </c>
      <c r="E53" s="9" t="n">
        <v>23778</v>
      </c>
      <c r="F53" s="9" t="n">
        <v>85452</v>
      </c>
      <c r="G53" s="8">
        <f>RANK(F53,$F$5:$F$1561)</f>
        <v/>
      </c>
      <c r="H53" s="8" t="inlineStr"/>
      <c r="I53" s="9">
        <f>IF(D53="Private",E53,"")</f>
        <v/>
      </c>
      <c r="J53" s="9">
        <f>IF(D53="Private",F53,"")</f>
        <v/>
      </c>
    </row>
    <row r="54">
      <c r="A54" s="8" t="inlineStr">
        <is>
          <t>Milwaukee School of Engineering</t>
        </is>
      </c>
      <c r="B54" s="8" t="inlineStr">
        <is>
          <t>Milwaukee</t>
        </is>
      </c>
      <c r="C54" s="8" t="inlineStr">
        <is>
          <t>WI</t>
        </is>
      </c>
      <c r="D54" s="8" t="inlineStr">
        <is>
          <t>Private</t>
        </is>
      </c>
      <c r="E54" s="9" t="n">
        <v>24510</v>
      </c>
      <c r="F54" s="9" t="n">
        <v>84860</v>
      </c>
      <c r="G54" s="8">
        <f>RANK(F54,$F$5:$F$1561)</f>
        <v/>
      </c>
      <c r="H54" s="8" t="inlineStr"/>
      <c r="I54" s="9">
        <f>IF(D54="Private",E54,"")</f>
        <v/>
      </c>
      <c r="J54" s="9">
        <f>IF(D54="Private",F54,"")</f>
        <v/>
      </c>
    </row>
    <row r="55">
      <c r="A55" s="8" t="inlineStr">
        <is>
          <t>New Jersey Institute of Technology</t>
        </is>
      </c>
      <c r="B55" s="8" t="inlineStr">
        <is>
          <t>Newark</t>
        </is>
      </c>
      <c r="C55" s="8" t="inlineStr">
        <is>
          <t>NJ</t>
        </is>
      </c>
      <c r="D55" s="8" t="inlineStr">
        <is>
          <t>Public</t>
        </is>
      </c>
      <c r="E55" s="9" t="n">
        <v>17093</v>
      </c>
      <c r="F55" s="9" t="n">
        <v>84495</v>
      </c>
      <c r="G55" s="8">
        <f>RANK(F55,$F$5:$F$1561)</f>
        <v/>
      </c>
      <c r="H55" s="8" t="inlineStr"/>
      <c r="I55" s="9">
        <f>IF(D55="Private",E55,"")</f>
        <v/>
      </c>
      <c r="J55" s="9">
        <f>IF(D55="Private",F55,"")</f>
        <v/>
      </c>
    </row>
    <row r="56">
      <c r="A56" s="8" t="inlineStr">
        <is>
          <t>Colby College</t>
        </is>
      </c>
      <c r="B56" s="8" t="inlineStr">
        <is>
          <t>Waterville</t>
        </is>
      </c>
      <c r="C56" s="8" t="inlineStr">
        <is>
          <t>ME</t>
        </is>
      </c>
      <c r="D56" s="8" t="inlineStr">
        <is>
          <t>Private</t>
        </is>
      </c>
      <c r="E56" s="9" t="n">
        <v>17739</v>
      </c>
      <c r="F56" s="9" t="n">
        <v>84482</v>
      </c>
      <c r="G56" s="8">
        <f>RANK(F56,$F$5:$F$1561)</f>
        <v/>
      </c>
      <c r="H56" s="8" t="inlineStr"/>
      <c r="I56" s="9">
        <f>IF(D56="Private",E56,"")</f>
        <v/>
      </c>
      <c r="J56" s="9">
        <f>IF(D56="Private",F56,"")</f>
        <v/>
      </c>
    </row>
    <row r="57">
      <c r="A57" s="12" t="inlineStr">
        <is>
          <t>Vanderbilt University</t>
        </is>
      </c>
      <c r="B57" s="12" t="inlineStr">
        <is>
          <t>Nashville</t>
        </is>
      </c>
      <c r="C57" s="12" t="inlineStr">
        <is>
          <t>TN</t>
        </is>
      </c>
      <c r="D57" s="12" t="inlineStr">
        <is>
          <t>Private</t>
        </is>
      </c>
      <c r="E57" s="13" t="n">
        <v>22204</v>
      </c>
      <c r="F57" s="13" t="n">
        <v>84415</v>
      </c>
      <c r="G57" s="12">
        <f>RANK(F57,$F$5:$F$1561)</f>
        <v/>
      </c>
      <c r="H57" s="12" t="inlineStr">
        <is>
          <t>Vanderbilt</t>
        </is>
      </c>
      <c r="I57" s="13">
        <f>IF(D57="Private",E57,"")</f>
        <v/>
      </c>
      <c r="J57" s="13">
        <f>IF(D57="Private",F57,"")</f>
        <v/>
      </c>
    </row>
    <row r="58">
      <c r="A58" s="8" t="inlineStr">
        <is>
          <t>Washington and Lee University</t>
        </is>
      </c>
      <c r="B58" s="8" t="inlineStr">
        <is>
          <t>Lexington</t>
        </is>
      </c>
      <c r="C58" s="8" t="inlineStr">
        <is>
          <t>VA</t>
        </is>
      </c>
      <c r="D58" s="8" t="inlineStr">
        <is>
          <t>Private</t>
        </is>
      </c>
      <c r="E58" s="9" t="n">
        <v>27417</v>
      </c>
      <c r="F58" s="9" t="n">
        <v>84232</v>
      </c>
      <c r="G58" s="8">
        <f>RANK(F58,$F$5:$F$1561)</f>
        <v/>
      </c>
      <c r="H58" s="8" t="inlineStr"/>
      <c r="I58" s="9">
        <f>IF(D58="Private",E58,"")</f>
        <v/>
      </c>
      <c r="J58" s="9">
        <f>IF(D58="Private",F58,"")</f>
        <v/>
      </c>
    </row>
    <row r="59">
      <c r="A59" s="8" t="inlineStr">
        <is>
          <t>University of San Francisco</t>
        </is>
      </c>
      <c r="B59" s="8" t="inlineStr">
        <is>
          <t>San Francisco</t>
        </is>
      </c>
      <c r="C59" s="8" t="inlineStr">
        <is>
          <t>CA</t>
        </is>
      </c>
      <c r="D59" s="8" t="inlineStr">
        <is>
          <t>Private</t>
        </is>
      </c>
      <c r="E59" s="9" t="n">
        <v>37768</v>
      </c>
      <c r="F59" s="9" t="n">
        <v>83794</v>
      </c>
      <c r="G59" s="8">
        <f>RANK(F59,$F$5:$F$1561)</f>
        <v/>
      </c>
      <c r="H59" s="8" t="inlineStr"/>
      <c r="I59" s="9">
        <f>IF(D59="Private",E59,"")</f>
        <v/>
      </c>
      <c r="J59" s="9">
        <f>IF(D59="Private",F59,"")</f>
        <v/>
      </c>
    </row>
    <row r="60">
      <c r="A60" s="8" t="inlineStr">
        <is>
          <t>College of the Holy Cross</t>
        </is>
      </c>
      <c r="B60" s="8" t="inlineStr">
        <is>
          <t>Worcester</t>
        </is>
      </c>
      <c r="C60" s="8" t="inlineStr">
        <is>
          <t>MA</t>
        </is>
      </c>
      <c r="D60" s="8" t="inlineStr">
        <is>
          <t>Private</t>
        </is>
      </c>
      <c r="E60" s="9" t="n">
        <v>32990</v>
      </c>
      <c r="F60" s="9" t="n">
        <v>83583</v>
      </c>
      <c r="G60" s="8">
        <f>RANK(F60,$F$5:$F$1561)</f>
        <v/>
      </c>
      <c r="H60" s="8" t="inlineStr"/>
      <c r="I60" s="9">
        <f>IF(D60="Private",E60,"")</f>
        <v/>
      </c>
      <c r="J60" s="9">
        <f>IF(D60="Private",F60,"")</f>
        <v/>
      </c>
    </row>
    <row r="61">
      <c r="A61" s="8" t="inlineStr">
        <is>
          <t>United States Merchant Marine Academy</t>
        </is>
      </c>
      <c r="B61" s="8" t="inlineStr">
        <is>
          <t>Kings Point</t>
        </is>
      </c>
      <c r="C61" s="8" t="inlineStr">
        <is>
          <t>NY</t>
        </is>
      </c>
      <c r="D61" s="8" t="inlineStr">
        <is>
          <t>Public</t>
        </is>
      </c>
      <c r="E61" s="9" t="n">
        <v>6627</v>
      </c>
      <c r="F61" s="9" t="n">
        <v>83499</v>
      </c>
      <c r="G61" s="8">
        <f>RANK(F61,$F$5:$F$1561)</f>
        <v/>
      </c>
      <c r="H61" s="8" t="inlineStr"/>
      <c r="I61" s="9">
        <f>IF(D61="Private",E61,"")</f>
        <v/>
      </c>
      <c r="J61" s="9">
        <f>IF(D61="Private",F61,"")</f>
        <v/>
      </c>
    </row>
    <row r="62">
      <c r="A62" s="8" t="inlineStr">
        <is>
          <t>Illinois Institute of Technology</t>
        </is>
      </c>
      <c r="B62" s="8" t="inlineStr">
        <is>
          <t>Chicago</t>
        </is>
      </c>
      <c r="C62" s="8" t="inlineStr">
        <is>
          <t>IL</t>
        </is>
      </c>
      <c r="D62" s="8" t="inlineStr">
        <is>
          <t>Private</t>
        </is>
      </c>
      <c r="E62" s="9" t="n">
        <v>22166</v>
      </c>
      <c r="F62" s="9" t="n">
        <v>82793</v>
      </c>
      <c r="G62" s="8">
        <f>RANK(F62,$F$5:$F$1561)</f>
        <v/>
      </c>
      <c r="H62" s="8" t="inlineStr"/>
      <c r="I62" s="9">
        <f>IF(D62="Private",E62,"")</f>
        <v/>
      </c>
      <c r="J62" s="9">
        <f>IF(D62="Private",F62,"")</f>
        <v/>
      </c>
    </row>
    <row r="63">
      <c r="A63" s="8" t="inlineStr">
        <is>
          <t>Missouri University of Science and Technology</t>
        </is>
      </c>
      <c r="B63" s="8" t="inlineStr">
        <is>
          <t>Rolla</t>
        </is>
      </c>
      <c r="C63" s="8" t="inlineStr">
        <is>
          <t>MO</t>
        </is>
      </c>
      <c r="D63" s="8" t="inlineStr">
        <is>
          <t>Public</t>
        </is>
      </c>
      <c r="E63" s="9" t="n">
        <v>12682</v>
      </c>
      <c r="F63" s="9" t="n">
        <v>82622</v>
      </c>
      <c r="G63" s="8">
        <f>RANK(F63,$F$5:$F$1561)</f>
        <v/>
      </c>
      <c r="H63" s="8" t="inlineStr"/>
      <c r="I63" s="9">
        <f>IF(D63="Private",E63,"")</f>
        <v/>
      </c>
      <c r="J63" s="9">
        <f>IF(D63="Private",F63,"")</f>
        <v/>
      </c>
    </row>
    <row r="64">
      <c r="A64" s="8" t="inlineStr">
        <is>
          <t>University of California-San Diego</t>
        </is>
      </c>
      <c r="B64" s="8" t="inlineStr">
        <is>
          <t>La Jolla</t>
        </is>
      </c>
      <c r="C64" s="8" t="inlineStr">
        <is>
          <t>CA</t>
        </is>
      </c>
      <c r="D64" s="8" t="inlineStr">
        <is>
          <t>Public</t>
        </is>
      </c>
      <c r="E64" s="9" t="n">
        <v>14895</v>
      </c>
      <c r="F64" s="9" t="n">
        <v>82255</v>
      </c>
      <c r="G64" s="8">
        <f>RANK(F64,$F$5:$F$1561)</f>
        <v/>
      </c>
      <c r="H64" s="8" t="inlineStr"/>
      <c r="I64" s="9">
        <f>IF(D64="Private",E64,"")</f>
        <v/>
      </c>
      <c r="J64" s="9">
        <f>IF(D64="Private",F64,"")</f>
        <v/>
      </c>
    </row>
    <row r="65">
      <c r="A65" s="8" t="inlineStr">
        <is>
          <t>Capitol Technology University</t>
        </is>
      </c>
      <c r="B65" s="8" t="inlineStr">
        <is>
          <t>Laurel</t>
        </is>
      </c>
      <c r="C65" s="8" t="inlineStr">
        <is>
          <t>MD</t>
        </is>
      </c>
      <c r="D65" s="8" t="inlineStr">
        <is>
          <t>Private</t>
        </is>
      </c>
      <c r="E65" s="9" t="n">
        <v>25272</v>
      </c>
      <c r="F65" s="9" t="n">
        <v>82031</v>
      </c>
      <c r="G65" s="8">
        <f>RANK(F65,$F$5:$F$1561)</f>
        <v/>
      </c>
      <c r="H65" s="8" t="inlineStr"/>
      <c r="I65" s="9">
        <f>IF(D65="Private",E65,"")</f>
        <v/>
      </c>
      <c r="J65" s="9">
        <f>IF(D65="Private",F65,"")</f>
        <v/>
      </c>
    </row>
    <row r="66">
      <c r="A66" s="8" t="inlineStr">
        <is>
          <t>Embry-Riddle Aeronautical University-Worldwide</t>
        </is>
      </c>
      <c r="B66" s="8" t="inlineStr">
        <is>
          <t>Daytona Beach</t>
        </is>
      </c>
      <c r="C66" s="8" t="inlineStr">
        <is>
          <t>FL</t>
        </is>
      </c>
      <c r="D66" s="8" t="inlineStr">
        <is>
          <t>Private</t>
        </is>
      </c>
      <c r="E66" s="9" t="n">
        <v>14780</v>
      </c>
      <c r="F66" s="9" t="n">
        <v>82012</v>
      </c>
      <c r="G66" s="8">
        <f>RANK(F66,$F$5:$F$1561)</f>
        <v/>
      </c>
      <c r="H66" s="8" t="inlineStr"/>
      <c r="I66" s="9">
        <f>IF(D66="Private",E66,"")</f>
        <v/>
      </c>
      <c r="J66" s="9">
        <f>IF(D66="Private",F66,"")</f>
        <v/>
      </c>
    </row>
    <row r="67">
      <c r="A67" s="8" t="inlineStr">
        <is>
          <t>Embry-Riddle Aeronautical University-Daytona Beach</t>
        </is>
      </c>
      <c r="B67" s="8" t="inlineStr">
        <is>
          <t>Daytona Beach</t>
        </is>
      </c>
      <c r="C67" s="8" t="inlineStr">
        <is>
          <t>FL</t>
        </is>
      </c>
      <c r="D67" s="8" t="inlineStr">
        <is>
          <t>Private</t>
        </is>
      </c>
      <c r="E67" s="9" t="n">
        <v>35156</v>
      </c>
      <c r="F67" s="9" t="n">
        <v>82012</v>
      </c>
      <c r="G67" s="8">
        <f>RANK(F67,$F$5:$F$1561)</f>
        <v/>
      </c>
      <c r="H67" s="8" t="inlineStr"/>
      <c r="I67" s="9">
        <f>IF(D67="Private",E67,"")</f>
        <v/>
      </c>
      <c r="J67" s="9">
        <f>IF(D67="Private",F67,"")</f>
        <v/>
      </c>
    </row>
    <row r="68">
      <c r="A68" s="8" t="inlineStr">
        <is>
          <t>Embry-Riddle Aeronautical University-Prescott</t>
        </is>
      </c>
      <c r="B68" s="8" t="inlineStr">
        <is>
          <t>Prescott</t>
        </is>
      </c>
      <c r="C68" s="8" t="inlineStr">
        <is>
          <t>AZ</t>
        </is>
      </c>
      <c r="D68" s="8" t="inlineStr">
        <is>
          <t>Private</t>
        </is>
      </c>
      <c r="E68" s="9" t="n">
        <v>36270</v>
      </c>
      <c r="F68" s="9" t="n">
        <v>82012</v>
      </c>
      <c r="G68" s="8">
        <f>RANK(F68,$F$5:$F$1561)</f>
        <v/>
      </c>
      <c r="H68" s="8" t="inlineStr"/>
      <c r="I68" s="9">
        <f>IF(D68="Private",E68,"")</f>
        <v/>
      </c>
      <c r="J68" s="9">
        <f>IF(D68="Private",F68,"")</f>
        <v/>
      </c>
    </row>
    <row r="69">
      <c r="A69" s="8" t="inlineStr">
        <is>
          <t>Wake Forest University</t>
        </is>
      </c>
      <c r="B69" s="8" t="inlineStr">
        <is>
          <t>Winston-Salem</t>
        </is>
      </c>
      <c r="C69" s="8" t="inlineStr">
        <is>
          <t>NC</t>
        </is>
      </c>
      <c r="D69" s="8" t="inlineStr">
        <is>
          <t>Private</t>
        </is>
      </c>
      <c r="E69" s="9" t="n">
        <v>29214</v>
      </c>
      <c r="F69" s="9" t="n">
        <v>81964</v>
      </c>
      <c r="G69" s="8">
        <f>RANK(F69,$F$5:$F$1561)</f>
        <v/>
      </c>
      <c r="H69" s="8" t="inlineStr"/>
      <c r="I69" s="9">
        <f>IF(D69="Private",E69,"")</f>
        <v/>
      </c>
      <c r="J69" s="9">
        <f>IF(D69="Private",F69,"")</f>
        <v/>
      </c>
    </row>
    <row r="70">
      <c r="A70" s="8" t="inlineStr">
        <is>
          <t>Wentworth Institute of Technology</t>
        </is>
      </c>
      <c r="B70" s="8" t="inlineStr">
        <is>
          <t>Boston</t>
        </is>
      </c>
      <c r="C70" s="8" t="inlineStr">
        <is>
          <t>MA</t>
        </is>
      </c>
      <c r="D70" s="8" t="inlineStr">
        <is>
          <t>Private</t>
        </is>
      </c>
      <c r="E70" s="9" t="n">
        <v>29841</v>
      </c>
      <c r="F70" s="9" t="n">
        <v>81911</v>
      </c>
      <c r="G70" s="8">
        <f>RANK(F70,$F$5:$F$1561)</f>
        <v/>
      </c>
      <c r="H70" s="8" t="inlineStr"/>
      <c r="I70" s="9">
        <f>IF(D70="Private",E70,"")</f>
        <v/>
      </c>
      <c r="J70" s="9">
        <f>IF(D70="Private",F70,"")</f>
        <v/>
      </c>
    </row>
    <row r="71">
      <c r="A71" s="8" t="inlineStr">
        <is>
          <t>Amherst College</t>
        </is>
      </c>
      <c r="B71" s="8" t="inlineStr">
        <is>
          <t>Amherst</t>
        </is>
      </c>
      <c r="C71" s="8" t="inlineStr">
        <is>
          <t>MA</t>
        </is>
      </c>
      <c r="D71" s="8" t="inlineStr">
        <is>
          <t>Private</t>
        </is>
      </c>
      <c r="E71" s="9" t="n">
        <v>17304</v>
      </c>
      <c r="F71" s="9" t="n">
        <v>81855</v>
      </c>
      <c r="G71" s="8">
        <f>RANK(F71,$F$5:$F$1561)</f>
        <v/>
      </c>
      <c r="H71" s="8" t="inlineStr"/>
      <c r="I71" s="9">
        <f>IF(D71="Private",E71,"")</f>
        <v/>
      </c>
      <c r="J71" s="9">
        <f>IF(D71="Private",F71,"")</f>
        <v/>
      </c>
    </row>
    <row r="72">
      <c r="A72" s="8" t="inlineStr">
        <is>
          <t>Emory University</t>
        </is>
      </c>
      <c r="B72" s="8" t="inlineStr">
        <is>
          <t>Atlanta</t>
        </is>
      </c>
      <c r="C72" s="8" t="inlineStr">
        <is>
          <t>GA</t>
        </is>
      </c>
      <c r="D72" s="8" t="inlineStr">
        <is>
          <t>Private</t>
        </is>
      </c>
      <c r="E72" s="9" t="n">
        <v>25424</v>
      </c>
      <c r="F72" s="9" t="n">
        <v>81802</v>
      </c>
      <c r="G72" s="8">
        <f>RANK(F72,$F$5:$F$1561)</f>
        <v/>
      </c>
      <c r="H72" s="8" t="inlineStr"/>
      <c r="I72" s="9">
        <f>IF(D72="Private",E72,"")</f>
        <v/>
      </c>
      <c r="J72" s="9">
        <f>IF(D72="Private",F72,"")</f>
        <v/>
      </c>
    </row>
    <row r="73">
      <c r="A73" s="8" t="inlineStr">
        <is>
          <t>Quinnipiac University</t>
        </is>
      </c>
      <c r="B73" s="8" t="inlineStr">
        <is>
          <t>Hamden</t>
        </is>
      </c>
      <c r="C73" s="8" t="inlineStr">
        <is>
          <t>CT</t>
        </is>
      </c>
      <c r="D73" s="8" t="inlineStr">
        <is>
          <t>Private</t>
        </is>
      </c>
      <c r="E73" s="9" t="n">
        <v>36964</v>
      </c>
      <c r="F73" s="9" t="n">
        <v>81553</v>
      </c>
      <c r="G73" s="8">
        <f>RANK(F73,$F$5:$F$1561)</f>
        <v/>
      </c>
      <c r="H73" s="8" t="inlineStr"/>
      <c r="I73" s="9">
        <f>IF(D73="Private",E73,"")</f>
        <v/>
      </c>
      <c r="J73" s="9">
        <f>IF(D73="Private",F73,"")</f>
        <v/>
      </c>
    </row>
    <row r="74">
      <c r="A74" s="8" t="inlineStr">
        <is>
          <t>Case Western Reserve University</t>
        </is>
      </c>
      <c r="B74" s="8" t="inlineStr">
        <is>
          <t>Cleveland</t>
        </is>
      </c>
      <c r="C74" s="8" t="inlineStr">
        <is>
          <t>OH</t>
        </is>
      </c>
      <c r="D74" s="8" t="inlineStr">
        <is>
          <t>Private</t>
        </is>
      </c>
      <c r="E74" s="9" t="n">
        <v>37702</v>
      </c>
      <c r="F74" s="9" t="n">
        <v>81346</v>
      </c>
      <c r="G74" s="8">
        <f>RANK(F74,$F$5:$F$1561)</f>
        <v/>
      </c>
      <c r="H74" s="8" t="inlineStr"/>
      <c r="I74" s="9">
        <f>IF(D74="Private",E74,"")</f>
        <v/>
      </c>
      <c r="J74" s="9">
        <f>IF(D74="Private",F74,"")</f>
        <v/>
      </c>
    </row>
    <row r="75">
      <c r="A75" s="8" t="inlineStr">
        <is>
          <t>Loyola University Maryland</t>
        </is>
      </c>
      <c r="B75" s="8" t="inlineStr">
        <is>
          <t>Baltimore</t>
        </is>
      </c>
      <c r="C75" s="8" t="inlineStr">
        <is>
          <t>MD</t>
        </is>
      </c>
      <c r="D75" s="8" t="inlineStr">
        <is>
          <t>Private</t>
        </is>
      </c>
      <c r="E75" s="9" t="n">
        <v>30217</v>
      </c>
      <c r="F75" s="9" t="n">
        <v>81216</v>
      </c>
      <c r="G75" s="8">
        <f>RANK(F75,$F$5:$F$1561)</f>
        <v/>
      </c>
      <c r="H75" s="8" t="inlineStr"/>
      <c r="I75" s="9">
        <f>IF(D75="Private",E75,"")</f>
        <v/>
      </c>
      <c r="J75" s="9">
        <f>IF(D75="Private",F75,"")</f>
        <v/>
      </c>
    </row>
    <row r="76">
      <c r="A76" s="8" t="inlineStr">
        <is>
          <t>University of the Pacific</t>
        </is>
      </c>
      <c r="B76" s="8" t="inlineStr">
        <is>
          <t>Stockton</t>
        </is>
      </c>
      <c r="C76" s="8" t="inlineStr">
        <is>
          <t>CA</t>
        </is>
      </c>
      <c r="D76" s="8" t="inlineStr">
        <is>
          <t>Private</t>
        </is>
      </c>
      <c r="E76" s="9" t="n">
        <v>17874</v>
      </c>
      <c r="F76" s="9" t="n">
        <v>80965</v>
      </c>
      <c r="G76" s="8">
        <f>RANK(F76,$F$5:$F$1561)</f>
        <v/>
      </c>
      <c r="H76" s="8" t="inlineStr"/>
      <c r="I76" s="9">
        <f>IF(D76="Private",E76,"")</f>
        <v/>
      </c>
      <c r="J76" s="9">
        <f>IF(D76="Private",F76,"")</f>
        <v/>
      </c>
    </row>
    <row r="77">
      <c r="A77" s="8" t="inlineStr">
        <is>
          <t>University of Richmond</t>
        </is>
      </c>
      <c r="B77" s="8" t="inlineStr">
        <is>
          <t>University of Richmond</t>
        </is>
      </c>
      <c r="C77" s="8" t="inlineStr">
        <is>
          <t>VA</t>
        </is>
      </c>
      <c r="D77" s="8" t="inlineStr">
        <is>
          <t>Private</t>
        </is>
      </c>
      <c r="E77" s="9" t="n">
        <v>29232</v>
      </c>
      <c r="F77" s="9" t="n">
        <v>80715</v>
      </c>
      <c r="G77" s="8">
        <f>RANK(F77,$F$5:$F$1561)</f>
        <v/>
      </c>
      <c r="H77" s="8" t="inlineStr"/>
      <c r="I77" s="9">
        <f>IF(D77="Private",E77,"")</f>
        <v/>
      </c>
      <c r="J77" s="9">
        <f>IF(D77="Private",F77,"")</f>
        <v/>
      </c>
    </row>
    <row r="78">
      <c r="A78" s="8" t="inlineStr">
        <is>
          <t>University of Virginia-Main Campus</t>
        </is>
      </c>
      <c r="B78" s="8" t="inlineStr">
        <is>
          <t>Charlottesville</t>
        </is>
      </c>
      <c r="C78" s="8" t="inlineStr">
        <is>
          <t>VA</t>
        </is>
      </c>
      <c r="D78" s="8" t="inlineStr">
        <is>
          <t>Public</t>
        </is>
      </c>
      <c r="E78" s="9" t="n">
        <v>20507</v>
      </c>
      <c r="F78" s="9" t="n">
        <v>80584</v>
      </c>
      <c r="G78" s="8">
        <f>RANK(F78,$F$5:$F$1561)</f>
        <v/>
      </c>
      <c r="H78" s="8" t="inlineStr"/>
      <c r="I78" s="9">
        <f>IF(D78="Private",E78,"")</f>
        <v/>
      </c>
      <c r="J78" s="9">
        <f>IF(D78="Private",F78,"")</f>
        <v/>
      </c>
    </row>
    <row r="79">
      <c r="A79" s="12" t="inlineStr">
        <is>
          <t>Boston University</t>
        </is>
      </c>
      <c r="B79" s="12" t="inlineStr">
        <is>
          <t>Boston</t>
        </is>
      </c>
      <c r="C79" s="12" t="inlineStr">
        <is>
          <t>MA</t>
        </is>
      </c>
      <c r="D79" s="12" t="inlineStr">
        <is>
          <t>Private</t>
        </is>
      </c>
      <c r="E79" s="13" t="n">
        <v>26170</v>
      </c>
      <c r="F79" s="13" t="n">
        <v>80582</v>
      </c>
      <c r="G79" s="12">
        <f>RANK(F79,$F$5:$F$1561)</f>
        <v/>
      </c>
      <c r="H79" s="12" t="inlineStr">
        <is>
          <t>Boston University</t>
        </is>
      </c>
      <c r="I79" s="13">
        <f>IF(D79="Private",E79,"")</f>
        <v/>
      </c>
      <c r="J79" s="13">
        <f>IF(D79="Private",F79,"")</f>
        <v/>
      </c>
    </row>
    <row r="80">
      <c r="A80" s="8" t="inlineStr">
        <is>
          <t>Franklin and Marshall College</t>
        </is>
      </c>
      <c r="B80" s="8" t="inlineStr">
        <is>
          <t>Lancaster</t>
        </is>
      </c>
      <c r="C80" s="8" t="inlineStr">
        <is>
          <t>PA</t>
        </is>
      </c>
      <c r="D80" s="8" t="inlineStr">
        <is>
          <t>Private</t>
        </is>
      </c>
      <c r="E80" s="9" t="n">
        <v>30182</v>
      </c>
      <c r="F80" s="9" t="n">
        <v>80452</v>
      </c>
      <c r="G80" s="8">
        <f>RANK(F80,$F$5:$F$1561)</f>
        <v/>
      </c>
      <c r="H80" s="8" t="inlineStr"/>
      <c r="I80" s="9">
        <f>IF(D80="Private",E80,"")</f>
        <v/>
      </c>
      <c r="J80" s="9">
        <f>IF(D80="Private",F80,"")</f>
        <v/>
      </c>
    </row>
    <row r="81">
      <c r="A81" s="8" t="inlineStr">
        <is>
          <t>Swarthmore College</t>
        </is>
      </c>
      <c r="B81" s="8" t="inlineStr">
        <is>
          <t>Swarthmore</t>
        </is>
      </c>
      <c r="C81" s="8" t="inlineStr">
        <is>
          <t>PA</t>
        </is>
      </c>
      <c r="D81" s="8" t="inlineStr">
        <is>
          <t>Private</t>
        </is>
      </c>
      <c r="E81" s="9" t="n">
        <v>20780</v>
      </c>
      <c r="F81" s="9" t="n">
        <v>80398</v>
      </c>
      <c r="G81" s="8">
        <f>RANK(F81,$F$5:$F$1561)</f>
        <v/>
      </c>
      <c r="H81" s="8" t="inlineStr"/>
      <c r="I81" s="9">
        <f>IF(D81="Private",E81,"")</f>
        <v/>
      </c>
      <c r="J81" s="9">
        <f>IF(D81="Private",F81,"")</f>
        <v/>
      </c>
    </row>
    <row r="82">
      <c r="A82" s="8" t="inlineStr">
        <is>
          <t>University of California-Los Angeles</t>
        </is>
      </c>
      <c r="B82" s="8" t="inlineStr">
        <is>
          <t>Los Angeles</t>
        </is>
      </c>
      <c r="C82" s="8" t="inlineStr">
        <is>
          <t>CA</t>
        </is>
      </c>
      <c r="D82" s="8" t="inlineStr">
        <is>
          <t>Public</t>
        </is>
      </c>
      <c r="E82" s="9" t="n">
        <v>11627</v>
      </c>
      <c r="F82" s="9" t="n">
        <v>79826</v>
      </c>
      <c r="G82" s="8">
        <f>RANK(F82,$F$5:$F$1561)</f>
        <v/>
      </c>
      <c r="H82" s="8" t="inlineStr"/>
      <c r="I82" s="9">
        <f>IF(D82="Private",E82,"")</f>
        <v/>
      </c>
      <c r="J82" s="9">
        <f>IF(D82="Private",F82,"")</f>
        <v/>
      </c>
    </row>
    <row r="83">
      <c r="A83" s="8" t="inlineStr">
        <is>
          <t>New York University</t>
        </is>
      </c>
      <c r="B83" s="8" t="inlineStr">
        <is>
          <t>New York</t>
        </is>
      </c>
      <c r="C83" s="8" t="inlineStr">
        <is>
          <t>NY</t>
        </is>
      </c>
      <c r="D83" s="8" t="inlineStr">
        <is>
          <t>Private</t>
        </is>
      </c>
      <c r="E83" s="9" t="n">
        <v>39565</v>
      </c>
      <c r="F83" s="9" t="n">
        <v>79812</v>
      </c>
      <c r="G83" s="8">
        <f>RANK(F83,$F$5:$F$1561)</f>
        <v/>
      </c>
      <c r="H83" s="8" t="inlineStr"/>
      <c r="I83" s="9">
        <f>IF(D83="Private",E83,"")</f>
        <v/>
      </c>
      <c r="J83" s="9">
        <f>IF(D83="Private",F83,"")</f>
        <v/>
      </c>
    </row>
    <row r="84">
      <c r="A84" s="8" t="inlineStr">
        <is>
          <t>Drexel University</t>
        </is>
      </c>
      <c r="B84" s="8" t="inlineStr">
        <is>
          <t>Philadelphia</t>
        </is>
      </c>
      <c r="C84" s="8" t="inlineStr">
        <is>
          <t>PA</t>
        </is>
      </c>
      <c r="D84" s="8" t="inlineStr">
        <is>
          <t>Private</t>
        </is>
      </c>
      <c r="E84" s="9" t="n">
        <v>23167</v>
      </c>
      <c r="F84" s="9" t="n">
        <v>79785</v>
      </c>
      <c r="G84" s="8">
        <f>RANK(F84,$F$5:$F$1561)</f>
        <v/>
      </c>
      <c r="H84" s="8" t="inlineStr"/>
      <c r="I84" s="9">
        <f>IF(D84="Private",E84,"")</f>
        <v/>
      </c>
      <c r="J84" s="9">
        <f>IF(D84="Private",F84,"")</f>
        <v/>
      </c>
    </row>
    <row r="85">
      <c r="A85" s="8" t="inlineStr">
        <is>
          <t>Providence College</t>
        </is>
      </c>
      <c r="B85" s="8" t="inlineStr">
        <is>
          <t>Providence</t>
        </is>
      </c>
      <c r="C85" s="8" t="inlineStr">
        <is>
          <t>RI</t>
        </is>
      </c>
      <c r="D85" s="8" t="inlineStr">
        <is>
          <t>Private</t>
        </is>
      </c>
      <c r="E85" s="9" t="n">
        <v>36611</v>
      </c>
      <c r="F85" s="9" t="n">
        <v>79628</v>
      </c>
      <c r="G85" s="8">
        <f>RANK(F85,$F$5:$F$1561)</f>
        <v/>
      </c>
      <c r="H85" s="8" t="inlineStr"/>
      <c r="I85" s="9">
        <f>IF(D85="Private",E85,"")</f>
        <v/>
      </c>
      <c r="J85" s="9">
        <f>IF(D85="Private",F85,"")</f>
        <v/>
      </c>
    </row>
    <row r="86">
      <c r="A86" s="8" t="inlineStr">
        <is>
          <t>University of Michigan-Ann Arbor</t>
        </is>
      </c>
      <c r="B86" s="8" t="inlineStr">
        <is>
          <t>Ann Arbor</t>
        </is>
      </c>
      <c r="C86" s="8" t="inlineStr">
        <is>
          <t>MI</t>
        </is>
      </c>
      <c r="D86" s="8" t="inlineStr">
        <is>
          <t>Public</t>
        </is>
      </c>
      <c r="E86" s="9" t="n">
        <v>17086</v>
      </c>
      <c r="F86" s="9" t="n">
        <v>79580</v>
      </c>
      <c r="G86" s="8">
        <f>RANK(F86,$F$5:$F$1561)</f>
        <v/>
      </c>
      <c r="H86" s="8" t="inlineStr"/>
      <c r="I86" s="9">
        <f>IF(D86="Private",E86,"")</f>
        <v/>
      </c>
      <c r="J86" s="9">
        <f>IF(D86="Private",F86,"")</f>
        <v/>
      </c>
    </row>
    <row r="87">
      <c r="A87" s="8" t="inlineStr">
        <is>
          <t>Fordham University</t>
        </is>
      </c>
      <c r="B87" s="8" t="inlineStr">
        <is>
          <t>Bronx</t>
        </is>
      </c>
      <c r="C87" s="8" t="inlineStr">
        <is>
          <t>NY</t>
        </is>
      </c>
      <c r="D87" s="8" t="inlineStr">
        <is>
          <t>Private</t>
        </is>
      </c>
      <c r="E87" s="9" t="n">
        <v>35320</v>
      </c>
      <c r="F87" s="9" t="n">
        <v>78820</v>
      </c>
      <c r="G87" s="8">
        <f>RANK(F87,$F$5:$F$1561)</f>
        <v/>
      </c>
      <c r="H87" s="8" t="inlineStr"/>
      <c r="I87" s="9">
        <f>IF(D87="Private",E87,"")</f>
        <v/>
      </c>
      <c r="J87" s="9">
        <f>IF(D87="Private",F87,"")</f>
        <v/>
      </c>
    </row>
    <row r="88">
      <c r="A88" s="8" t="inlineStr">
        <is>
          <t>University of Chicago</t>
        </is>
      </c>
      <c r="B88" s="8" t="inlineStr">
        <is>
          <t>Chicago</t>
        </is>
      </c>
      <c r="C88" s="8" t="inlineStr">
        <is>
          <t>IL</t>
        </is>
      </c>
      <c r="D88" s="8" t="inlineStr">
        <is>
          <t>Private</t>
        </is>
      </c>
      <c r="E88" s="9" t="n">
        <v>22690</v>
      </c>
      <c r="F88" s="9" t="n">
        <v>78439</v>
      </c>
      <c r="G88" s="8">
        <f>RANK(F88,$F$5:$F$1561)</f>
        <v/>
      </c>
      <c r="H88" s="8" t="inlineStr"/>
      <c r="I88" s="9">
        <f>IF(D88="Private",E88,"")</f>
        <v/>
      </c>
      <c r="J88" s="9">
        <f>IF(D88="Private",F88,"")</f>
        <v/>
      </c>
    </row>
    <row r="89">
      <c r="A89" s="8" t="inlineStr">
        <is>
          <t>Haverford College</t>
        </is>
      </c>
      <c r="B89" s="8" t="inlineStr">
        <is>
          <t>Haverford</t>
        </is>
      </c>
      <c r="C89" s="8" t="inlineStr">
        <is>
          <t>PA</t>
        </is>
      </c>
      <c r="D89" s="8" t="inlineStr">
        <is>
          <t>Private</t>
        </is>
      </c>
      <c r="E89" s="9" t="n">
        <v>29138</v>
      </c>
      <c r="F89" s="9" t="n">
        <v>78330</v>
      </c>
      <c r="G89" s="8">
        <f>RANK(F89,$F$5:$F$1561)</f>
        <v/>
      </c>
      <c r="H89" s="8" t="inlineStr"/>
      <c r="I89" s="9">
        <f>IF(D89="Private",E89,"")</f>
        <v/>
      </c>
      <c r="J89" s="9">
        <f>IF(D89="Private",F89,"")</f>
        <v/>
      </c>
    </row>
    <row r="90">
      <c r="A90" s="8" t="inlineStr">
        <is>
          <t>University of San Diego</t>
        </is>
      </c>
      <c r="B90" s="8" t="inlineStr">
        <is>
          <t>San Diego</t>
        </is>
      </c>
      <c r="C90" s="8" t="inlineStr">
        <is>
          <t>CA</t>
        </is>
      </c>
      <c r="D90" s="8" t="inlineStr">
        <is>
          <t>Private</t>
        </is>
      </c>
      <c r="E90" s="9" t="n">
        <v>28071</v>
      </c>
      <c r="F90" s="9" t="n">
        <v>78234</v>
      </c>
      <c r="G90" s="8">
        <f>RANK(F90,$F$5:$F$1561)</f>
        <v/>
      </c>
      <c r="H90" s="8" t="inlineStr"/>
      <c r="I90" s="9">
        <f>IF(D90="Private",E90,"")</f>
        <v/>
      </c>
      <c r="J90" s="9">
        <f>IF(D90="Private",F90,"")</f>
        <v/>
      </c>
    </row>
    <row r="91">
      <c r="A91" s="8" t="inlineStr">
        <is>
          <t>Pepperdine University</t>
        </is>
      </c>
      <c r="B91" s="8" t="inlineStr">
        <is>
          <t>Malibu</t>
        </is>
      </c>
      <c r="C91" s="8" t="inlineStr">
        <is>
          <t>CA</t>
        </is>
      </c>
      <c r="D91" s="8" t="inlineStr">
        <is>
          <t>Private</t>
        </is>
      </c>
      <c r="E91" s="9" t="n">
        <v>35167</v>
      </c>
      <c r="F91" s="9" t="n">
        <v>78224</v>
      </c>
      <c r="G91" s="8">
        <f>RANK(F91,$F$5:$F$1561)</f>
        <v/>
      </c>
      <c r="H91" s="8" t="inlineStr"/>
      <c r="I91" s="9">
        <f>IF(D91="Private",E91,"")</f>
        <v/>
      </c>
      <c r="J91" s="9">
        <f>IF(D91="Private",F91,"")</f>
        <v/>
      </c>
    </row>
    <row r="92">
      <c r="A92" s="8" t="inlineStr">
        <is>
          <t>Virginia Polytechnic Institute and State University</t>
        </is>
      </c>
      <c r="B92" s="8" t="inlineStr">
        <is>
          <t>Blacksburg</t>
        </is>
      </c>
      <c r="C92" s="8" t="inlineStr">
        <is>
          <t>VA</t>
        </is>
      </c>
      <c r="D92" s="8" t="inlineStr">
        <is>
          <t>Public</t>
        </is>
      </c>
      <c r="E92" s="9" t="n">
        <v>20927</v>
      </c>
      <c r="F92" s="9" t="n">
        <v>77621</v>
      </c>
      <c r="G92" s="8">
        <f>RANK(F92,$F$5:$F$1561)</f>
        <v/>
      </c>
      <c r="H92" s="8" t="inlineStr"/>
      <c r="I92" s="9">
        <f>IF(D92="Private",E92,"")</f>
        <v/>
      </c>
      <c r="J92" s="9">
        <f>IF(D92="Private",F92,"")</f>
        <v/>
      </c>
    </row>
    <row r="93">
      <c r="A93" s="8" t="inlineStr">
        <is>
          <t>Binghamton University</t>
        </is>
      </c>
      <c r="B93" s="8" t="inlineStr">
        <is>
          <t>Vestal</t>
        </is>
      </c>
      <c r="C93" s="8" t="inlineStr">
        <is>
          <t>NY</t>
        </is>
      </c>
      <c r="D93" s="8" t="inlineStr">
        <is>
          <t>Public</t>
        </is>
      </c>
      <c r="E93" s="9" t="n">
        <v>19307</v>
      </c>
      <c r="F93" s="9" t="n">
        <v>77436</v>
      </c>
      <c r="G93" s="8">
        <f>RANK(F93,$F$5:$F$1561)</f>
        <v/>
      </c>
      <c r="H93" s="8" t="inlineStr"/>
      <c r="I93" s="9">
        <f>IF(D93="Private",E93,"")</f>
        <v/>
      </c>
      <c r="J93" s="9">
        <f>IF(D93="Private",F93,"")</f>
        <v/>
      </c>
    </row>
    <row r="94">
      <c r="A94" s="8" t="inlineStr">
        <is>
          <t>Davidson College</t>
        </is>
      </c>
      <c r="B94" s="8" t="inlineStr">
        <is>
          <t>Davidson</t>
        </is>
      </c>
      <c r="C94" s="8" t="inlineStr">
        <is>
          <t>NC</t>
        </is>
      </c>
      <c r="D94" s="8" t="inlineStr">
        <is>
          <t>Private</t>
        </is>
      </c>
      <c r="E94" s="9" t="n">
        <v>17057</v>
      </c>
      <c r="F94" s="9" t="n">
        <v>77379</v>
      </c>
      <c r="G94" s="8">
        <f>RANK(F94,$F$5:$F$1561)</f>
        <v/>
      </c>
      <c r="H94" s="8" t="inlineStr"/>
      <c r="I94" s="9">
        <f>IF(D94="Private",E94,"")</f>
        <v/>
      </c>
      <c r="J94" s="9">
        <f>IF(D94="Private",F94,"")</f>
        <v/>
      </c>
    </row>
    <row r="95">
      <c r="A95" s="8" t="inlineStr">
        <is>
          <t>University of Illinois Urbana-Champaign</t>
        </is>
      </c>
      <c r="B95" s="8" t="inlineStr">
        <is>
          <t>Champaign</t>
        </is>
      </c>
      <c r="C95" s="8" t="inlineStr">
        <is>
          <t>IL</t>
        </is>
      </c>
      <c r="D95" s="8" t="inlineStr">
        <is>
          <t>Public</t>
        </is>
      </c>
      <c r="E95" s="9" t="n">
        <v>15483</v>
      </c>
      <c r="F95" s="9" t="n">
        <v>77368</v>
      </c>
      <c r="G95" s="8">
        <f>RANK(F95,$F$5:$F$1561)</f>
        <v/>
      </c>
      <c r="H95" s="8" t="inlineStr"/>
      <c r="I95" s="9">
        <f>IF(D95="Private",E95,"")</f>
        <v/>
      </c>
      <c r="J95" s="9">
        <f>IF(D95="Private",F95,"")</f>
        <v/>
      </c>
    </row>
    <row r="96">
      <c r="A96" s="8" t="inlineStr">
        <is>
          <t>Michigan Technological University</t>
        </is>
      </c>
      <c r="B96" s="8" t="inlineStr">
        <is>
          <t>Houghton</t>
        </is>
      </c>
      <c r="C96" s="8" t="inlineStr">
        <is>
          <t>MI</t>
        </is>
      </c>
      <c r="D96" s="8" t="inlineStr">
        <is>
          <t>Public</t>
        </is>
      </c>
      <c r="E96" s="9" t="n">
        <v>15864</v>
      </c>
      <c r="F96" s="9" t="n">
        <v>77293</v>
      </c>
      <c r="G96" s="8">
        <f>RANK(F96,$F$5:$F$1561)</f>
        <v/>
      </c>
      <c r="H96" s="8" t="inlineStr"/>
      <c r="I96" s="9">
        <f>IF(D96="Private",E96,"")</f>
        <v/>
      </c>
      <c r="J96" s="9">
        <f>IF(D96="Private",F96,"")</f>
        <v/>
      </c>
    </row>
    <row r="97">
      <c r="A97" s="8" t="inlineStr">
        <is>
          <t>Hamilton College</t>
        </is>
      </c>
      <c r="B97" s="8" t="inlineStr">
        <is>
          <t>Clinton</t>
        </is>
      </c>
      <c r="C97" s="8" t="inlineStr">
        <is>
          <t>NY</t>
        </is>
      </c>
      <c r="D97" s="8" t="inlineStr">
        <is>
          <t>Private</t>
        </is>
      </c>
      <c r="E97" s="9" t="n">
        <v>26296</v>
      </c>
      <c r="F97" s="9" t="n">
        <v>77214</v>
      </c>
      <c r="G97" s="8">
        <f>RANK(F97,$F$5:$F$1561)</f>
        <v/>
      </c>
      <c r="H97" s="8" t="inlineStr"/>
      <c r="I97" s="9">
        <f>IF(D97="Private",E97,"")</f>
        <v/>
      </c>
      <c r="J97" s="9">
        <f>IF(D97="Private",F97,"")</f>
        <v/>
      </c>
    </row>
    <row r="98">
      <c r="A98" s="8" t="inlineStr">
        <is>
          <t>Salve Regina University</t>
        </is>
      </c>
      <c r="B98" s="8" t="inlineStr">
        <is>
          <t>Newport</t>
        </is>
      </c>
      <c r="C98" s="8" t="inlineStr">
        <is>
          <t>RI</t>
        </is>
      </c>
      <c r="D98" s="8" t="inlineStr">
        <is>
          <t>Private</t>
        </is>
      </c>
      <c r="E98" s="9" t="n">
        <v>34293</v>
      </c>
      <c r="F98" s="9" t="n">
        <v>77189</v>
      </c>
      <c r="G98" s="8">
        <f>RANK(F98,$F$5:$F$1561)</f>
        <v/>
      </c>
      <c r="H98" s="8" t="inlineStr"/>
      <c r="I98" s="9">
        <f>IF(D98="Private",E98,"")</f>
        <v/>
      </c>
      <c r="J98" s="9">
        <f>IF(D98="Private",F98,"")</f>
        <v/>
      </c>
    </row>
    <row r="99">
      <c r="A99" s="8" t="inlineStr">
        <is>
          <t>University of Portland</t>
        </is>
      </c>
      <c r="B99" s="8" t="inlineStr">
        <is>
          <t>Portland</t>
        </is>
      </c>
      <c r="C99" s="8" t="inlineStr">
        <is>
          <t>OR</t>
        </is>
      </c>
      <c r="D99" s="8" t="inlineStr">
        <is>
          <t>Private</t>
        </is>
      </c>
      <c r="E99" s="9" t="n">
        <v>35683</v>
      </c>
      <c r="F99" s="9" t="n">
        <v>77017</v>
      </c>
      <c r="G99" s="8">
        <f>RANK(F99,$F$5:$F$1561)</f>
        <v/>
      </c>
      <c r="H99" s="8" t="inlineStr"/>
      <c r="I99" s="9">
        <f>IF(D99="Private",E99,"")</f>
        <v/>
      </c>
      <c r="J99" s="9">
        <f>IF(D99="Private",F99,"")</f>
        <v/>
      </c>
    </row>
    <row r="100">
      <c r="A100" s="8" t="inlineStr">
        <is>
          <t>University of Maryland-College Park</t>
        </is>
      </c>
      <c r="B100" s="8" t="inlineStr">
        <is>
          <t>College Park</t>
        </is>
      </c>
      <c r="C100" s="8" t="inlineStr">
        <is>
          <t>MD</t>
        </is>
      </c>
      <c r="D100" s="8" t="inlineStr">
        <is>
          <t>Public</t>
        </is>
      </c>
      <c r="E100" s="9" t="n">
        <v>17500</v>
      </c>
      <c r="F100" s="9" t="n">
        <v>76997</v>
      </c>
      <c r="G100" s="8">
        <f>RANK(F100,$F$5:$F$1561)</f>
        <v/>
      </c>
      <c r="H100" s="8" t="inlineStr"/>
      <c r="I100" s="9">
        <f>IF(D100="Private",E100,"")</f>
        <v/>
      </c>
      <c r="J100" s="9">
        <f>IF(D100="Private",F100,"")</f>
        <v/>
      </c>
    </row>
    <row r="101">
      <c r="A101" s="8" t="inlineStr">
        <is>
          <t>Virginia Military Institute</t>
        </is>
      </c>
      <c r="B101" s="8" t="inlineStr">
        <is>
          <t>Lexington</t>
        </is>
      </c>
      <c r="C101" s="8" t="inlineStr">
        <is>
          <t>VA</t>
        </is>
      </c>
      <c r="D101" s="8" t="inlineStr">
        <is>
          <t>Public</t>
        </is>
      </c>
      <c r="E101" s="9" t="n">
        <v>21325</v>
      </c>
      <c r="F101" s="9" t="n">
        <v>76984</v>
      </c>
      <c r="G101" s="8">
        <f>RANK(F101,$F$5:$F$1561)</f>
        <v/>
      </c>
      <c r="H101" s="8" t="inlineStr"/>
      <c r="I101" s="9">
        <f>IF(D101="Private",E101,"")</f>
        <v/>
      </c>
      <c r="J101" s="9">
        <f>IF(D101="Private",F101,"")</f>
        <v/>
      </c>
    </row>
    <row r="102">
      <c r="A102" s="8" t="inlineStr">
        <is>
          <t>The Cooper Union for the Advancement of Science and Art</t>
        </is>
      </c>
      <c r="B102" s="8" t="inlineStr">
        <is>
          <t>New York</t>
        </is>
      </c>
      <c r="C102" s="8" t="inlineStr">
        <is>
          <t>NY</t>
        </is>
      </c>
      <c r="D102" s="8" t="inlineStr">
        <is>
          <t>Private</t>
        </is>
      </c>
      <c r="E102" s="9" t="n">
        <v>10698</v>
      </c>
      <c r="F102" s="9" t="n">
        <v>76855</v>
      </c>
      <c r="G102" s="8">
        <f>RANK(F102,$F$5:$F$1561)</f>
        <v/>
      </c>
      <c r="H102" s="8" t="inlineStr"/>
      <c r="I102" s="9">
        <f>IF(D102="Private",E102,"")</f>
        <v/>
      </c>
      <c r="J102" s="9">
        <f>IF(D102="Private",F102,"")</f>
        <v/>
      </c>
    </row>
    <row r="103">
      <c r="A103" s="8" t="inlineStr">
        <is>
          <t>Southern Methodist University</t>
        </is>
      </c>
      <c r="B103" s="8" t="inlineStr">
        <is>
          <t>Dallas</t>
        </is>
      </c>
      <c r="C103" s="8" t="inlineStr">
        <is>
          <t>TX</t>
        </is>
      </c>
      <c r="D103" s="8" t="inlineStr">
        <is>
          <t>Private</t>
        </is>
      </c>
      <c r="E103" s="9" t="n">
        <v>40452</v>
      </c>
      <c r="F103" s="9" t="n">
        <v>76672</v>
      </c>
      <c r="G103" s="8">
        <f>RANK(F103,$F$5:$F$1561)</f>
        <v/>
      </c>
      <c r="H103" s="8" t="inlineStr"/>
      <c r="I103" s="9">
        <f>IF(D103="Private",E103,"")</f>
        <v/>
      </c>
      <c r="J103" s="9">
        <f>IF(D103="Private",F103,"")</f>
        <v/>
      </c>
    </row>
    <row r="104">
      <c r="A104" s="8" t="inlineStr">
        <is>
          <t>University of California-Irvine</t>
        </is>
      </c>
      <c r="B104" s="8" t="inlineStr">
        <is>
          <t>Irvine</t>
        </is>
      </c>
      <c r="C104" s="8" t="inlineStr">
        <is>
          <t>CA</t>
        </is>
      </c>
      <c r="D104" s="8" t="inlineStr">
        <is>
          <t>Public</t>
        </is>
      </c>
      <c r="E104" s="9" t="n">
        <v>9691</v>
      </c>
      <c r="F104" s="9" t="n">
        <v>76593</v>
      </c>
      <c r="G104" s="8">
        <f>RANK(F104,$F$5:$F$1561)</f>
        <v/>
      </c>
      <c r="H104" s="8" t="inlineStr"/>
      <c r="I104" s="9">
        <f>IF(D104="Private",E104,"")</f>
        <v/>
      </c>
      <c r="J104" s="9">
        <f>IF(D104="Private",F104,"")</f>
        <v/>
      </c>
    </row>
    <row r="105">
      <c r="A105" s="8" t="inlineStr">
        <is>
          <t>Trinity College</t>
        </is>
      </c>
      <c r="B105" s="8" t="inlineStr">
        <is>
          <t>Hartford</t>
        </is>
      </c>
      <c r="C105" s="8" t="inlineStr">
        <is>
          <t>CT</t>
        </is>
      </c>
      <c r="D105" s="8" t="inlineStr">
        <is>
          <t>Private</t>
        </is>
      </c>
      <c r="E105" s="9" t="n">
        <v>32036</v>
      </c>
      <c r="F105" s="9" t="n">
        <v>76456</v>
      </c>
      <c r="G105" s="8">
        <f>RANK(F105,$F$5:$F$1561)</f>
        <v/>
      </c>
      <c r="H105" s="8" t="inlineStr"/>
      <c r="I105" s="9">
        <f>IF(D105="Private",E105,"")</f>
        <v/>
      </c>
      <c r="J105" s="9">
        <f>IF(D105="Private",F105,"")</f>
        <v/>
      </c>
    </row>
    <row r="106">
      <c r="A106" s="8" t="inlineStr">
        <is>
          <t>The Catholic University of America</t>
        </is>
      </c>
      <c r="B106" s="8" t="inlineStr">
        <is>
          <t>Washington</t>
        </is>
      </c>
      <c r="C106" s="8" t="inlineStr">
        <is>
          <t>DC</t>
        </is>
      </c>
      <c r="D106" s="8" t="inlineStr">
        <is>
          <t>Private</t>
        </is>
      </c>
      <c r="E106" s="9" t="n">
        <v>33452</v>
      </c>
      <c r="F106" s="9" t="n">
        <v>76452</v>
      </c>
      <c r="G106" s="8">
        <f>RANK(F106,$F$5:$F$1561)</f>
        <v/>
      </c>
      <c r="H106" s="8" t="inlineStr"/>
      <c r="I106" s="9">
        <f>IF(D106="Private",E106,"")</f>
        <v/>
      </c>
      <c r="J106" s="9">
        <f>IF(D106="Private",F106,"")</f>
        <v/>
      </c>
    </row>
    <row r="107">
      <c r="A107" s="8" t="inlineStr">
        <is>
          <t>Marquette University</t>
        </is>
      </c>
      <c r="B107" s="8" t="inlineStr">
        <is>
          <t>Milwaukee</t>
        </is>
      </c>
      <c r="C107" s="8" t="inlineStr">
        <is>
          <t>WI</t>
        </is>
      </c>
      <c r="D107" s="8" t="inlineStr">
        <is>
          <t>Private</t>
        </is>
      </c>
      <c r="E107" s="9" t="n">
        <v>29102</v>
      </c>
      <c r="F107" s="9" t="n">
        <v>76417</v>
      </c>
      <c r="G107" s="8">
        <f>RANK(F107,$F$5:$F$1561)</f>
        <v/>
      </c>
      <c r="H107" s="8" t="inlineStr"/>
      <c r="I107" s="9">
        <f>IF(D107="Private",E107,"")</f>
        <v/>
      </c>
      <c r="J107" s="9">
        <f>IF(D107="Private",F107,"")</f>
        <v/>
      </c>
    </row>
    <row r="108">
      <c r="A108" s="8" t="inlineStr">
        <is>
          <t>Gonzaga University</t>
        </is>
      </c>
      <c r="B108" s="8" t="inlineStr">
        <is>
          <t>Spokane</t>
        </is>
      </c>
      <c r="C108" s="8" t="inlineStr">
        <is>
          <t>WA</t>
        </is>
      </c>
      <c r="D108" s="8" t="inlineStr">
        <is>
          <t>Private</t>
        </is>
      </c>
      <c r="E108" s="9" t="n">
        <v>30828</v>
      </c>
      <c r="F108" s="9" t="n">
        <v>76325</v>
      </c>
      <c r="G108" s="8">
        <f>RANK(F108,$F$5:$F$1561)</f>
        <v/>
      </c>
      <c r="H108" s="8" t="inlineStr"/>
      <c r="I108" s="9">
        <f>IF(D108="Private",E108,"")</f>
        <v/>
      </c>
      <c r="J108" s="9">
        <f>IF(D108="Private",F108,"")</f>
        <v/>
      </c>
    </row>
    <row r="109">
      <c r="A109" s="8" t="inlineStr">
        <is>
          <t>University of Connecticut</t>
        </is>
      </c>
      <c r="B109" s="8" t="inlineStr">
        <is>
          <t>Storrs</t>
        </is>
      </c>
      <c r="C109" s="8" t="inlineStr">
        <is>
          <t>CT</t>
        </is>
      </c>
      <c r="D109" s="8" t="inlineStr">
        <is>
          <t>Public</t>
        </is>
      </c>
      <c r="E109" s="9" t="n">
        <v>21724</v>
      </c>
      <c r="F109" s="9" t="n">
        <v>76076</v>
      </c>
      <c r="G109" s="8">
        <f>RANK(F109,$F$5:$F$1561)</f>
        <v/>
      </c>
      <c r="H109" s="8" t="inlineStr"/>
      <c r="I109" s="9">
        <f>IF(D109="Private",E109,"")</f>
        <v/>
      </c>
      <c r="J109" s="9">
        <f>IF(D109="Private",F109,"")</f>
        <v/>
      </c>
    </row>
    <row r="110">
      <c r="A110" s="8" t="inlineStr">
        <is>
          <t>Stonehill College</t>
        </is>
      </c>
      <c r="B110" s="8" t="inlineStr">
        <is>
          <t>Easton</t>
        </is>
      </c>
      <c r="C110" s="8" t="inlineStr">
        <is>
          <t>MA</t>
        </is>
      </c>
      <c r="D110" s="8" t="inlineStr">
        <is>
          <t>Private</t>
        </is>
      </c>
      <c r="E110" s="9" t="n">
        <v>29888</v>
      </c>
      <c r="F110" s="9" t="n">
        <v>75976</v>
      </c>
      <c r="G110" s="8">
        <f>RANK(F110,$F$5:$F$1561)</f>
        <v/>
      </c>
      <c r="H110" s="8" t="inlineStr"/>
      <c r="I110" s="9">
        <f>IF(D110="Private",E110,"")</f>
        <v/>
      </c>
      <c r="J110" s="9">
        <f>IF(D110="Private",F110,"")</f>
        <v/>
      </c>
    </row>
    <row r="111">
      <c r="A111" s="8" t="inlineStr">
        <is>
          <t>Wellesley College</t>
        </is>
      </c>
      <c r="B111" s="8" t="inlineStr">
        <is>
          <t>Wellesley</t>
        </is>
      </c>
      <c r="C111" s="8" t="inlineStr">
        <is>
          <t>MA</t>
        </is>
      </c>
      <c r="D111" s="8" t="inlineStr">
        <is>
          <t>Private</t>
        </is>
      </c>
      <c r="E111" s="9" t="n">
        <v>21561</v>
      </c>
      <c r="F111" s="9" t="n">
        <v>75784</v>
      </c>
      <c r="G111" s="8">
        <f>RANK(F111,$F$5:$F$1561)</f>
        <v/>
      </c>
      <c r="H111" s="8" t="inlineStr"/>
      <c r="I111" s="9">
        <f>IF(D111="Private",E111,"")</f>
        <v/>
      </c>
      <c r="J111" s="9">
        <f>IF(D111="Private",F111,"")</f>
        <v/>
      </c>
    </row>
    <row r="112">
      <c r="A112" s="8" t="inlineStr">
        <is>
          <t>Ohio Northern University</t>
        </is>
      </c>
      <c r="B112" s="8" t="inlineStr">
        <is>
          <t>Ada</t>
        </is>
      </c>
      <c r="C112" s="8" t="inlineStr">
        <is>
          <t>OH</t>
        </is>
      </c>
      <c r="D112" s="8" t="inlineStr">
        <is>
          <t>Private</t>
        </is>
      </c>
      <c r="E112" s="9" t="n">
        <v>24401</v>
      </c>
      <c r="F112" s="9" t="n">
        <v>75783</v>
      </c>
      <c r="G112" s="8">
        <f>RANK(F112,$F$5:$F$1561)</f>
        <v/>
      </c>
      <c r="H112" s="8" t="inlineStr"/>
      <c r="I112" s="9">
        <f>IF(D112="Private",E112,"")</f>
        <v/>
      </c>
      <c r="J112" s="9">
        <f>IF(D112="Private",F112,"")</f>
        <v/>
      </c>
    </row>
    <row r="113">
      <c r="A113" s="8" t="inlineStr">
        <is>
          <t>Saint Johns University</t>
        </is>
      </c>
      <c r="B113" s="8" t="inlineStr">
        <is>
          <t>Collegeville</t>
        </is>
      </c>
      <c r="C113" s="8" t="inlineStr">
        <is>
          <t>MN</t>
        </is>
      </c>
      <c r="D113" s="8" t="inlineStr">
        <is>
          <t>Private</t>
        </is>
      </c>
      <c r="E113" s="9" t="n">
        <v>24849</v>
      </c>
      <c r="F113" s="9" t="n">
        <v>75423</v>
      </c>
      <c r="G113" s="8">
        <f>RANK(F113,$F$5:$F$1561)</f>
        <v/>
      </c>
      <c r="H113" s="8" t="inlineStr"/>
      <c r="I113" s="9">
        <f>IF(D113="Private",E113,"")</f>
        <v/>
      </c>
      <c r="J113" s="9">
        <f>IF(D113="Private",F113,"")</f>
        <v/>
      </c>
    </row>
    <row r="114">
      <c r="A114" s="8" t="inlineStr">
        <is>
          <t>American University</t>
        </is>
      </c>
      <c r="B114" s="8" t="inlineStr">
        <is>
          <t>Washington</t>
        </is>
      </c>
      <c r="C114" s="8" t="inlineStr">
        <is>
          <t>DC</t>
        </is>
      </c>
      <c r="D114" s="8" t="inlineStr">
        <is>
          <t>Private</t>
        </is>
      </c>
      <c r="E114" s="9" t="n">
        <v>28037</v>
      </c>
      <c r="F114" s="9" t="n">
        <v>75354</v>
      </c>
      <c r="G114" s="8">
        <f>RANK(F114,$F$5:$F$1561)</f>
        <v/>
      </c>
      <c r="H114" s="8" t="inlineStr"/>
      <c r="I114" s="9">
        <f>IF(D114="Private",E114,"")</f>
        <v/>
      </c>
      <c r="J114" s="9">
        <f>IF(D114="Private",F114,"")</f>
        <v/>
      </c>
    </row>
    <row r="115">
      <c r="A115" s="8" t="inlineStr">
        <is>
          <t>University of Rochester</t>
        </is>
      </c>
      <c r="B115" s="8" t="inlineStr">
        <is>
          <t>Rochester</t>
        </is>
      </c>
      <c r="C115" s="8" t="inlineStr">
        <is>
          <t>NY</t>
        </is>
      </c>
      <c r="D115" s="8" t="inlineStr">
        <is>
          <t>Private</t>
        </is>
      </c>
      <c r="E115" s="9" t="n">
        <v>31171</v>
      </c>
      <c r="F115" s="9" t="n">
        <v>75226</v>
      </c>
      <c r="G115" s="8">
        <f>RANK(F115,$F$5:$F$1561)</f>
        <v/>
      </c>
      <c r="H115" s="8" t="inlineStr"/>
      <c r="I115" s="9">
        <f>IF(D115="Private",E115,"")</f>
        <v/>
      </c>
      <c r="J115" s="9">
        <f>IF(D115="Private",F115,"")</f>
        <v/>
      </c>
    </row>
    <row r="116">
      <c r="A116" s="8" t="inlineStr">
        <is>
          <t>Saint Joseph's University</t>
        </is>
      </c>
      <c r="B116" s="8" t="inlineStr">
        <is>
          <t>Philadelphia</t>
        </is>
      </c>
      <c r="C116" s="8" t="inlineStr">
        <is>
          <t>PA</t>
        </is>
      </c>
      <c r="D116" s="8" t="inlineStr">
        <is>
          <t>Private</t>
        </is>
      </c>
      <c r="E116" s="9" t="n">
        <v>30487</v>
      </c>
      <c r="F116" s="9" t="n">
        <v>74933</v>
      </c>
      <c r="G116" s="8">
        <f>RANK(F116,$F$5:$F$1561)</f>
        <v/>
      </c>
      <c r="H116" s="8" t="inlineStr"/>
      <c r="I116" s="9">
        <f>IF(D116="Private",E116,"")</f>
        <v/>
      </c>
      <c r="J116" s="9">
        <f>IF(D116="Private",F116,"")</f>
        <v/>
      </c>
    </row>
    <row r="117">
      <c r="A117" s="8" t="inlineStr">
        <is>
          <t>Marist College</t>
        </is>
      </c>
      <c r="B117" s="8" t="inlineStr">
        <is>
          <t>Poughkeepsie</t>
        </is>
      </c>
      <c r="C117" s="8" t="inlineStr">
        <is>
          <t>NY</t>
        </is>
      </c>
      <c r="D117" s="8" t="inlineStr">
        <is>
          <t>Private</t>
        </is>
      </c>
      <c r="E117" s="9" t="n">
        <v>36099</v>
      </c>
      <c r="F117" s="9" t="n">
        <v>74865</v>
      </c>
      <c r="G117" s="8">
        <f>RANK(F117,$F$5:$F$1561)</f>
        <v/>
      </c>
      <c r="H117" s="8" t="inlineStr"/>
      <c r="I117" s="9">
        <f>IF(D117="Private",E117,"")</f>
        <v/>
      </c>
      <c r="J117" s="9">
        <f>IF(D117="Private",F117,"")</f>
        <v/>
      </c>
    </row>
    <row r="118">
      <c r="A118" s="8" t="inlineStr">
        <is>
          <t>Union College</t>
        </is>
      </c>
      <c r="B118" s="8" t="inlineStr">
        <is>
          <t>Schenectady</t>
        </is>
      </c>
      <c r="C118" s="8" t="inlineStr">
        <is>
          <t>NY</t>
        </is>
      </c>
      <c r="D118" s="8" t="inlineStr">
        <is>
          <t>Private</t>
        </is>
      </c>
      <c r="E118" s="9" t="n">
        <v>34163</v>
      </c>
      <c r="F118" s="9" t="n">
        <v>74739</v>
      </c>
      <c r="G118" s="8">
        <f>RANK(F118,$F$5:$F$1561)</f>
        <v/>
      </c>
      <c r="H118" s="8" t="inlineStr"/>
      <c r="I118" s="9">
        <f>IF(D118="Private",E118,"")</f>
        <v/>
      </c>
      <c r="J118" s="9">
        <f>IF(D118="Private",F118,"")</f>
        <v/>
      </c>
    </row>
    <row r="119">
      <c r="A119" s="8" t="inlineStr">
        <is>
          <t>Sacred Heart University</t>
        </is>
      </c>
      <c r="B119" s="8" t="inlineStr">
        <is>
          <t>Fairfield</t>
        </is>
      </c>
      <c r="C119" s="8" t="inlineStr">
        <is>
          <t>CT</t>
        </is>
      </c>
      <c r="D119" s="8" t="inlineStr">
        <is>
          <t>Private</t>
        </is>
      </c>
      <c r="E119" s="9" t="n">
        <v>43871</v>
      </c>
      <c r="F119" s="9" t="n">
        <v>74642</v>
      </c>
      <c r="G119" s="8">
        <f>RANK(F119,$F$5:$F$1561)</f>
        <v/>
      </c>
      <c r="H119" s="8" t="inlineStr"/>
      <c r="I119" s="9">
        <f>IF(D119="Private",E119,"")</f>
        <v/>
      </c>
      <c r="J119" s="9">
        <f>IF(D119="Private",F119,"")</f>
        <v/>
      </c>
    </row>
    <row r="120">
      <c r="A120" s="8" t="inlineStr">
        <is>
          <t>Brigham Young University</t>
        </is>
      </c>
      <c r="B120" s="8" t="inlineStr">
        <is>
          <t>Provo</t>
        </is>
      </c>
      <c r="C120" s="8" t="inlineStr">
        <is>
          <t>UT</t>
        </is>
      </c>
      <c r="D120" s="8" t="inlineStr">
        <is>
          <t>Private</t>
        </is>
      </c>
      <c r="E120" s="9" t="n">
        <v>13522</v>
      </c>
      <c r="F120" s="9" t="n">
        <v>74630</v>
      </c>
      <c r="G120" s="8">
        <f>RANK(F120,$F$5:$F$1561)</f>
        <v/>
      </c>
      <c r="H120" s="8" t="inlineStr"/>
      <c r="I120" s="9">
        <f>IF(D120="Private",E120,"")</f>
        <v/>
      </c>
      <c r="J120" s="9">
        <f>IF(D120="Private",F120,"")</f>
        <v/>
      </c>
    </row>
    <row r="121">
      <c r="A121" s="8" t="inlineStr">
        <is>
          <t>Williams College</t>
        </is>
      </c>
      <c r="B121" s="8" t="inlineStr">
        <is>
          <t>Williamstown</t>
        </is>
      </c>
      <c r="C121" s="8" t="inlineStr">
        <is>
          <t>MA</t>
        </is>
      </c>
      <c r="D121" s="8" t="inlineStr">
        <is>
          <t>Private</t>
        </is>
      </c>
      <c r="E121" s="9" t="n">
        <v>14739</v>
      </c>
      <c r="F121" s="9" t="n">
        <v>74473</v>
      </c>
      <c r="G121" s="8">
        <f>RANK(F121,$F$5:$F$1561)</f>
        <v/>
      </c>
      <c r="H121" s="8" t="inlineStr"/>
      <c r="I121" s="9">
        <f>IF(D121="Private",E121,"")</f>
        <v/>
      </c>
      <c r="J121" s="9">
        <f>IF(D121="Private",F121,"")</f>
        <v/>
      </c>
    </row>
    <row r="122">
      <c r="A122" s="8" t="inlineStr">
        <is>
          <t>Assumption University</t>
        </is>
      </c>
      <c r="B122" s="8" t="inlineStr">
        <is>
          <t>Worcester</t>
        </is>
      </c>
      <c r="C122" s="8" t="inlineStr">
        <is>
          <t>MA</t>
        </is>
      </c>
      <c r="D122" s="8" t="inlineStr">
        <is>
          <t>Private</t>
        </is>
      </c>
      <c r="E122" s="9" t="n">
        <v>25517</v>
      </c>
      <c r="F122" s="9" t="n">
        <v>74451</v>
      </c>
      <c r="G122" s="8">
        <f>RANK(F122,$F$5:$F$1561)</f>
        <v/>
      </c>
      <c r="H122" s="8" t="inlineStr"/>
      <c r="I122" s="9">
        <f>IF(D122="Private",E122,"")</f>
        <v/>
      </c>
      <c r="J122" s="9">
        <f>IF(D122="Private",F122,"")</f>
        <v/>
      </c>
    </row>
    <row r="123">
      <c r="A123" s="8" t="inlineStr">
        <is>
          <t>Syracuse University</t>
        </is>
      </c>
      <c r="B123" s="8" t="inlineStr">
        <is>
          <t>Syracuse</t>
        </is>
      </c>
      <c r="C123" s="8" t="inlineStr">
        <is>
          <t>NY</t>
        </is>
      </c>
      <c r="D123" s="8" t="inlineStr">
        <is>
          <t>Private</t>
        </is>
      </c>
      <c r="E123" s="9" t="n">
        <v>32516</v>
      </c>
      <c r="F123" s="9" t="n">
        <v>74446</v>
      </c>
      <c r="G123" s="8">
        <f>RANK(F123,$F$5:$F$1561)</f>
        <v/>
      </c>
      <c r="H123" s="8" t="inlineStr"/>
      <c r="I123" s="9">
        <f>IF(D123="Private",E123,"")</f>
        <v/>
      </c>
      <c r="J123" s="9">
        <f>IF(D123="Private",F123,"")</f>
        <v/>
      </c>
    </row>
    <row r="124">
      <c r="A124" s="8" t="inlineStr">
        <is>
          <t>Tufts University</t>
        </is>
      </c>
      <c r="B124" s="8" t="inlineStr">
        <is>
          <t>Medford</t>
        </is>
      </c>
      <c r="C124" s="8" t="inlineStr">
        <is>
          <t>MA</t>
        </is>
      </c>
      <c r="D124" s="8" t="inlineStr">
        <is>
          <t>Private</t>
        </is>
      </c>
      <c r="E124" s="9" t="n">
        <v>35683</v>
      </c>
      <c r="F124" s="9" t="n">
        <v>74430</v>
      </c>
      <c r="G124" s="8">
        <f>RANK(F124,$F$5:$F$1561)</f>
        <v/>
      </c>
      <c r="H124" s="8" t="inlineStr"/>
      <c r="I124" s="9">
        <f>IF(D124="Private",E124,"")</f>
        <v/>
      </c>
      <c r="J124" s="9">
        <f>IF(D124="Private",F124,"")</f>
        <v/>
      </c>
    </row>
    <row r="125">
      <c r="A125" s="8" t="inlineStr">
        <is>
          <t>Barnard College</t>
        </is>
      </c>
      <c r="B125" s="8" t="inlineStr">
        <is>
          <t>New York</t>
        </is>
      </c>
      <c r="C125" s="8" t="inlineStr">
        <is>
          <t>NY</t>
        </is>
      </c>
      <c r="D125" s="8" t="inlineStr">
        <is>
          <t>Private</t>
        </is>
      </c>
      <c r="E125" s="9" t="n">
        <v>32514</v>
      </c>
      <c r="F125" s="9" t="n">
        <v>74415</v>
      </c>
      <c r="G125" s="8">
        <f>RANK(F125,$F$5:$F$1561)</f>
        <v/>
      </c>
      <c r="H125" s="8" t="inlineStr"/>
      <c r="I125" s="9">
        <f>IF(D125="Private",E125,"")</f>
        <v/>
      </c>
      <c r="J125" s="9">
        <f>IF(D125="Private",F125,"")</f>
        <v/>
      </c>
    </row>
    <row r="126">
      <c r="A126" s="8" t="inlineStr">
        <is>
          <t>University of California-Davis</t>
        </is>
      </c>
      <c r="B126" s="8" t="inlineStr">
        <is>
          <t>Davis</t>
        </is>
      </c>
      <c r="C126" s="8" t="inlineStr">
        <is>
          <t>CA</t>
        </is>
      </c>
      <c r="D126" s="8" t="inlineStr">
        <is>
          <t>Public</t>
        </is>
      </c>
      <c r="E126" s="9" t="n">
        <v>14920</v>
      </c>
      <c r="F126" s="9" t="n">
        <v>74305</v>
      </c>
      <c r="G126" s="8">
        <f>RANK(F126,$F$5:$F$1561)</f>
        <v/>
      </c>
      <c r="H126" s="8" t="inlineStr"/>
      <c r="I126" s="9">
        <f>IF(D126="Private",E126,"")</f>
        <v/>
      </c>
      <c r="J126" s="9">
        <f>IF(D126="Private",F126,"")</f>
        <v/>
      </c>
    </row>
    <row r="127">
      <c r="A127" s="8" t="inlineStr">
        <is>
          <t>Pomona College</t>
        </is>
      </c>
      <c r="B127" s="8" t="inlineStr">
        <is>
          <t>Claremont</t>
        </is>
      </c>
      <c r="C127" s="8" t="inlineStr">
        <is>
          <t>CA</t>
        </is>
      </c>
      <c r="D127" s="8" t="inlineStr">
        <is>
          <t>Private</t>
        </is>
      </c>
      <c r="E127" s="9" t="n">
        <v>9170</v>
      </c>
      <c r="F127" s="9" t="n">
        <v>74305</v>
      </c>
      <c r="G127" s="8">
        <f>RANK(F127,$F$5:$F$1561)</f>
        <v/>
      </c>
      <c r="H127" s="8" t="inlineStr"/>
      <c r="I127" s="9">
        <f>IF(D127="Private",E127,"")</f>
        <v/>
      </c>
      <c r="J127" s="9">
        <f>IF(D127="Private",F127,"")</f>
        <v/>
      </c>
    </row>
    <row r="128">
      <c r="A128" s="8" t="inlineStr">
        <is>
          <t>University of Washington-Seattle Campus</t>
        </is>
      </c>
      <c r="B128" s="8" t="inlineStr">
        <is>
          <t>Seattle</t>
        </is>
      </c>
      <c r="C128" s="8" t="inlineStr">
        <is>
          <t>WA</t>
        </is>
      </c>
      <c r="D128" s="8" t="inlineStr">
        <is>
          <t>Public</t>
        </is>
      </c>
      <c r="E128" s="9" t="n">
        <v>10933</v>
      </c>
      <c r="F128" s="9" t="n">
        <v>74063</v>
      </c>
      <c r="G128" s="8">
        <f>RANK(F128,$F$5:$F$1561)</f>
        <v/>
      </c>
      <c r="H128" s="8" t="inlineStr"/>
      <c r="I128" s="9">
        <f>IF(D128="Private",E128,"")</f>
        <v/>
      </c>
      <c r="J128" s="9">
        <f>IF(D128="Private",F128,"")</f>
        <v/>
      </c>
    </row>
    <row r="129">
      <c r="A129" s="8" t="inlineStr">
        <is>
          <t>University of Washington-Bothell Campus</t>
        </is>
      </c>
      <c r="B129" s="8" t="inlineStr">
        <is>
          <t>Bothell</t>
        </is>
      </c>
      <c r="C129" s="8" t="inlineStr">
        <is>
          <t>WA</t>
        </is>
      </c>
      <c r="D129" s="8" t="inlineStr">
        <is>
          <t>Public</t>
        </is>
      </c>
      <c r="E129" s="9" t="n">
        <v>9280</v>
      </c>
      <c r="F129" s="9" t="n">
        <v>74063</v>
      </c>
      <c r="G129" s="8">
        <f>RANK(F129,$F$5:$F$1561)</f>
        <v/>
      </c>
      <c r="H129" s="8" t="inlineStr"/>
      <c r="I129" s="9">
        <f>IF(D129="Private",E129,"")</f>
        <v/>
      </c>
      <c r="J129" s="9">
        <f>IF(D129="Private",F129,"")</f>
        <v/>
      </c>
    </row>
    <row r="130">
      <c r="A130" s="8" t="inlineStr">
        <is>
          <t>University of Washington-Tacoma Campus</t>
        </is>
      </c>
      <c r="B130" s="8" t="inlineStr">
        <is>
          <t>Tacoma</t>
        </is>
      </c>
      <c r="C130" s="8" t="inlineStr">
        <is>
          <t>WA</t>
        </is>
      </c>
      <c r="D130" s="8" t="inlineStr">
        <is>
          <t>Public</t>
        </is>
      </c>
      <c r="E130" s="9" t="n">
        <v>8541</v>
      </c>
      <c r="F130" s="9" t="n">
        <v>74063</v>
      </c>
      <c r="G130" s="8">
        <f>RANK(F130,$F$5:$F$1561)</f>
        <v/>
      </c>
      <c r="H130" s="8" t="inlineStr"/>
      <c r="I130" s="9">
        <f>IF(D130="Private",E130,"")</f>
        <v/>
      </c>
      <c r="J130" s="9">
        <f>IF(D130="Private",F130,"")</f>
        <v/>
      </c>
    </row>
    <row r="131">
      <c r="A131" s="8" t="inlineStr">
        <is>
          <t>Brandeis University</t>
        </is>
      </c>
      <c r="B131" s="8" t="inlineStr">
        <is>
          <t>Waltham</t>
        </is>
      </c>
      <c r="C131" s="8" t="inlineStr">
        <is>
          <t>MA</t>
        </is>
      </c>
      <c r="D131" s="8" t="inlineStr">
        <is>
          <t>Private</t>
        </is>
      </c>
      <c r="E131" s="9" t="n">
        <v>29959</v>
      </c>
      <c r="F131" s="9" t="n">
        <v>73676</v>
      </c>
      <c r="G131" s="8">
        <f>RANK(F131,$F$5:$F$1561)</f>
        <v/>
      </c>
      <c r="H131" s="8" t="inlineStr"/>
      <c r="I131" s="9">
        <f>IF(D131="Private",E131,"")</f>
        <v/>
      </c>
      <c r="J131" s="9">
        <f>IF(D131="Private",F131,"")</f>
        <v/>
      </c>
    </row>
    <row r="132">
      <c r="A132" s="8" t="inlineStr">
        <is>
          <t>Seattle University</t>
        </is>
      </c>
      <c r="B132" s="8" t="inlineStr">
        <is>
          <t>Seattle</t>
        </is>
      </c>
      <c r="C132" s="8" t="inlineStr">
        <is>
          <t>WA</t>
        </is>
      </c>
      <c r="D132" s="8" t="inlineStr">
        <is>
          <t>Private</t>
        </is>
      </c>
      <c r="E132" s="9" t="n">
        <v>35518</v>
      </c>
      <c r="F132" s="9" t="n">
        <v>73484</v>
      </c>
      <c r="G132" s="8">
        <f>RANK(F132,$F$5:$F$1561)</f>
        <v/>
      </c>
      <c r="H132" s="8" t="inlineStr"/>
      <c r="I132" s="9">
        <f>IF(D132="Private",E132,"")</f>
        <v/>
      </c>
      <c r="J132" s="9">
        <f>IF(D132="Private",F132,"")</f>
        <v/>
      </c>
    </row>
    <row r="133">
      <c r="A133" s="8" t="inlineStr">
        <is>
          <t>Drake University</t>
        </is>
      </c>
      <c r="B133" s="8" t="inlineStr">
        <is>
          <t>Des Moines</t>
        </is>
      </c>
      <c r="C133" s="8" t="inlineStr">
        <is>
          <t>IA</t>
        </is>
      </c>
      <c r="D133" s="8" t="inlineStr">
        <is>
          <t>Private</t>
        </is>
      </c>
      <c r="E133" s="9" t="n">
        <v>29098</v>
      </c>
      <c r="F133" s="9" t="n">
        <v>73451</v>
      </c>
      <c r="G133" s="8">
        <f>RANK(F133,$F$5:$F$1561)</f>
        <v/>
      </c>
      <c r="H133" s="8" t="inlineStr"/>
      <c r="I133" s="9">
        <f>IF(D133="Private",E133,"")</f>
        <v/>
      </c>
      <c r="J133" s="9">
        <f>IF(D133="Private",F133,"")</f>
        <v/>
      </c>
    </row>
    <row r="134">
      <c r="A134" s="8" t="inlineStr">
        <is>
          <t>Mount Saint Mary's University</t>
        </is>
      </c>
      <c r="B134" s="8" t="inlineStr">
        <is>
          <t>Los Angeles</t>
        </is>
      </c>
      <c r="C134" s="8" t="inlineStr">
        <is>
          <t>CA</t>
        </is>
      </c>
      <c r="D134" s="8" t="inlineStr">
        <is>
          <t>Private</t>
        </is>
      </c>
      <c r="E134" s="9" t="n">
        <v>35184</v>
      </c>
      <c r="F134" s="9" t="n">
        <v>72991</v>
      </c>
      <c r="G134" s="8">
        <f>RANK(F134,$F$5:$F$1561)</f>
        <v/>
      </c>
      <c r="H134" s="8" t="inlineStr"/>
      <c r="I134" s="9">
        <f>IF(D134="Private",E134,"")</f>
        <v/>
      </c>
      <c r="J134" s="9">
        <f>IF(D134="Private",F134,"")</f>
        <v/>
      </c>
    </row>
    <row r="135">
      <c r="A135" s="8" t="inlineStr">
        <is>
          <t>Butler University</t>
        </is>
      </c>
      <c r="B135" s="8" t="inlineStr">
        <is>
          <t>Indianapolis</t>
        </is>
      </c>
      <c r="C135" s="8" t="inlineStr">
        <is>
          <t>IN</t>
        </is>
      </c>
      <c r="D135" s="8" t="inlineStr">
        <is>
          <t>Private</t>
        </is>
      </c>
      <c r="E135" s="9" t="n">
        <v>36631</v>
      </c>
      <c r="F135" s="9" t="n">
        <v>72865</v>
      </c>
      <c r="G135" s="8">
        <f>RANK(F135,$F$5:$F$1561)</f>
        <v/>
      </c>
      <c r="H135" s="8" t="inlineStr"/>
      <c r="I135" s="9">
        <f>IF(D135="Private",E135,"")</f>
        <v/>
      </c>
      <c r="J135" s="9">
        <f>IF(D135="Private",F135,"")</f>
        <v/>
      </c>
    </row>
    <row r="136">
      <c r="A136" s="8" t="inlineStr">
        <is>
          <t>The University of Texas at Austin</t>
        </is>
      </c>
      <c r="B136" s="8" t="inlineStr">
        <is>
          <t>Austin</t>
        </is>
      </c>
      <c r="C136" s="8" t="inlineStr">
        <is>
          <t>TX</t>
        </is>
      </c>
      <c r="D136" s="8" t="inlineStr">
        <is>
          <t>Public</t>
        </is>
      </c>
      <c r="E136" s="9" t="n">
        <v>17519</v>
      </c>
      <c r="F136" s="9" t="n">
        <v>72713</v>
      </c>
      <c r="G136" s="8">
        <f>RANK(F136,$F$5:$F$1561)</f>
        <v/>
      </c>
      <c r="H136" s="8" t="inlineStr"/>
      <c r="I136" s="9">
        <f>IF(D136="Private",E136,"")</f>
        <v/>
      </c>
      <c r="J136" s="9">
        <f>IF(D136="Private",F136,"")</f>
        <v/>
      </c>
    </row>
    <row r="137">
      <c r="A137" s="8" t="inlineStr">
        <is>
          <t>Gettysburg College</t>
        </is>
      </c>
      <c r="B137" s="8" t="inlineStr">
        <is>
          <t>Gettysburg</t>
        </is>
      </c>
      <c r="C137" s="8" t="inlineStr">
        <is>
          <t>PA</t>
        </is>
      </c>
      <c r="D137" s="8" t="inlineStr">
        <is>
          <t>Private</t>
        </is>
      </c>
      <c r="E137" s="9" t="n">
        <v>26853</v>
      </c>
      <c r="F137" s="9" t="n">
        <v>72638</v>
      </c>
      <c r="G137" s="8">
        <f>RANK(F137,$F$5:$F$1561)</f>
        <v/>
      </c>
      <c r="H137" s="8" t="inlineStr"/>
      <c r="I137" s="9">
        <f>IF(D137="Private",E137,"")</f>
        <v/>
      </c>
      <c r="J137" s="9">
        <f>IF(D137="Private",F137,"")</f>
        <v/>
      </c>
    </row>
    <row r="138">
      <c r="A138" s="8" t="inlineStr">
        <is>
          <t>San Jose State University</t>
        </is>
      </c>
      <c r="B138" s="8" t="inlineStr">
        <is>
          <t>San Jose</t>
        </is>
      </c>
      <c r="C138" s="8" t="inlineStr">
        <is>
          <t>CA</t>
        </is>
      </c>
      <c r="D138" s="8" t="inlineStr">
        <is>
          <t>Public</t>
        </is>
      </c>
      <c r="E138" s="9" t="n">
        <v>13874</v>
      </c>
      <c r="F138" s="9" t="n">
        <v>72635</v>
      </c>
      <c r="G138" s="8">
        <f>RANK(F138,$F$5:$F$1561)</f>
        <v/>
      </c>
      <c r="H138" s="8" t="inlineStr"/>
      <c r="I138" s="9">
        <f>IF(D138="Private",E138,"")</f>
        <v/>
      </c>
      <c r="J138" s="9">
        <f>IF(D138="Private",F138,"")</f>
        <v/>
      </c>
    </row>
    <row r="139">
      <c r="A139" s="8" t="inlineStr">
        <is>
          <t>University of St Thomas</t>
        </is>
      </c>
      <c r="B139" s="8" t="inlineStr">
        <is>
          <t>Saint Paul</t>
        </is>
      </c>
      <c r="C139" s="8" t="inlineStr">
        <is>
          <t>MN</t>
        </is>
      </c>
      <c r="D139" s="8" t="inlineStr">
        <is>
          <t>Private</t>
        </is>
      </c>
      <c r="E139" s="9" t="n">
        <v>28142</v>
      </c>
      <c r="F139" s="9" t="n">
        <v>72582</v>
      </c>
      <c r="G139" s="8">
        <f>RANK(F139,$F$5:$F$1561)</f>
        <v/>
      </c>
      <c r="H139" s="8" t="inlineStr"/>
      <c r="I139" s="9">
        <f>IF(D139="Private",E139,"")</f>
        <v/>
      </c>
      <c r="J139" s="9">
        <f>IF(D139="Private",F139,"")</f>
        <v/>
      </c>
    </row>
    <row r="140">
      <c r="A140" s="8" t="inlineStr">
        <is>
          <t>Dickinson College</t>
        </is>
      </c>
      <c r="B140" s="8" t="inlineStr">
        <is>
          <t>Carlisle</t>
        </is>
      </c>
      <c r="C140" s="8" t="inlineStr">
        <is>
          <t>PA</t>
        </is>
      </c>
      <c r="D140" s="8" t="inlineStr">
        <is>
          <t>Private</t>
        </is>
      </c>
      <c r="E140" s="9" t="n">
        <v>15554</v>
      </c>
      <c r="F140" s="9" t="n">
        <v>72568</v>
      </c>
      <c r="G140" s="8">
        <f>RANK(F140,$F$5:$F$1561)</f>
        <v/>
      </c>
      <c r="H140" s="8" t="inlineStr"/>
      <c r="I140" s="9">
        <f>IF(D140="Private",E140,"")</f>
        <v/>
      </c>
      <c r="J140" s="9">
        <f>IF(D140="Private",F140,"")</f>
        <v/>
      </c>
    </row>
    <row r="141">
      <c r="A141" s="8" t="inlineStr">
        <is>
          <t>Wesleyan University</t>
        </is>
      </c>
      <c r="B141" s="8" t="inlineStr">
        <is>
          <t>Middletown</t>
        </is>
      </c>
      <c r="C141" s="8" t="inlineStr">
        <is>
          <t>CT</t>
        </is>
      </c>
      <c r="D141" s="8" t="inlineStr">
        <is>
          <t>Private</t>
        </is>
      </c>
      <c r="E141" s="9" t="n">
        <v>26080</v>
      </c>
      <c r="F141" s="9" t="n">
        <v>72547</v>
      </c>
      <c r="G141" s="8">
        <f>RANK(F141,$F$5:$F$1561)</f>
        <v/>
      </c>
      <c r="H141" s="8" t="inlineStr"/>
      <c r="I141" s="9">
        <f>IF(D141="Private",E141,"")</f>
        <v/>
      </c>
      <c r="J141" s="9">
        <f>IF(D141="Private",F141,"")</f>
        <v/>
      </c>
    </row>
    <row r="142">
      <c r="A142" s="8" t="inlineStr">
        <is>
          <t>Molloy College</t>
        </is>
      </c>
      <c r="B142" s="8" t="inlineStr">
        <is>
          <t>Rockville Centre</t>
        </is>
      </c>
      <c r="C142" s="8" t="inlineStr">
        <is>
          <t>NY</t>
        </is>
      </c>
      <c r="D142" s="8" t="inlineStr">
        <is>
          <t>Private</t>
        </is>
      </c>
      <c r="E142" s="9" t="n">
        <v>25978</v>
      </c>
      <c r="F142" s="9" t="n">
        <v>72153</v>
      </c>
      <c r="G142" s="8">
        <f>RANK(F142,$F$5:$F$1561)</f>
        <v/>
      </c>
      <c r="H142" s="8" t="inlineStr"/>
      <c r="I142" s="9">
        <f>IF(D142="Private",E142,"")</f>
        <v/>
      </c>
      <c r="J142" s="9">
        <f>IF(D142="Private",F142,"")</f>
        <v/>
      </c>
    </row>
    <row r="143">
      <c r="A143" s="8" t="inlineStr">
        <is>
          <t>Bryn Mawr College</t>
        </is>
      </c>
      <c r="B143" s="8" t="inlineStr">
        <is>
          <t>Bryn Mawr</t>
        </is>
      </c>
      <c r="C143" s="8" t="inlineStr">
        <is>
          <t>PA</t>
        </is>
      </c>
      <c r="D143" s="8" t="inlineStr">
        <is>
          <t>Private</t>
        </is>
      </c>
      <c r="E143" s="9" t="n">
        <v>40350</v>
      </c>
      <c r="F143" s="9" t="n">
        <v>72117</v>
      </c>
      <c r="G143" s="8">
        <f>RANK(F143,$F$5:$F$1561)</f>
        <v/>
      </c>
      <c r="H143" s="8" t="inlineStr"/>
      <c r="I143" s="9">
        <f>IF(D143="Private",E143,"")</f>
        <v/>
      </c>
      <c r="J143" s="9">
        <f>IF(D143="Private",F143,"")</f>
        <v/>
      </c>
    </row>
    <row r="144">
      <c r="A144" s="8" t="inlineStr">
        <is>
          <t>Creighton University</t>
        </is>
      </c>
      <c r="B144" s="8" t="inlineStr">
        <is>
          <t>Omaha</t>
        </is>
      </c>
      <c r="C144" s="8" t="inlineStr">
        <is>
          <t>NE</t>
        </is>
      </c>
      <c r="D144" s="8" t="inlineStr">
        <is>
          <t>Private</t>
        </is>
      </c>
      <c r="E144" s="9" t="n">
        <v>30807</v>
      </c>
      <c r="F144" s="9" t="n">
        <v>71997</v>
      </c>
      <c r="G144" s="8">
        <f>RANK(F144,$F$5:$F$1561)</f>
        <v/>
      </c>
      <c r="H144" s="8" t="inlineStr"/>
      <c r="I144" s="9">
        <f>IF(D144="Private",E144,"")</f>
        <v/>
      </c>
      <c r="J144" s="9">
        <f>IF(D144="Private",F144,"")</f>
        <v/>
      </c>
    </row>
    <row r="145">
      <c r="A145" s="8" t="inlineStr">
        <is>
          <t>Citadel Military College of South Carolina</t>
        </is>
      </c>
      <c r="B145" s="8" t="inlineStr">
        <is>
          <t>Charleston</t>
        </is>
      </c>
      <c r="C145" s="8" t="inlineStr">
        <is>
          <t>SC</t>
        </is>
      </c>
      <c r="D145" s="8" t="inlineStr">
        <is>
          <t>Public</t>
        </is>
      </c>
      <c r="E145" s="9" t="n">
        <v>19731</v>
      </c>
      <c r="F145" s="9" t="n">
        <v>71951</v>
      </c>
      <c r="G145" s="8">
        <f>RANK(F145,$F$5:$F$1561)</f>
        <v/>
      </c>
      <c r="H145" s="8" t="inlineStr"/>
      <c r="I145" s="9">
        <f>IF(D145="Private",E145,"")</f>
        <v/>
      </c>
      <c r="J145" s="9">
        <f>IF(D145="Private",F145,"")</f>
        <v/>
      </c>
    </row>
    <row r="146">
      <c r="A146" s="8" t="inlineStr">
        <is>
          <t>Siena College</t>
        </is>
      </c>
      <c r="B146" s="8" t="inlineStr">
        <is>
          <t>Loudonville</t>
        </is>
      </c>
      <c r="C146" s="8" t="inlineStr">
        <is>
          <t>NY</t>
        </is>
      </c>
      <c r="D146" s="8" t="inlineStr">
        <is>
          <t>Private</t>
        </is>
      </c>
      <c r="E146" s="9" t="n">
        <v>31537</v>
      </c>
      <c r="F146" s="9" t="n">
        <v>71883</v>
      </c>
      <c r="G146" s="8">
        <f>RANK(F146,$F$5:$F$1561)</f>
        <v/>
      </c>
      <c r="H146" s="8" t="inlineStr"/>
      <c r="I146" s="9">
        <f>IF(D146="Private",E146,"")</f>
        <v/>
      </c>
      <c r="J146" s="9">
        <f>IF(D146="Private",F146,"")</f>
        <v/>
      </c>
    </row>
    <row r="147">
      <c r="A147" s="8" t="inlineStr">
        <is>
          <t>University of Delaware</t>
        </is>
      </c>
      <c r="B147" s="8" t="inlineStr">
        <is>
          <t>Newark</t>
        </is>
      </c>
      <c r="C147" s="8" t="inlineStr">
        <is>
          <t>DE</t>
        </is>
      </c>
      <c r="D147" s="8" t="inlineStr">
        <is>
          <t>Public</t>
        </is>
      </c>
      <c r="E147" s="9" t="n">
        <v>18313</v>
      </c>
      <c r="F147" s="9" t="n">
        <v>71861</v>
      </c>
      <c r="G147" s="8">
        <f>RANK(F147,$F$5:$F$1561)</f>
        <v/>
      </c>
      <c r="H147" s="8" t="inlineStr"/>
      <c r="I147" s="9">
        <f>IF(D147="Private",E147,"")</f>
        <v/>
      </c>
      <c r="J147" s="9">
        <f>IF(D147="Private",F147,"")</f>
        <v/>
      </c>
    </row>
    <row r="148">
      <c r="A148" s="8" t="inlineStr">
        <is>
          <t>Duquesne University</t>
        </is>
      </c>
      <c r="B148" s="8" t="inlineStr">
        <is>
          <t>Pittsburgh</t>
        </is>
      </c>
      <c r="C148" s="8" t="inlineStr">
        <is>
          <t>PA</t>
        </is>
      </c>
      <c r="D148" s="8" t="inlineStr">
        <is>
          <t>Private</t>
        </is>
      </c>
      <c r="E148" s="9" t="n">
        <v>33823</v>
      </c>
      <c r="F148" s="9" t="n">
        <v>71826</v>
      </c>
      <c r="G148" s="8">
        <f>RANK(F148,$F$5:$F$1561)</f>
        <v/>
      </c>
      <c r="H148" s="8" t="inlineStr"/>
      <c r="I148" s="9">
        <f>IF(D148="Private",E148,"")</f>
        <v/>
      </c>
      <c r="J148" s="9">
        <f>IF(D148="Private",F148,"")</f>
        <v/>
      </c>
    </row>
    <row r="149">
      <c r="A149" s="8" t="inlineStr">
        <is>
          <t>Loyola Marymount University</t>
        </is>
      </c>
      <c r="B149" s="8" t="inlineStr">
        <is>
          <t>Los Angeles</t>
        </is>
      </c>
      <c r="C149" s="8" t="inlineStr">
        <is>
          <t>CA</t>
        </is>
      </c>
      <c r="D149" s="8" t="inlineStr">
        <is>
          <t>Private</t>
        </is>
      </c>
      <c r="E149" s="9" t="n">
        <v>34580</v>
      </c>
      <c r="F149" s="9" t="n">
        <v>71771</v>
      </c>
      <c r="G149" s="8">
        <f>RANK(F149,$F$5:$F$1561)</f>
        <v/>
      </c>
      <c r="H149" s="8" t="inlineStr"/>
      <c r="I149" s="9">
        <f>IF(D149="Private",E149,"")</f>
        <v/>
      </c>
      <c r="J149" s="9">
        <f>IF(D149="Private",F149,"")</f>
        <v/>
      </c>
    </row>
    <row r="150">
      <c r="A150" s="8" t="inlineStr">
        <is>
          <t>University of Miami</t>
        </is>
      </c>
      <c r="B150" s="8" t="inlineStr">
        <is>
          <t>Coral Gables</t>
        </is>
      </c>
      <c r="C150" s="8" t="inlineStr">
        <is>
          <t>FL</t>
        </is>
      </c>
      <c r="D150" s="8" t="inlineStr">
        <is>
          <t>Private</t>
        </is>
      </c>
      <c r="E150" s="9" t="n">
        <v>30742</v>
      </c>
      <c r="F150" s="9" t="n">
        <v>71739</v>
      </c>
      <c r="G150" s="8">
        <f>RANK(F150,$F$5:$F$1561)</f>
        <v/>
      </c>
      <c r="H150" s="8" t="inlineStr"/>
      <c r="I150" s="9">
        <f>IF(D150="Private",E150,"")</f>
        <v/>
      </c>
      <c r="J150" s="9">
        <f>IF(D150="Private",F150,"")</f>
        <v/>
      </c>
    </row>
    <row r="151">
      <c r="A151" s="8" t="inlineStr">
        <is>
          <t>Saint Mary's College of California</t>
        </is>
      </c>
      <c r="B151" s="8" t="inlineStr">
        <is>
          <t>Moraga</t>
        </is>
      </c>
      <c r="C151" s="8" t="inlineStr">
        <is>
          <t>CA</t>
        </is>
      </c>
      <c r="D151" s="8" t="inlineStr">
        <is>
          <t>Private</t>
        </is>
      </c>
      <c r="E151" s="9" t="n">
        <v>22620</v>
      </c>
      <c r="F151" s="9" t="n">
        <v>71724</v>
      </c>
      <c r="G151" s="8">
        <f>RANK(F151,$F$5:$F$1561)</f>
        <v/>
      </c>
      <c r="H151" s="8" t="inlineStr"/>
      <c r="I151" s="9">
        <f>IF(D151="Private",E151,"")</f>
        <v/>
      </c>
      <c r="J151" s="9">
        <f>IF(D151="Private",F151,"")</f>
        <v/>
      </c>
    </row>
    <row r="152">
      <c r="A152" s="8" t="inlineStr">
        <is>
          <t>Thomas Jefferson University</t>
        </is>
      </c>
      <c r="B152" s="8" t="inlineStr">
        <is>
          <t>Philadelphia</t>
        </is>
      </c>
      <c r="C152" s="8" t="inlineStr">
        <is>
          <t>PA</t>
        </is>
      </c>
      <c r="D152" s="8" t="inlineStr">
        <is>
          <t>Private</t>
        </is>
      </c>
      <c r="E152" s="9" t="n">
        <v>22018</v>
      </c>
      <c r="F152" s="9" t="n">
        <v>71676</v>
      </c>
      <c r="G152" s="8">
        <f>RANK(F152,$F$5:$F$1561)</f>
        <v/>
      </c>
      <c r="H152" s="8" t="inlineStr"/>
      <c r="I152" s="9">
        <f>IF(D152="Private",E152,"")</f>
        <v/>
      </c>
      <c r="J152" s="9">
        <f>IF(D152="Private",F152,"")</f>
        <v/>
      </c>
    </row>
    <row r="153">
      <c r="A153" s="8" t="inlineStr">
        <is>
          <t>South Dakota School of Mines and Technology</t>
        </is>
      </c>
      <c r="B153" s="8" t="inlineStr">
        <is>
          <t>Rapid City</t>
        </is>
      </c>
      <c r="C153" s="8" t="inlineStr">
        <is>
          <t>SD</t>
        </is>
      </c>
      <c r="D153" s="8" t="inlineStr">
        <is>
          <t>Public</t>
        </is>
      </c>
      <c r="E153" s="9" t="n">
        <v>19592</v>
      </c>
      <c r="F153" s="9" t="n">
        <v>71277</v>
      </c>
      <c r="G153" s="8">
        <f>RANK(F153,$F$5:$F$1561)</f>
        <v/>
      </c>
      <c r="H153" s="8" t="inlineStr"/>
      <c r="I153" s="9">
        <f>IF(D153="Private",E153,"")</f>
        <v/>
      </c>
      <c r="J153" s="9">
        <f>IF(D153="Private",F153,"")</f>
        <v/>
      </c>
    </row>
    <row r="154">
      <c r="A154" s="8" t="inlineStr">
        <is>
          <t>Dominican University of California</t>
        </is>
      </c>
      <c r="B154" s="8" t="inlineStr">
        <is>
          <t>San Rafael</t>
        </is>
      </c>
      <c r="C154" s="8" t="inlineStr">
        <is>
          <t>CA</t>
        </is>
      </c>
      <c r="D154" s="8" t="inlineStr">
        <is>
          <t>Private</t>
        </is>
      </c>
      <c r="E154" s="9" t="n">
        <v>44990</v>
      </c>
      <c r="F154" s="9" t="n">
        <v>71134</v>
      </c>
      <c r="G154" s="8">
        <f>RANK(F154,$F$5:$F$1561)</f>
        <v/>
      </c>
      <c r="H154" s="8" t="inlineStr"/>
      <c r="I154" s="9">
        <f>IF(D154="Private",E154,"")</f>
        <v/>
      </c>
      <c r="J154" s="9">
        <f>IF(D154="Private",F154,"")</f>
        <v/>
      </c>
    </row>
    <row r="155">
      <c r="A155" s="8" t="inlineStr">
        <is>
          <t>CUNY Bernard M Baruch College</t>
        </is>
      </c>
      <c r="B155" s="8" t="inlineStr">
        <is>
          <t>New York</t>
        </is>
      </c>
      <c r="C155" s="8" t="inlineStr">
        <is>
          <t>NY</t>
        </is>
      </c>
      <c r="D155" s="8" t="inlineStr">
        <is>
          <t>Public</t>
        </is>
      </c>
      <c r="E155" s="9" t="n">
        <v>1936</v>
      </c>
      <c r="F155" s="9" t="n">
        <v>71078</v>
      </c>
      <c r="G155" s="8">
        <f>RANK(F155,$F$5:$F$1561)</f>
        <v/>
      </c>
      <c r="H155" s="8" t="inlineStr"/>
      <c r="I155" s="9">
        <f>IF(D155="Private",E155,"")</f>
        <v/>
      </c>
      <c r="J155" s="9">
        <f>IF(D155="Private",F155,"")</f>
        <v/>
      </c>
    </row>
    <row r="156">
      <c r="A156" s="8" t="inlineStr">
        <is>
          <t>University of Dayton</t>
        </is>
      </c>
      <c r="B156" s="8" t="inlineStr">
        <is>
          <t>Dayton</t>
        </is>
      </c>
      <c r="C156" s="8" t="inlineStr">
        <is>
          <t>OH</t>
        </is>
      </c>
      <c r="D156" s="8" t="inlineStr">
        <is>
          <t>Private</t>
        </is>
      </c>
      <c r="E156" s="9" t="n">
        <v>27407</v>
      </c>
      <c r="F156" s="9" t="n">
        <v>71015</v>
      </c>
      <c r="G156" s="8">
        <f>RANK(F156,$F$5:$F$1561)</f>
        <v/>
      </c>
      <c r="H156" s="8" t="inlineStr"/>
      <c r="I156" s="9">
        <f>IF(D156="Private",E156,"")</f>
        <v/>
      </c>
      <c r="J156" s="9">
        <f>IF(D156="Private",F156,"")</f>
        <v/>
      </c>
    </row>
    <row r="157">
      <c r="A157" s="8" t="inlineStr">
        <is>
          <t>Texas A &amp; M University-College Station</t>
        </is>
      </c>
      <c r="B157" s="8" t="inlineStr">
        <is>
          <t>College Station</t>
        </is>
      </c>
      <c r="C157" s="8" t="inlineStr">
        <is>
          <t>TX</t>
        </is>
      </c>
      <c r="D157" s="8" t="inlineStr">
        <is>
          <t>Public</t>
        </is>
      </c>
      <c r="E157" s="9" t="n">
        <v>20976</v>
      </c>
      <c r="F157" s="9" t="n">
        <v>70877</v>
      </c>
      <c r="G157" s="8">
        <f>RANK(F157,$F$5:$F$1561)</f>
        <v/>
      </c>
      <c r="H157" s="8" t="inlineStr"/>
      <c r="I157" s="9">
        <f>IF(D157="Private",E157,"")</f>
        <v/>
      </c>
      <c r="J157" s="9">
        <f>IF(D157="Private",F157,"")</f>
        <v/>
      </c>
    </row>
    <row r="158">
      <c r="A158" s="8" t="inlineStr">
        <is>
          <t>Art Center College of Design</t>
        </is>
      </c>
      <c r="B158" s="8" t="inlineStr">
        <is>
          <t>Pasadena</t>
        </is>
      </c>
      <c r="C158" s="8" t="inlineStr">
        <is>
          <t>CA</t>
        </is>
      </c>
      <c r="D158" s="8" t="inlineStr">
        <is>
          <t>Private</t>
        </is>
      </c>
      <c r="E158" s="9" t="n">
        <v>46201</v>
      </c>
      <c r="F158" s="9" t="n">
        <v>70731</v>
      </c>
      <c r="G158" s="8">
        <f>RANK(F158,$F$5:$F$1561)</f>
        <v/>
      </c>
      <c r="H158" s="8" t="inlineStr"/>
      <c r="I158" s="9">
        <f>IF(D158="Private",E158,"")</f>
        <v/>
      </c>
      <c r="J158" s="9">
        <f>IF(D158="Private",F158,"")</f>
        <v/>
      </c>
    </row>
    <row r="159">
      <c r="A159" s="8" t="inlineStr">
        <is>
          <t>Hampden-Sydney College</t>
        </is>
      </c>
      <c r="B159" s="8" t="inlineStr">
        <is>
          <t>Hampden-Sydney</t>
        </is>
      </c>
      <c r="C159" s="8" t="inlineStr">
        <is>
          <t>VA</t>
        </is>
      </c>
      <c r="D159" s="8" t="inlineStr">
        <is>
          <t>Private</t>
        </is>
      </c>
      <c r="E159" s="9" t="n">
        <v>24701</v>
      </c>
      <c r="F159" s="9" t="n">
        <v>70692</v>
      </c>
      <c r="G159" s="8">
        <f>RANK(F159,$F$5:$F$1561)</f>
        <v/>
      </c>
      <c r="H159" s="8" t="inlineStr"/>
      <c r="I159" s="9">
        <f>IF(D159="Private",E159,"")</f>
        <v/>
      </c>
      <c r="J159" s="9">
        <f>IF(D159="Private",F159,"")</f>
        <v/>
      </c>
    </row>
    <row r="160">
      <c r="A160" s="8" t="inlineStr">
        <is>
          <t>Stony Brook University</t>
        </is>
      </c>
      <c r="B160" s="8" t="inlineStr">
        <is>
          <t>Stony Brook</t>
        </is>
      </c>
      <c r="C160" s="8" t="inlineStr">
        <is>
          <t>NY</t>
        </is>
      </c>
      <c r="D160" s="8" t="inlineStr">
        <is>
          <t>Public</t>
        </is>
      </c>
      <c r="E160" s="9" t="n">
        <v>16357</v>
      </c>
      <c r="F160" s="9" t="n">
        <v>70686</v>
      </c>
      <c r="G160" s="8">
        <f>RANK(F160,$F$5:$F$1561)</f>
        <v/>
      </c>
      <c r="H160" s="8" t="inlineStr"/>
      <c r="I160" s="9">
        <f>IF(D160="Private",E160,"")</f>
        <v/>
      </c>
      <c r="J160" s="9">
        <f>IF(D160="Private",F160,"")</f>
        <v/>
      </c>
    </row>
    <row r="161">
      <c r="A161" s="8" t="inlineStr">
        <is>
          <t>University of Wisconsin-Madison</t>
        </is>
      </c>
      <c r="B161" s="8" t="inlineStr">
        <is>
          <t>Madison</t>
        </is>
      </c>
      <c r="C161" s="8" t="inlineStr">
        <is>
          <t>WI</t>
        </is>
      </c>
      <c r="D161" s="8" t="inlineStr">
        <is>
          <t>Public</t>
        </is>
      </c>
      <c r="E161" s="9" t="n">
        <v>16708</v>
      </c>
      <c r="F161" s="9" t="n">
        <v>70586</v>
      </c>
      <c r="G161" s="8">
        <f>RANK(F161,$F$5:$F$1561)</f>
        <v/>
      </c>
      <c r="H161" s="8" t="inlineStr"/>
      <c r="I161" s="9">
        <f>IF(D161="Private",E161,"")</f>
        <v/>
      </c>
      <c r="J161" s="9">
        <f>IF(D161="Private",F161,"")</f>
        <v/>
      </c>
    </row>
    <row r="162">
      <c r="A162" s="8" t="inlineStr">
        <is>
          <t>The College of New Jersey</t>
        </is>
      </c>
      <c r="B162" s="8" t="inlineStr">
        <is>
          <t>Ewing</t>
        </is>
      </c>
      <c r="C162" s="8" t="inlineStr">
        <is>
          <t>NJ</t>
        </is>
      </c>
      <c r="D162" s="8" t="inlineStr">
        <is>
          <t>Public</t>
        </is>
      </c>
      <c r="E162" s="9" t="n">
        <v>17138</v>
      </c>
      <c r="F162" s="9" t="n">
        <v>70578</v>
      </c>
      <c r="G162" s="8">
        <f>RANK(F162,$F$5:$F$1561)</f>
        <v/>
      </c>
      <c r="H162" s="8" t="inlineStr"/>
      <c r="I162" s="9">
        <f>IF(D162="Private",E162,"")</f>
        <v/>
      </c>
      <c r="J162" s="9">
        <f>IF(D162="Private",F162,"")</f>
        <v/>
      </c>
    </row>
    <row r="163">
      <c r="A163" s="8" t="inlineStr">
        <is>
          <t>Wagner College</t>
        </is>
      </c>
      <c r="B163" s="8" t="inlineStr">
        <is>
          <t>Staten Island</t>
        </is>
      </c>
      <c r="C163" s="8" t="inlineStr">
        <is>
          <t>NY</t>
        </is>
      </c>
      <c r="D163" s="8" t="inlineStr">
        <is>
          <t>Private</t>
        </is>
      </c>
      <c r="E163" s="9" t="n">
        <v>29640</v>
      </c>
      <c r="F163" s="9" t="n">
        <v>70488</v>
      </c>
      <c r="G163" s="8">
        <f>RANK(F163,$F$5:$F$1561)</f>
        <v/>
      </c>
      <c r="H163" s="8" t="inlineStr"/>
      <c r="I163" s="9">
        <f>IF(D163="Private",E163,"")</f>
        <v/>
      </c>
      <c r="J163" s="9">
        <f>IF(D163="Private",F163,"")</f>
        <v/>
      </c>
    </row>
    <row r="164">
      <c r="A164" s="8" t="inlineStr">
        <is>
          <t>Scripps College</t>
        </is>
      </c>
      <c r="B164" s="8" t="inlineStr">
        <is>
          <t>Claremont</t>
        </is>
      </c>
      <c r="C164" s="8" t="inlineStr">
        <is>
          <t>CA</t>
        </is>
      </c>
      <c r="D164" s="8" t="inlineStr">
        <is>
          <t>Private</t>
        </is>
      </c>
      <c r="E164" s="9" t="n">
        <v>39142</v>
      </c>
      <c r="F164" s="9" t="n">
        <v>70465</v>
      </c>
      <c r="G164" s="8">
        <f>RANK(F164,$F$5:$F$1561)</f>
        <v/>
      </c>
      <c r="H164" s="8" t="inlineStr"/>
      <c r="I164" s="9">
        <f>IF(D164="Private",E164,"")</f>
        <v/>
      </c>
      <c r="J164" s="9">
        <f>IF(D164="Private",F164,"")</f>
        <v/>
      </c>
    </row>
    <row r="165">
      <c r="A165" s="8" t="inlineStr">
        <is>
          <t>Muhlenberg College</t>
        </is>
      </c>
      <c r="B165" s="8" t="inlineStr">
        <is>
          <t>Allentown</t>
        </is>
      </c>
      <c r="C165" s="8" t="inlineStr">
        <is>
          <t>PA</t>
        </is>
      </c>
      <c r="D165" s="8" t="inlineStr">
        <is>
          <t>Private</t>
        </is>
      </c>
      <c r="E165" s="9" t="n">
        <v>26983</v>
      </c>
      <c r="F165" s="9" t="n">
        <v>70439</v>
      </c>
      <c r="G165" s="8">
        <f>RANK(F165,$F$5:$F$1561)</f>
        <v/>
      </c>
      <c r="H165" s="8" t="inlineStr"/>
      <c r="I165" s="9">
        <f>IF(D165="Private",E165,"")</f>
        <v/>
      </c>
      <c r="J165" s="9">
        <f>IF(D165="Private",F165,"")</f>
        <v/>
      </c>
    </row>
    <row r="166">
      <c r="A166" s="8" t="inlineStr">
        <is>
          <t>Iona University</t>
        </is>
      </c>
      <c r="B166" s="8" t="inlineStr">
        <is>
          <t>New Rochelle</t>
        </is>
      </c>
      <c r="C166" s="8" t="inlineStr">
        <is>
          <t>NY</t>
        </is>
      </c>
      <c r="D166" s="8" t="inlineStr">
        <is>
          <t>Private</t>
        </is>
      </c>
      <c r="E166" s="9" t="n">
        <v>29068</v>
      </c>
      <c r="F166" s="9" t="n">
        <v>70388</v>
      </c>
      <c r="G166" s="8">
        <f>RANK(F166,$F$5:$F$1561)</f>
        <v/>
      </c>
      <c r="H166" s="8" t="inlineStr"/>
      <c r="I166" s="9">
        <f>IF(D166="Private",E166,"")</f>
        <v/>
      </c>
      <c r="J166" s="9">
        <f>IF(D166="Private",F166,"")</f>
        <v/>
      </c>
    </row>
    <row r="167">
      <c r="A167" s="8" t="inlineStr">
        <is>
          <t>Oregon Institute of Technology</t>
        </is>
      </c>
      <c r="B167" s="8" t="inlineStr">
        <is>
          <t>Klamath Falls</t>
        </is>
      </c>
      <c r="C167" s="8" t="inlineStr">
        <is>
          <t>OR</t>
        </is>
      </c>
      <c r="D167" s="8" t="inlineStr">
        <is>
          <t>Public</t>
        </is>
      </c>
      <c r="E167" s="9" t="n">
        <v>16029</v>
      </c>
      <c r="F167" s="9" t="n">
        <v>70363</v>
      </c>
      <c r="G167" s="8">
        <f>RANK(F167,$F$5:$F$1561)</f>
        <v/>
      </c>
      <c r="H167" s="8" t="inlineStr"/>
      <c r="I167" s="9">
        <f>IF(D167="Private",E167,"")</f>
        <v/>
      </c>
      <c r="J167" s="9">
        <f>IF(D167="Private",F167,"")</f>
        <v/>
      </c>
    </row>
    <row r="168">
      <c r="A168" s="8" t="inlineStr">
        <is>
          <t>Carleton College</t>
        </is>
      </c>
      <c r="B168" s="8" t="inlineStr">
        <is>
          <t>Northfield</t>
        </is>
      </c>
      <c r="C168" s="8" t="inlineStr">
        <is>
          <t>MN</t>
        </is>
      </c>
      <c r="D168" s="8" t="inlineStr">
        <is>
          <t>Private</t>
        </is>
      </c>
      <c r="E168" s="9" t="n">
        <v>31800</v>
      </c>
      <c r="F168" s="9" t="n">
        <v>70334</v>
      </c>
      <c r="G168" s="8">
        <f>RANK(F168,$F$5:$F$1561)</f>
        <v/>
      </c>
      <c r="H168" s="8" t="inlineStr"/>
      <c r="I168" s="9">
        <f>IF(D168="Private",E168,"")</f>
        <v/>
      </c>
      <c r="J168" s="9">
        <f>IF(D168="Private",F168,"")</f>
        <v/>
      </c>
    </row>
    <row r="169">
      <c r="A169" s="8" t="inlineStr">
        <is>
          <t>University of California-Santa Barbara</t>
        </is>
      </c>
      <c r="B169" s="8" t="inlineStr">
        <is>
          <t>Santa Barbara</t>
        </is>
      </c>
      <c r="C169" s="8" t="inlineStr">
        <is>
          <t>CA</t>
        </is>
      </c>
      <c r="D169" s="8" t="inlineStr">
        <is>
          <t>Public</t>
        </is>
      </c>
      <c r="E169" s="9" t="n">
        <v>15458</v>
      </c>
      <c r="F169" s="9" t="n">
        <v>70326</v>
      </c>
      <c r="G169" s="8">
        <f>RANK(F169,$F$5:$F$1561)</f>
        <v/>
      </c>
      <c r="H169" s="8" t="inlineStr"/>
      <c r="I169" s="9">
        <f>IF(D169="Private",E169,"")</f>
        <v/>
      </c>
      <c r="J169" s="9">
        <f>IF(D169="Private",F169,"")</f>
        <v/>
      </c>
    </row>
    <row r="170">
      <c r="A170" s="8" t="inlineStr">
        <is>
          <t>University of Scranton</t>
        </is>
      </c>
      <c r="B170" s="8" t="inlineStr">
        <is>
          <t>Scranton</t>
        </is>
      </c>
      <c r="C170" s="8" t="inlineStr">
        <is>
          <t>PA</t>
        </is>
      </c>
      <c r="D170" s="8" t="inlineStr">
        <is>
          <t>Private</t>
        </is>
      </c>
      <c r="E170" s="9" t="n">
        <v>34136</v>
      </c>
      <c r="F170" s="9" t="n">
        <v>70238</v>
      </c>
      <c r="G170" s="8">
        <f>RANK(F170,$F$5:$F$1561)</f>
        <v/>
      </c>
      <c r="H170" s="8" t="inlineStr"/>
      <c r="I170" s="9">
        <f>IF(D170="Private",E170,"")</f>
        <v/>
      </c>
      <c r="J170" s="9">
        <f>IF(D170="Private",F170,"")</f>
        <v/>
      </c>
    </row>
    <row r="171">
      <c r="A171" s="8" t="inlineStr">
        <is>
          <t>Adelphi University</t>
        </is>
      </c>
      <c r="B171" s="8" t="inlineStr">
        <is>
          <t>Garden City</t>
        </is>
      </c>
      <c r="C171" s="8" t="inlineStr">
        <is>
          <t>NY</t>
        </is>
      </c>
      <c r="D171" s="8" t="inlineStr">
        <is>
          <t>Private</t>
        </is>
      </c>
      <c r="E171" s="9" t="n">
        <v>28993</v>
      </c>
      <c r="F171" s="9" t="n">
        <v>70089</v>
      </c>
      <c r="G171" s="8">
        <f>RANK(F171,$F$5:$F$1561)</f>
        <v/>
      </c>
      <c r="H171" s="8" t="inlineStr"/>
      <c r="I171" s="9">
        <f>IF(D171="Private",E171,"")</f>
        <v/>
      </c>
      <c r="J171" s="9">
        <f>IF(D171="Private",F171,"")</f>
        <v/>
      </c>
    </row>
    <row r="172">
      <c r="A172" s="8" t="inlineStr">
        <is>
          <t>Connecticut College</t>
        </is>
      </c>
      <c r="B172" s="8" t="inlineStr">
        <is>
          <t>New London</t>
        </is>
      </c>
      <c r="C172" s="8" t="inlineStr">
        <is>
          <t>CT</t>
        </is>
      </c>
      <c r="D172" s="8" t="inlineStr">
        <is>
          <t>Private</t>
        </is>
      </c>
      <c r="E172" s="9" t="n">
        <v>31814</v>
      </c>
      <c r="F172" s="9" t="n">
        <v>70044</v>
      </c>
      <c r="G172" s="8">
        <f>RANK(F172,$F$5:$F$1561)</f>
        <v/>
      </c>
      <c r="H172" s="8" t="inlineStr"/>
      <c r="I172" s="9">
        <f>IF(D172="Private",E172,"")</f>
        <v/>
      </c>
      <c r="J172" s="9">
        <f>IF(D172="Private",F172,"")</f>
        <v/>
      </c>
    </row>
    <row r="173">
      <c r="A173" s="8" t="inlineStr">
        <is>
          <t>George Mason University</t>
        </is>
      </c>
      <c r="B173" s="8" t="inlineStr">
        <is>
          <t>Fairfax</t>
        </is>
      </c>
      <c r="C173" s="8" t="inlineStr">
        <is>
          <t>VA</t>
        </is>
      </c>
      <c r="D173" s="8" t="inlineStr">
        <is>
          <t>Public</t>
        </is>
      </c>
      <c r="E173" s="9" t="n">
        <v>18581</v>
      </c>
      <c r="F173" s="9" t="n">
        <v>69958</v>
      </c>
      <c r="G173" s="8">
        <f>RANK(F173,$F$5:$F$1561)</f>
        <v/>
      </c>
      <c r="H173" s="8" t="inlineStr"/>
      <c r="I173" s="9">
        <f>IF(D173="Private",E173,"")</f>
        <v/>
      </c>
      <c r="J173" s="9">
        <f>IF(D173="Private",F173,"")</f>
        <v/>
      </c>
    </row>
    <row r="174">
      <c r="A174" s="8" t="inlineStr">
        <is>
          <t>William &amp; Mary</t>
        </is>
      </c>
      <c r="B174" s="8" t="inlineStr">
        <is>
          <t>Williamsburg</t>
        </is>
      </c>
      <c r="C174" s="8" t="inlineStr">
        <is>
          <t>VA</t>
        </is>
      </c>
      <c r="D174" s="8" t="inlineStr">
        <is>
          <t>Public</t>
        </is>
      </c>
      <c r="E174" s="9" t="n">
        <v>18650</v>
      </c>
      <c r="F174" s="9" t="n">
        <v>69897</v>
      </c>
      <c r="G174" s="8">
        <f>RANK(F174,$F$5:$F$1561)</f>
        <v/>
      </c>
      <c r="H174" s="8" t="inlineStr"/>
      <c r="I174" s="9">
        <f>IF(D174="Private",E174,"")</f>
        <v/>
      </c>
      <c r="J174" s="9">
        <f>IF(D174="Private",F174,"")</f>
        <v/>
      </c>
    </row>
    <row r="175">
      <c r="A175" s="8" t="inlineStr">
        <is>
          <t>Saint Louis University</t>
        </is>
      </c>
      <c r="B175" s="8" t="inlineStr">
        <is>
          <t>Saint Louis</t>
        </is>
      </c>
      <c r="C175" s="8" t="inlineStr">
        <is>
          <t>MO</t>
        </is>
      </c>
      <c r="D175" s="8" t="inlineStr">
        <is>
          <t>Private</t>
        </is>
      </c>
      <c r="E175" s="9" t="n">
        <v>27544</v>
      </c>
      <c r="F175" s="9" t="n">
        <v>69878</v>
      </c>
      <c r="G175" s="8">
        <f>RANK(F175,$F$5:$F$1561)</f>
        <v/>
      </c>
      <c r="H175" s="8" t="inlineStr"/>
      <c r="I175" s="9">
        <f>IF(D175="Private",E175,"")</f>
        <v/>
      </c>
      <c r="J175" s="9">
        <f>IF(D175="Private",F175,"")</f>
        <v/>
      </c>
    </row>
    <row r="176">
      <c r="A176" s="8" t="inlineStr">
        <is>
          <t>Rutgers University-Newark</t>
        </is>
      </c>
      <c r="B176" s="8" t="inlineStr">
        <is>
          <t>Newark</t>
        </is>
      </c>
      <c r="C176" s="8" t="inlineStr">
        <is>
          <t>NJ</t>
        </is>
      </c>
      <c r="D176" s="8" t="inlineStr">
        <is>
          <t>Public</t>
        </is>
      </c>
      <c r="E176" s="9" t="n">
        <v>12807</v>
      </c>
      <c r="F176" s="9" t="n">
        <v>69748</v>
      </c>
      <c r="G176" s="8">
        <f>RANK(F176,$F$5:$F$1561)</f>
        <v/>
      </c>
      <c r="H176" s="8" t="inlineStr"/>
      <c r="I176" s="9">
        <f>IF(D176="Private",E176,"")</f>
        <v/>
      </c>
      <c r="J176" s="9">
        <f>IF(D176="Private",F176,"")</f>
        <v/>
      </c>
    </row>
    <row r="177">
      <c r="A177" s="8" t="inlineStr">
        <is>
          <t>Rutgers University-Camden</t>
        </is>
      </c>
      <c r="B177" s="8" t="inlineStr">
        <is>
          <t>Camden</t>
        </is>
      </c>
      <c r="C177" s="8" t="inlineStr">
        <is>
          <t>NJ</t>
        </is>
      </c>
      <c r="D177" s="8" t="inlineStr">
        <is>
          <t>Public</t>
        </is>
      </c>
      <c r="E177" s="9" t="n">
        <v>12755</v>
      </c>
      <c r="F177" s="9" t="n">
        <v>69748</v>
      </c>
      <c r="G177" s="8">
        <f>RANK(F177,$F$5:$F$1561)</f>
        <v/>
      </c>
      <c r="H177" s="8" t="inlineStr"/>
      <c r="I177" s="9">
        <f>IF(D177="Private",E177,"")</f>
        <v/>
      </c>
      <c r="J177" s="9">
        <f>IF(D177="Private",F177,"")</f>
        <v/>
      </c>
    </row>
    <row r="178">
      <c r="A178" s="8" t="inlineStr">
        <is>
          <t>Rutgers University-New Brunswick</t>
        </is>
      </c>
      <c r="B178" s="8" t="inlineStr">
        <is>
          <t>New Brunswick</t>
        </is>
      </c>
      <c r="C178" s="8" t="inlineStr">
        <is>
          <t>NJ</t>
        </is>
      </c>
      <c r="D178" s="8" t="inlineStr">
        <is>
          <t>Public</t>
        </is>
      </c>
      <c r="E178" s="9" t="n">
        <v>15365</v>
      </c>
      <c r="F178" s="9" t="n">
        <v>69748</v>
      </c>
      <c r="G178" s="8">
        <f>RANK(F178,$F$5:$F$1561)</f>
        <v/>
      </c>
      <c r="H178" s="8" t="inlineStr"/>
      <c r="I178" s="9">
        <f>IF(D178="Private",E178,"")</f>
        <v/>
      </c>
      <c r="J178" s="9">
        <f>IF(D178="Private",F178,"")</f>
        <v/>
      </c>
    </row>
    <row r="179">
      <c r="A179" s="8" t="inlineStr">
        <is>
          <t>Linfield University</t>
        </is>
      </c>
      <c r="B179" s="8" t="inlineStr">
        <is>
          <t>McMinnville</t>
        </is>
      </c>
      <c r="C179" s="8" t="inlineStr">
        <is>
          <t>OR</t>
        </is>
      </c>
      <c r="D179" s="8" t="inlineStr">
        <is>
          <t>Private</t>
        </is>
      </c>
      <c r="E179" s="9" t="n">
        <v>28307</v>
      </c>
      <c r="F179" s="9" t="n">
        <v>69540</v>
      </c>
      <c r="G179" s="8">
        <f>RANK(F179,$F$5:$F$1561)</f>
        <v/>
      </c>
      <c r="H179" s="8" t="inlineStr"/>
      <c r="I179" s="9">
        <f>IF(D179="Private",E179,"")</f>
        <v/>
      </c>
      <c r="J179" s="9">
        <f>IF(D179="Private",F179,"")</f>
        <v/>
      </c>
    </row>
    <row r="180">
      <c r="A180" s="8" t="inlineStr">
        <is>
          <t>Clemson University</t>
        </is>
      </c>
      <c r="B180" s="8" t="inlineStr">
        <is>
          <t>Clemson</t>
        </is>
      </c>
      <c r="C180" s="8" t="inlineStr">
        <is>
          <t>SC</t>
        </is>
      </c>
      <c r="D180" s="8" t="inlineStr">
        <is>
          <t>Public</t>
        </is>
      </c>
      <c r="E180" s="9" t="n">
        <v>22116</v>
      </c>
      <c r="F180" s="9" t="n">
        <v>69479</v>
      </c>
      <c r="G180" s="8">
        <f>RANK(F180,$F$5:$F$1561)</f>
        <v/>
      </c>
      <c r="H180" s="8" t="inlineStr"/>
      <c r="I180" s="9">
        <f>IF(D180="Private",E180,"")</f>
        <v/>
      </c>
      <c r="J180" s="9">
        <f>IF(D180="Private",F180,"")</f>
        <v/>
      </c>
    </row>
    <row r="181">
      <c r="A181" s="8" t="inlineStr">
        <is>
          <t>University of Florida-Online</t>
        </is>
      </c>
      <c r="B181" s="8" t="inlineStr">
        <is>
          <t>Gainesville</t>
        </is>
      </c>
      <c r="C181" s="8" t="inlineStr">
        <is>
          <t>FL</t>
        </is>
      </c>
      <c r="D181" s="8" t="inlineStr">
        <is>
          <t>Public</t>
        </is>
      </c>
      <c r="E181" s="9" t="n">
        <v>4517</v>
      </c>
      <c r="F181" s="9" t="n">
        <v>69468</v>
      </c>
      <c r="G181" s="8">
        <f>RANK(F181,$F$5:$F$1561)</f>
        <v/>
      </c>
      <c r="H181" s="8" t="inlineStr"/>
      <c r="I181" s="9">
        <f>IF(D181="Private",E181,"")</f>
        <v/>
      </c>
      <c r="J181" s="9">
        <f>IF(D181="Private",F181,"")</f>
        <v/>
      </c>
    </row>
    <row r="182">
      <c r="A182" s="8" t="inlineStr">
        <is>
          <t>University of Florida</t>
        </is>
      </c>
      <c r="B182" s="8" t="inlineStr">
        <is>
          <t>Gainesville</t>
        </is>
      </c>
      <c r="C182" s="8" t="inlineStr">
        <is>
          <t>FL</t>
        </is>
      </c>
      <c r="D182" s="8" t="inlineStr">
        <is>
          <t>Public</t>
        </is>
      </c>
      <c r="E182" s="9" t="n">
        <v>3679</v>
      </c>
      <c r="F182" s="9" t="n">
        <v>69468</v>
      </c>
      <c r="G182" s="8">
        <f>RANK(F182,$F$5:$F$1561)</f>
        <v/>
      </c>
      <c r="H182" s="8" t="inlineStr"/>
      <c r="I182" s="9">
        <f>IF(D182="Private",E182,"")</f>
        <v/>
      </c>
      <c r="J182" s="9">
        <f>IF(D182="Private",F182,"")</f>
        <v/>
      </c>
    </row>
    <row r="183">
      <c r="A183" s="8" t="inlineStr">
        <is>
          <t>Merrimack College</t>
        </is>
      </c>
      <c r="B183" s="8" t="inlineStr">
        <is>
          <t>North Andover</t>
        </is>
      </c>
      <c r="C183" s="8" t="inlineStr">
        <is>
          <t>MA</t>
        </is>
      </c>
      <c r="D183" s="8" t="inlineStr">
        <is>
          <t>Private</t>
        </is>
      </c>
      <c r="E183" s="9" t="n">
        <v>35246</v>
      </c>
      <c r="F183" s="9" t="n">
        <v>69459</v>
      </c>
      <c r="G183" s="8">
        <f>RANK(F183,$F$5:$F$1561)</f>
        <v/>
      </c>
      <c r="H183" s="8" t="inlineStr"/>
      <c r="I183" s="9">
        <f>IF(D183="Private",E183,"")</f>
        <v/>
      </c>
      <c r="J183" s="9">
        <f>IF(D183="Private",F183,"")</f>
        <v/>
      </c>
    </row>
    <row r="184">
      <c r="A184" s="8" t="inlineStr">
        <is>
          <t>Rochester Institute of Technology</t>
        </is>
      </c>
      <c r="B184" s="8" t="inlineStr">
        <is>
          <t>Rochester</t>
        </is>
      </c>
      <c r="C184" s="8" t="inlineStr">
        <is>
          <t>NY</t>
        </is>
      </c>
      <c r="D184" s="8" t="inlineStr">
        <is>
          <t>Private</t>
        </is>
      </c>
      <c r="E184" s="9" t="n">
        <v>30765</v>
      </c>
      <c r="F184" s="9" t="n">
        <v>69250</v>
      </c>
      <c r="G184" s="8">
        <f>RANK(F184,$F$5:$F$1561)</f>
        <v/>
      </c>
      <c r="H184" s="8" t="inlineStr"/>
      <c r="I184" s="9">
        <f>IF(D184="Private",E184,"")</f>
        <v/>
      </c>
      <c r="J184" s="9">
        <f>IF(D184="Private",F184,"")</f>
        <v/>
      </c>
    </row>
    <row r="185">
      <c r="A185" s="8" t="inlineStr">
        <is>
          <t>Washington &amp; Jefferson College</t>
        </is>
      </c>
      <c r="B185" s="8" t="inlineStr">
        <is>
          <t>Washington</t>
        </is>
      </c>
      <c r="C185" s="8" t="inlineStr">
        <is>
          <t>PA</t>
        </is>
      </c>
      <c r="D185" s="8" t="inlineStr">
        <is>
          <t>Private</t>
        </is>
      </c>
      <c r="E185" s="9" t="n">
        <v>26460</v>
      </c>
      <c r="F185" s="9" t="n">
        <v>69233</v>
      </c>
      <c r="G185" s="8">
        <f>RANK(F185,$F$5:$F$1561)</f>
        <v/>
      </c>
      <c r="H185" s="8" t="inlineStr"/>
      <c r="I185" s="9">
        <f>IF(D185="Private",E185,"")</f>
        <v/>
      </c>
      <c r="J185" s="9">
        <f>IF(D185="Private",F185,"")</f>
        <v/>
      </c>
    </row>
    <row r="186">
      <c r="A186" s="8" t="inlineStr">
        <is>
          <t>Rhodes College</t>
        </is>
      </c>
      <c r="B186" s="8" t="inlineStr">
        <is>
          <t>Memphis</t>
        </is>
      </c>
      <c r="C186" s="8" t="inlineStr">
        <is>
          <t>TN</t>
        </is>
      </c>
      <c r="D186" s="8" t="inlineStr">
        <is>
          <t>Private</t>
        </is>
      </c>
      <c r="E186" s="9" t="n">
        <v>27647</v>
      </c>
      <c r="F186" s="9" t="n">
        <v>69215</v>
      </c>
      <c r="G186" s="8">
        <f>RANK(F186,$F$5:$F$1561)</f>
        <v/>
      </c>
      <c r="H186" s="8" t="inlineStr"/>
      <c r="I186" s="9">
        <f>IF(D186="Private",E186,"")</f>
        <v/>
      </c>
      <c r="J186" s="9">
        <f>IF(D186="Private",F186,"")</f>
        <v/>
      </c>
    </row>
    <row r="187">
      <c r="A187" s="8" t="inlineStr">
        <is>
          <t>Lawrence Technological University</t>
        </is>
      </c>
      <c r="B187" s="8" t="inlineStr">
        <is>
          <t>Southfield</t>
        </is>
      </c>
      <c r="C187" s="8" t="inlineStr">
        <is>
          <t>MI</t>
        </is>
      </c>
      <c r="D187" s="8" t="inlineStr">
        <is>
          <t>Private</t>
        </is>
      </c>
      <c r="E187" s="9" t="n">
        <v>33780</v>
      </c>
      <c r="F187" s="9" t="n">
        <v>69190</v>
      </c>
      <c r="G187" s="8">
        <f>RANK(F187,$F$5:$F$1561)</f>
        <v/>
      </c>
      <c r="H187" s="8" t="inlineStr"/>
      <c r="I187" s="9">
        <f>IF(D187="Private",E187,"")</f>
        <v/>
      </c>
      <c r="J187" s="9">
        <f>IF(D187="Private",F187,"")</f>
        <v/>
      </c>
    </row>
    <row r="188">
      <c r="A188" s="8" t="inlineStr">
        <is>
          <t>Pace University</t>
        </is>
      </c>
      <c r="B188" s="8" t="inlineStr">
        <is>
          <t>New York</t>
        </is>
      </c>
      <c r="C188" s="8" t="inlineStr">
        <is>
          <t>NY</t>
        </is>
      </c>
      <c r="D188" s="8" t="inlineStr">
        <is>
          <t>Private</t>
        </is>
      </c>
      <c r="E188" s="9" t="n">
        <v>27937</v>
      </c>
      <c r="F188" s="9" t="n">
        <v>69137</v>
      </c>
      <c r="G188" s="8">
        <f>RANK(F188,$F$5:$F$1561)</f>
        <v/>
      </c>
      <c r="H188" s="8" t="inlineStr"/>
      <c r="I188" s="9">
        <f>IF(D188="Private",E188,"")</f>
        <v/>
      </c>
      <c r="J188" s="9">
        <f>IF(D188="Private",F188,"")</f>
        <v/>
      </c>
    </row>
    <row r="189">
      <c r="A189" s="8" t="inlineStr">
        <is>
          <t>Middlebury College</t>
        </is>
      </c>
      <c r="B189" s="8" t="inlineStr">
        <is>
          <t>Middlebury</t>
        </is>
      </c>
      <c r="C189" s="8" t="inlineStr">
        <is>
          <t>VT</t>
        </is>
      </c>
      <c r="D189" s="8" t="inlineStr">
        <is>
          <t>Private</t>
        </is>
      </c>
      <c r="E189" s="9" t="n">
        <v>29047</v>
      </c>
      <c r="F189" s="9" t="n">
        <v>69022</v>
      </c>
      <c r="G189" s="8">
        <f>RANK(F189,$F$5:$F$1561)</f>
        <v/>
      </c>
      <c r="H189" s="8" t="inlineStr"/>
      <c r="I189" s="9">
        <f>IF(D189="Private",E189,"")</f>
        <v/>
      </c>
      <c r="J189" s="9">
        <f>IF(D189="Private",F189,"")</f>
        <v/>
      </c>
    </row>
    <row r="190">
      <c r="A190" s="8" t="inlineStr">
        <is>
          <t>Widener University</t>
        </is>
      </c>
      <c r="B190" s="8" t="inlineStr">
        <is>
          <t>Chester</t>
        </is>
      </c>
      <c r="C190" s="8" t="inlineStr">
        <is>
          <t>PA</t>
        </is>
      </c>
      <c r="D190" s="8" t="inlineStr">
        <is>
          <t>Private</t>
        </is>
      </c>
      <c r="E190" s="9" t="n">
        <v>24012</v>
      </c>
      <c r="F190" s="9" t="n">
        <v>68879</v>
      </c>
      <c r="G190" s="8">
        <f>RANK(F190,$F$5:$F$1561)</f>
        <v/>
      </c>
      <c r="H190" s="8" t="inlineStr"/>
      <c r="I190" s="9">
        <f>IF(D190="Private",E190,"")</f>
        <v/>
      </c>
      <c r="J190" s="9">
        <f>IF(D190="Private",F190,"")</f>
        <v/>
      </c>
    </row>
    <row r="191">
      <c r="A191" s="8" t="inlineStr">
        <is>
          <t>University of Denver</t>
        </is>
      </c>
      <c r="B191" s="8" t="inlineStr">
        <is>
          <t>Denver</t>
        </is>
      </c>
      <c r="C191" s="8" t="inlineStr">
        <is>
          <t>CO</t>
        </is>
      </c>
      <c r="D191" s="8" t="inlineStr">
        <is>
          <t>Private</t>
        </is>
      </c>
      <c r="E191" s="9" t="n">
        <v>32618</v>
      </c>
      <c r="F191" s="9" t="n">
        <v>68764</v>
      </c>
      <c r="G191" s="8">
        <f>RANK(F191,$F$5:$F$1561)</f>
        <v/>
      </c>
      <c r="H191" s="8" t="inlineStr"/>
      <c r="I191" s="9">
        <f>IF(D191="Private",E191,"")</f>
        <v/>
      </c>
      <c r="J191" s="9">
        <f>IF(D191="Private",F191,"")</f>
        <v/>
      </c>
    </row>
    <row r="192">
      <c r="A192" s="8" t="inlineStr">
        <is>
          <t>University of Redlands</t>
        </is>
      </c>
      <c r="B192" s="8" t="inlineStr">
        <is>
          <t>Redlands</t>
        </is>
      </c>
      <c r="C192" s="8" t="inlineStr">
        <is>
          <t>CA</t>
        </is>
      </c>
      <c r="D192" s="8" t="inlineStr">
        <is>
          <t>Private</t>
        </is>
      </c>
      <c r="E192" s="9" t="n">
        <v>20152</v>
      </c>
      <c r="F192" s="9" t="n">
        <v>68726</v>
      </c>
      <c r="G192" s="8">
        <f>RANK(F192,$F$5:$F$1561)</f>
        <v/>
      </c>
      <c r="H192" s="8" t="inlineStr"/>
      <c r="I192" s="9">
        <f>IF(D192="Private",E192,"")</f>
        <v/>
      </c>
      <c r="J192" s="9">
        <f>IF(D192="Private",F192,"")</f>
        <v/>
      </c>
    </row>
    <row r="193">
      <c r="A193" s="8" t="inlineStr">
        <is>
          <t>Hobart William Smith Colleges</t>
        </is>
      </c>
      <c r="B193" s="8" t="inlineStr">
        <is>
          <t>Geneva</t>
        </is>
      </c>
      <c r="C193" s="8" t="inlineStr">
        <is>
          <t>NY</t>
        </is>
      </c>
      <c r="D193" s="8" t="inlineStr">
        <is>
          <t>Private</t>
        </is>
      </c>
      <c r="E193" s="9" t="n">
        <v>30476</v>
      </c>
      <c r="F193" s="9" t="n">
        <v>68706</v>
      </c>
      <c r="G193" s="8">
        <f>RANK(F193,$F$5:$F$1561)</f>
        <v/>
      </c>
      <c r="H193" s="8" t="inlineStr"/>
      <c r="I193" s="9">
        <f>IF(D193="Private",E193,"")</f>
        <v/>
      </c>
      <c r="J193" s="9">
        <f>IF(D193="Private",F193,"")</f>
        <v/>
      </c>
    </row>
    <row r="194">
      <c r="A194" s="8" t="inlineStr">
        <is>
          <t>Hofstra University</t>
        </is>
      </c>
      <c r="B194" s="8" t="inlineStr">
        <is>
          <t>Hempstead</t>
        </is>
      </c>
      <c r="C194" s="8" t="inlineStr">
        <is>
          <t>NY</t>
        </is>
      </c>
      <c r="D194" s="8" t="inlineStr">
        <is>
          <t>Private</t>
        </is>
      </c>
      <c r="E194" s="9" t="n">
        <v>32511</v>
      </c>
      <c r="F194" s="9" t="n">
        <v>68703</v>
      </c>
      <c r="G194" s="8">
        <f>RANK(F194,$F$5:$F$1561)</f>
        <v/>
      </c>
      <c r="H194" s="8" t="inlineStr"/>
      <c r="I194" s="9">
        <f>IF(D194="Private",E194,"")</f>
        <v/>
      </c>
      <c r="J194" s="9">
        <f>IF(D194="Private",F194,"")</f>
        <v/>
      </c>
    </row>
    <row r="195">
      <c r="A195" s="8" t="inlineStr">
        <is>
          <t>Skidmore College</t>
        </is>
      </c>
      <c r="B195" s="8" t="inlineStr">
        <is>
          <t>Saratoga Springs</t>
        </is>
      </c>
      <c r="C195" s="8" t="inlineStr">
        <is>
          <t>NY</t>
        </is>
      </c>
      <c r="D195" s="8" t="inlineStr">
        <is>
          <t>Private</t>
        </is>
      </c>
      <c r="E195" s="9" t="n">
        <v>31730</v>
      </c>
      <c r="F195" s="9" t="n">
        <v>68541</v>
      </c>
      <c r="G195" s="8">
        <f>RANK(F195,$F$5:$F$1561)</f>
        <v/>
      </c>
      <c r="H195" s="8" t="inlineStr"/>
      <c r="I195" s="9">
        <f>IF(D195="Private",E195,"")</f>
        <v/>
      </c>
      <c r="J195" s="9">
        <f>IF(D195="Private",F195,"")</f>
        <v/>
      </c>
    </row>
    <row r="196">
      <c r="A196" s="8" t="inlineStr">
        <is>
          <t>St Lawrence University</t>
        </is>
      </c>
      <c r="B196" s="8" t="inlineStr">
        <is>
          <t>Canton</t>
        </is>
      </c>
      <c r="C196" s="8" t="inlineStr">
        <is>
          <t>NY</t>
        </is>
      </c>
      <c r="D196" s="8" t="inlineStr">
        <is>
          <t>Private</t>
        </is>
      </c>
      <c r="E196" s="9" t="n">
        <v>28020</v>
      </c>
      <c r="F196" s="9" t="n">
        <v>68520</v>
      </c>
      <c r="G196" s="8">
        <f>RANK(F196,$F$5:$F$1561)</f>
        <v/>
      </c>
      <c r="H196" s="8" t="inlineStr"/>
      <c r="I196" s="9">
        <f>IF(D196="Private",E196,"")</f>
        <v/>
      </c>
      <c r="J196" s="9">
        <f>IF(D196="Private",F196,"")</f>
        <v/>
      </c>
    </row>
    <row r="197">
      <c r="A197" s="8" t="inlineStr">
        <is>
          <t>Purdue University-Main Campus</t>
        </is>
      </c>
      <c r="B197" s="8" t="inlineStr">
        <is>
          <t>West Lafayette</t>
        </is>
      </c>
      <c r="C197" s="8" t="inlineStr">
        <is>
          <t>IN</t>
        </is>
      </c>
      <c r="D197" s="8" t="inlineStr">
        <is>
          <t>Public</t>
        </is>
      </c>
      <c r="E197" s="9" t="n">
        <v>9127</v>
      </c>
      <c r="F197" s="9" t="n">
        <v>68414</v>
      </c>
      <c r="G197" s="8">
        <f>RANK(F197,$F$5:$F$1561)</f>
        <v/>
      </c>
      <c r="H197" s="8" t="inlineStr"/>
      <c r="I197" s="9">
        <f>IF(D197="Private",E197,"")</f>
        <v/>
      </c>
      <c r="J197" s="9">
        <f>IF(D197="Private",F197,"")</f>
        <v/>
      </c>
    </row>
    <row r="198">
      <c r="A198" s="8" t="inlineStr">
        <is>
          <t>Endicott College</t>
        </is>
      </c>
      <c r="B198" s="8" t="inlineStr">
        <is>
          <t>Beverly</t>
        </is>
      </c>
      <c r="C198" s="8" t="inlineStr">
        <is>
          <t>MA</t>
        </is>
      </c>
      <c r="D198" s="8" t="inlineStr">
        <is>
          <t>Private</t>
        </is>
      </c>
      <c r="E198" s="9" t="n">
        <v>36594</v>
      </c>
      <c r="F198" s="9" t="n">
        <v>68403</v>
      </c>
      <c r="G198" s="8">
        <f>RANK(F198,$F$5:$F$1561)</f>
        <v/>
      </c>
      <c r="H198" s="8" t="inlineStr"/>
      <c r="I198" s="9">
        <f>IF(D198="Private",E198,"")</f>
        <v/>
      </c>
      <c r="J198" s="9">
        <f>IF(D198="Private",F198,"")</f>
        <v/>
      </c>
    </row>
    <row r="199">
      <c r="A199" s="8" t="inlineStr">
        <is>
          <t>Occidental College</t>
        </is>
      </c>
      <c r="B199" s="8" t="inlineStr">
        <is>
          <t>Los Angeles</t>
        </is>
      </c>
      <c r="C199" s="8" t="inlineStr">
        <is>
          <t>CA</t>
        </is>
      </c>
      <c r="D199" s="8" t="inlineStr">
        <is>
          <t>Private</t>
        </is>
      </c>
      <c r="E199" s="9" t="n">
        <v>29663</v>
      </c>
      <c r="F199" s="9" t="n">
        <v>68355</v>
      </c>
      <c r="G199" s="8">
        <f>RANK(F199,$F$5:$F$1561)</f>
        <v/>
      </c>
      <c r="H199" s="8" t="inlineStr"/>
      <c r="I199" s="9">
        <f>IF(D199="Private",E199,"")</f>
        <v/>
      </c>
      <c r="J199" s="9">
        <f>IF(D199="Private",F199,"")</f>
        <v/>
      </c>
    </row>
    <row r="200">
      <c r="A200" s="8" t="inlineStr">
        <is>
          <t>Seton Hall University</t>
        </is>
      </c>
      <c r="B200" s="8" t="inlineStr">
        <is>
          <t>South Orange</t>
        </is>
      </c>
      <c r="C200" s="8" t="inlineStr">
        <is>
          <t>NJ</t>
        </is>
      </c>
      <c r="D200" s="8" t="inlineStr">
        <is>
          <t>Private</t>
        </is>
      </c>
      <c r="E200" s="9" t="n">
        <v>32484</v>
      </c>
      <c r="F200" s="9" t="n">
        <v>68307</v>
      </c>
      <c r="G200" s="8">
        <f>RANK(F200,$F$5:$F$1561)</f>
        <v/>
      </c>
      <c r="H200" s="8" t="inlineStr"/>
      <c r="I200" s="9">
        <f>IF(D200="Private",E200,"")</f>
        <v/>
      </c>
      <c r="J200" s="9">
        <f>IF(D200="Private",F200,"")</f>
        <v/>
      </c>
    </row>
    <row r="201">
      <c r="A201" s="8" t="inlineStr">
        <is>
          <t>Roger Williams University</t>
        </is>
      </c>
      <c r="B201" s="8" t="inlineStr">
        <is>
          <t>Bristol</t>
        </is>
      </c>
      <c r="C201" s="8" t="inlineStr">
        <is>
          <t>RI</t>
        </is>
      </c>
      <c r="D201" s="8" t="inlineStr">
        <is>
          <t>Private</t>
        </is>
      </c>
      <c r="E201" s="9" t="n">
        <v>37384</v>
      </c>
      <c r="F201" s="9" t="n">
        <v>68306</v>
      </c>
      <c r="G201" s="8">
        <f>RANK(F201,$F$5:$F$1561)</f>
        <v/>
      </c>
      <c r="H201" s="8" t="inlineStr"/>
      <c r="I201" s="9">
        <f>IF(D201="Private",E201,"")</f>
        <v/>
      </c>
      <c r="J201" s="9">
        <f>IF(D201="Private",F201,"")</f>
        <v/>
      </c>
    </row>
    <row r="202">
      <c r="A202" s="8" t="inlineStr">
        <is>
          <t>Bowdoin College</t>
        </is>
      </c>
      <c r="B202" s="8" t="inlineStr">
        <is>
          <t>Brunswick</t>
        </is>
      </c>
      <c r="C202" s="8" t="inlineStr">
        <is>
          <t>ME</t>
        </is>
      </c>
      <c r="D202" s="8" t="inlineStr">
        <is>
          <t>Private</t>
        </is>
      </c>
      <c r="E202" s="9" t="n">
        <v>16925</v>
      </c>
      <c r="F202" s="9" t="n">
        <v>68211</v>
      </c>
      <c r="G202" s="8">
        <f>RANK(F202,$F$5:$F$1561)</f>
        <v/>
      </c>
      <c r="H202" s="8" t="inlineStr"/>
      <c r="I202" s="9">
        <f>IF(D202="Private",E202,"")</f>
        <v/>
      </c>
      <c r="J202" s="9">
        <f>IF(D202="Private",F202,"")</f>
        <v/>
      </c>
    </row>
    <row r="203">
      <c r="A203" s="8" t="inlineStr">
        <is>
          <t>St. John's University-New York</t>
        </is>
      </c>
      <c r="B203" s="8" t="inlineStr">
        <is>
          <t>Queens</t>
        </is>
      </c>
      <c r="C203" s="8" t="inlineStr">
        <is>
          <t>NY</t>
        </is>
      </c>
      <c r="D203" s="8" t="inlineStr">
        <is>
          <t>Private</t>
        </is>
      </c>
      <c r="E203" s="9" t="n">
        <v>23286</v>
      </c>
      <c r="F203" s="9" t="n">
        <v>68177</v>
      </c>
      <c r="G203" s="8">
        <f>RANK(F203,$F$5:$F$1561)</f>
        <v/>
      </c>
      <c r="H203" s="8" t="inlineStr"/>
      <c r="I203" s="9">
        <f>IF(D203="Private",E203,"")</f>
        <v/>
      </c>
      <c r="J203" s="9">
        <f>IF(D203="Private",F203,"")</f>
        <v/>
      </c>
    </row>
    <row r="204">
      <c r="A204" s="8" t="inlineStr">
        <is>
          <t>Yeshiva University</t>
        </is>
      </c>
      <c r="B204" s="8" t="inlineStr">
        <is>
          <t>New York</t>
        </is>
      </c>
      <c r="C204" s="8" t="inlineStr">
        <is>
          <t>NY</t>
        </is>
      </c>
      <c r="D204" s="8" t="inlineStr">
        <is>
          <t>Private</t>
        </is>
      </c>
      <c r="E204" s="9" t="n">
        <v>46632</v>
      </c>
      <c r="F204" s="9" t="n">
        <v>67963</v>
      </c>
      <c r="G204" s="8">
        <f>RANK(F204,$F$5:$F$1561)</f>
        <v/>
      </c>
      <c r="H204" s="8" t="inlineStr"/>
      <c r="I204" s="9">
        <f>IF(D204="Private",E204,"")</f>
        <v/>
      </c>
      <c r="J204" s="9">
        <f>IF(D204="Private",F204,"")</f>
        <v/>
      </c>
    </row>
    <row r="205">
      <c r="A205" s="8" t="inlineStr">
        <is>
          <t>Saint Michael's College</t>
        </is>
      </c>
      <c r="B205" s="8" t="inlineStr">
        <is>
          <t>Colchester</t>
        </is>
      </c>
      <c r="C205" s="8" t="inlineStr">
        <is>
          <t>VT</t>
        </is>
      </c>
      <c r="D205" s="8" t="inlineStr">
        <is>
          <t>Private</t>
        </is>
      </c>
      <c r="E205" s="9" t="n">
        <v>26403</v>
      </c>
      <c r="F205" s="9" t="n">
        <v>67947</v>
      </c>
      <c r="G205" s="8">
        <f>RANK(F205,$F$5:$F$1561)</f>
        <v/>
      </c>
      <c r="H205" s="8" t="inlineStr"/>
      <c r="I205" s="9">
        <f>IF(D205="Private",E205,"")</f>
        <v/>
      </c>
      <c r="J205" s="9">
        <f>IF(D205="Private",F205,"")</f>
        <v/>
      </c>
    </row>
    <row r="206">
      <c r="A206" s="8" t="inlineStr">
        <is>
          <t>University of North Carolina at Chapel Hill</t>
        </is>
      </c>
      <c r="B206" s="8" t="inlineStr">
        <is>
          <t>Chapel Hill</t>
        </is>
      </c>
      <c r="C206" s="8" t="inlineStr">
        <is>
          <t>NC</t>
        </is>
      </c>
      <c r="D206" s="8" t="inlineStr">
        <is>
          <t>Public</t>
        </is>
      </c>
      <c r="E206" s="9" t="n">
        <v>13263</v>
      </c>
      <c r="F206" s="9" t="n">
        <v>67765</v>
      </c>
      <c r="G206" s="8">
        <f>RANK(F206,$F$5:$F$1561)</f>
        <v/>
      </c>
      <c r="H206" s="8" t="inlineStr"/>
      <c r="I206" s="9">
        <f>IF(D206="Private",E206,"")</f>
        <v/>
      </c>
      <c r="J206" s="9">
        <f>IF(D206="Private",F206,"")</f>
        <v/>
      </c>
    </row>
    <row r="207">
      <c r="A207" s="8" t="inlineStr">
        <is>
          <t>University of Maryland-Baltimore County</t>
        </is>
      </c>
      <c r="B207" s="8" t="inlineStr">
        <is>
          <t>Baltimore</t>
        </is>
      </c>
      <c r="C207" s="8" t="inlineStr">
        <is>
          <t>MD</t>
        </is>
      </c>
      <c r="D207" s="8" t="inlineStr">
        <is>
          <t>Public</t>
        </is>
      </c>
      <c r="E207" s="9" t="n">
        <v>9262</v>
      </c>
      <c r="F207" s="9" t="n">
        <v>67473</v>
      </c>
      <c r="G207" s="8">
        <f>RANK(F207,$F$5:$F$1561)</f>
        <v/>
      </c>
      <c r="H207" s="8" t="inlineStr"/>
      <c r="I207" s="9">
        <f>IF(D207="Private",E207,"")</f>
        <v/>
      </c>
      <c r="J207" s="9">
        <f>IF(D207="Private",F207,"")</f>
        <v/>
      </c>
    </row>
    <row r="208">
      <c r="A208" s="8" t="inlineStr">
        <is>
          <t>Trinity University</t>
        </is>
      </c>
      <c r="B208" s="8" t="inlineStr">
        <is>
          <t>San Antonio</t>
        </is>
      </c>
      <c r="C208" s="8" t="inlineStr">
        <is>
          <t>TX</t>
        </is>
      </c>
      <c r="D208" s="8" t="inlineStr">
        <is>
          <t>Private</t>
        </is>
      </c>
      <c r="E208" s="9" t="n">
        <v>18637</v>
      </c>
      <c r="F208" s="9" t="n">
        <v>67418</v>
      </c>
      <c r="G208" s="8">
        <f>RANK(F208,$F$5:$F$1561)</f>
        <v/>
      </c>
      <c r="H208" s="8" t="inlineStr"/>
      <c r="I208" s="9">
        <f>IF(D208="Private",E208,"")</f>
        <v/>
      </c>
      <c r="J208" s="9">
        <f>IF(D208="Private",F208,"")</f>
        <v/>
      </c>
    </row>
    <row r="209">
      <c r="A209" s="8" t="inlineStr">
        <is>
          <t>California State Polytechnic University-Pomona</t>
        </is>
      </c>
      <c r="B209" s="8" t="inlineStr">
        <is>
          <t>Pomona</t>
        </is>
      </c>
      <c r="C209" s="8" t="inlineStr">
        <is>
          <t>CA</t>
        </is>
      </c>
      <c r="D209" s="8" t="inlineStr">
        <is>
          <t>Public</t>
        </is>
      </c>
      <c r="E209" s="9" t="n">
        <v>11740</v>
      </c>
      <c r="F209" s="9" t="n">
        <v>67406</v>
      </c>
      <c r="G209" s="8">
        <f>RANK(F209,$F$5:$F$1561)</f>
        <v/>
      </c>
      <c r="H209" s="8" t="inlineStr"/>
      <c r="I209" s="9">
        <f>IF(D209="Private",E209,"")</f>
        <v/>
      </c>
      <c r="J209" s="9">
        <f>IF(D209="Private",F209,"")</f>
        <v/>
      </c>
    </row>
    <row r="210">
      <c r="A210" s="8" t="inlineStr">
        <is>
          <t>University of Rhode Island</t>
        </is>
      </c>
      <c r="B210" s="8" t="inlineStr">
        <is>
          <t>Kingston</t>
        </is>
      </c>
      <c r="C210" s="8" t="inlineStr">
        <is>
          <t>RI</t>
        </is>
      </c>
      <c r="D210" s="8" t="inlineStr">
        <is>
          <t>Public</t>
        </is>
      </c>
      <c r="E210" s="9" t="n">
        <v>19925</v>
      </c>
      <c r="F210" s="9" t="n">
        <v>67398</v>
      </c>
      <c r="G210" s="8">
        <f>RANK(F210,$F$5:$F$1561)</f>
        <v/>
      </c>
      <c r="H210" s="8" t="inlineStr"/>
      <c r="I210" s="9">
        <f>IF(D210="Private",E210,"")</f>
        <v/>
      </c>
      <c r="J210" s="9">
        <f>IF(D210="Private",F210,"")</f>
        <v/>
      </c>
    </row>
    <row r="211">
      <c r="A211" s="8" t="inlineStr">
        <is>
          <t>DePaul University</t>
        </is>
      </c>
      <c r="B211" s="8" t="inlineStr">
        <is>
          <t>Chicago</t>
        </is>
      </c>
      <c r="C211" s="8" t="inlineStr">
        <is>
          <t>IL</t>
        </is>
      </c>
      <c r="D211" s="8" t="inlineStr">
        <is>
          <t>Private</t>
        </is>
      </c>
      <c r="E211" s="9" t="n">
        <v>29537</v>
      </c>
      <c r="F211" s="9" t="n">
        <v>67245</v>
      </c>
      <c r="G211" s="8">
        <f>RANK(F211,$F$5:$F$1561)</f>
        <v/>
      </c>
      <c r="H211" s="8" t="inlineStr"/>
      <c r="I211" s="9">
        <f>IF(D211="Private",E211,"")</f>
        <v/>
      </c>
      <c r="J211" s="9">
        <f>IF(D211="Private",F211,"")</f>
        <v/>
      </c>
    </row>
    <row r="212">
      <c r="A212" s="8" t="inlineStr">
        <is>
          <t>Wofford College</t>
        </is>
      </c>
      <c r="B212" s="8" t="inlineStr">
        <is>
          <t>Spartanburg</t>
        </is>
      </c>
      <c r="C212" s="8" t="inlineStr">
        <is>
          <t>SC</t>
        </is>
      </c>
      <c r="D212" s="8" t="inlineStr">
        <is>
          <t>Private</t>
        </is>
      </c>
      <c r="E212" s="9" t="n">
        <v>28012</v>
      </c>
      <c r="F212" s="9" t="n">
        <v>67231</v>
      </c>
      <c r="G212" s="8">
        <f>RANK(F212,$F$5:$F$1561)</f>
        <v/>
      </c>
      <c r="H212" s="8" t="inlineStr"/>
      <c r="I212" s="9">
        <f>IF(D212="Private",E212,"")</f>
        <v/>
      </c>
      <c r="J212" s="9">
        <f>IF(D212="Private",F212,"")</f>
        <v/>
      </c>
    </row>
    <row r="213">
      <c r="A213" s="8" t="inlineStr">
        <is>
          <t>Pacific Union College</t>
        </is>
      </c>
      <c r="B213" s="8" t="inlineStr">
        <is>
          <t>Angwin</t>
        </is>
      </c>
      <c r="C213" s="8" t="inlineStr">
        <is>
          <t>CA</t>
        </is>
      </c>
      <c r="D213" s="8" t="inlineStr">
        <is>
          <t>Private</t>
        </is>
      </c>
      <c r="E213" s="9" t="n">
        <v>21770</v>
      </c>
      <c r="F213" s="9" t="n">
        <v>67209</v>
      </c>
      <c r="G213" s="8">
        <f>RANK(F213,$F$5:$F$1561)</f>
        <v/>
      </c>
      <c r="H213" s="8" t="inlineStr"/>
      <c r="I213" s="9">
        <f>IF(D213="Private",E213,"")</f>
        <v/>
      </c>
      <c r="J213" s="9">
        <f>IF(D213="Private",F213,"")</f>
        <v/>
      </c>
    </row>
    <row r="214">
      <c r="A214" s="8" t="inlineStr">
        <is>
          <t>Regis University</t>
        </is>
      </c>
      <c r="B214" s="8" t="inlineStr">
        <is>
          <t>Denver</t>
        </is>
      </c>
      <c r="C214" s="8" t="inlineStr">
        <is>
          <t>CO</t>
        </is>
      </c>
      <c r="D214" s="8" t="inlineStr">
        <is>
          <t>Private</t>
        </is>
      </c>
      <c r="E214" s="9" t="n">
        <v>23916</v>
      </c>
      <c r="F214" s="9" t="n">
        <v>67164</v>
      </c>
      <c r="G214" s="8">
        <f>RANK(F214,$F$5:$F$1561)</f>
        <v/>
      </c>
      <c r="H214" s="8" t="inlineStr"/>
      <c r="I214" s="9">
        <f>IF(D214="Private",E214,"")</f>
        <v/>
      </c>
      <c r="J214" s="9">
        <f>IF(D214="Private",F214,"")</f>
        <v/>
      </c>
    </row>
    <row r="215">
      <c r="A215" s="8" t="inlineStr">
        <is>
          <t>Holy Names University</t>
        </is>
      </c>
      <c r="B215" s="8" t="inlineStr">
        <is>
          <t>Oakland</t>
        </is>
      </c>
      <c r="C215" s="8" t="inlineStr">
        <is>
          <t>CA</t>
        </is>
      </c>
      <c r="D215" s="8" t="inlineStr">
        <is>
          <t>Private</t>
        </is>
      </c>
      <c r="E215" s="9" t="n">
        <v>20437</v>
      </c>
      <c r="F215" s="9" t="n">
        <v>67068</v>
      </c>
      <c r="G215" s="8">
        <f>RANK(F215,$F$5:$F$1561)</f>
        <v/>
      </c>
      <c r="H215" s="8" t="inlineStr"/>
      <c r="I215" s="9">
        <f>IF(D215="Private",E215,"")</f>
        <v/>
      </c>
      <c r="J215" s="9">
        <f>IF(D215="Private",F215,"")</f>
        <v/>
      </c>
    </row>
    <row r="216">
      <c r="A216" s="8" t="inlineStr">
        <is>
          <t>National University</t>
        </is>
      </c>
      <c r="B216" s="8" t="inlineStr">
        <is>
          <t>San Diego</t>
        </is>
      </c>
      <c r="C216" s="8" t="inlineStr">
        <is>
          <t>CA</t>
        </is>
      </c>
      <c r="D216" s="8" t="inlineStr">
        <is>
          <t>Private</t>
        </is>
      </c>
      <c r="E216" s="9" t="n">
        <v>12231</v>
      </c>
      <c r="F216" s="9" t="n">
        <v>66998</v>
      </c>
      <c r="G216" s="8">
        <f>RANK(F216,$F$5:$F$1561)</f>
        <v/>
      </c>
      <c r="H216" s="8" t="inlineStr"/>
      <c r="I216" s="9">
        <f>IF(D216="Private",E216,"")</f>
        <v/>
      </c>
      <c r="J216" s="9">
        <f>IF(D216="Private",F216,"")</f>
        <v/>
      </c>
    </row>
    <row r="217">
      <c r="A217" s="8" t="inlineStr">
        <is>
          <t>Loyola University Chicago</t>
        </is>
      </c>
      <c r="B217" s="8" t="inlineStr">
        <is>
          <t>Chicago</t>
        </is>
      </c>
      <c r="C217" s="8" t="inlineStr">
        <is>
          <t>IL</t>
        </is>
      </c>
      <c r="D217" s="8" t="inlineStr">
        <is>
          <t>Private</t>
        </is>
      </c>
      <c r="E217" s="9" t="n">
        <v>27330</v>
      </c>
      <c r="F217" s="9" t="n">
        <v>66791</v>
      </c>
      <c r="G217" s="8">
        <f>RANK(F217,$F$5:$F$1561)</f>
        <v/>
      </c>
      <c r="H217" s="8" t="inlineStr"/>
      <c r="I217" s="9">
        <f>IF(D217="Private",E217,"")</f>
        <v/>
      </c>
      <c r="J217" s="9">
        <f>IF(D217="Private",F217,"")</f>
        <v/>
      </c>
    </row>
    <row r="218">
      <c r="A218" s="8" t="inlineStr">
        <is>
          <t>Elon University</t>
        </is>
      </c>
      <c r="B218" s="8" t="inlineStr">
        <is>
          <t>Elon</t>
        </is>
      </c>
      <c r="C218" s="8" t="inlineStr">
        <is>
          <t>NC</t>
        </is>
      </c>
      <c r="D218" s="8" t="inlineStr">
        <is>
          <t>Private</t>
        </is>
      </c>
      <c r="E218" s="9" t="n">
        <v>39437</v>
      </c>
      <c r="F218" s="9" t="n">
        <v>66617</v>
      </c>
      <c r="G218" s="8">
        <f>RANK(F218,$F$5:$F$1561)</f>
        <v/>
      </c>
      <c r="H218" s="8" t="inlineStr"/>
      <c r="I218" s="9">
        <f>IF(D218="Private",E218,"")</f>
        <v/>
      </c>
      <c r="J218" s="9">
        <f>IF(D218="Private",F218,"")</f>
        <v/>
      </c>
    </row>
    <row r="219">
      <c r="A219" s="8" t="inlineStr">
        <is>
          <t>Illinois Wesleyan University</t>
        </is>
      </c>
      <c r="B219" s="8" t="inlineStr">
        <is>
          <t>Bloomington</t>
        </is>
      </c>
      <c r="C219" s="8" t="inlineStr">
        <is>
          <t>IL</t>
        </is>
      </c>
      <c r="D219" s="8" t="inlineStr">
        <is>
          <t>Private</t>
        </is>
      </c>
      <c r="E219" s="9" t="n">
        <v>27611</v>
      </c>
      <c r="F219" s="9" t="n">
        <v>66591</v>
      </c>
      <c r="G219" s="8">
        <f>RANK(F219,$F$5:$F$1561)</f>
        <v/>
      </c>
      <c r="H219" s="8" t="inlineStr"/>
      <c r="I219" s="9">
        <f>IF(D219="Private",E219,"")</f>
        <v/>
      </c>
      <c r="J219" s="9">
        <f>IF(D219="Private",F219,"")</f>
        <v/>
      </c>
    </row>
    <row r="220">
      <c r="A220" s="8" t="inlineStr">
        <is>
          <t>DePauw University</t>
        </is>
      </c>
      <c r="B220" s="8" t="inlineStr">
        <is>
          <t>Greencastle</t>
        </is>
      </c>
      <c r="C220" s="8" t="inlineStr">
        <is>
          <t>IN</t>
        </is>
      </c>
      <c r="D220" s="8" t="inlineStr">
        <is>
          <t>Private</t>
        </is>
      </c>
      <c r="E220" s="9" t="n">
        <v>22469</v>
      </c>
      <c r="F220" s="9" t="n">
        <v>66577</v>
      </c>
      <c r="G220" s="8">
        <f>RANK(F220,$F$5:$F$1561)</f>
        <v/>
      </c>
      <c r="H220" s="8" t="inlineStr"/>
      <c r="I220" s="9">
        <f>IF(D220="Private",E220,"")</f>
        <v/>
      </c>
      <c r="J220" s="9">
        <f>IF(D220="Private",F220,"")</f>
        <v/>
      </c>
    </row>
    <row r="221">
      <c r="A221" s="8" t="inlineStr">
        <is>
          <t>Lake Forest College</t>
        </is>
      </c>
      <c r="B221" s="8" t="inlineStr">
        <is>
          <t>Lake Forest</t>
        </is>
      </c>
      <c r="C221" s="8" t="inlineStr">
        <is>
          <t>IL</t>
        </is>
      </c>
      <c r="D221" s="8" t="inlineStr">
        <is>
          <t>Private</t>
        </is>
      </c>
      <c r="E221" s="9" t="n">
        <v>23642</v>
      </c>
      <c r="F221" s="9" t="n">
        <v>66559</v>
      </c>
      <c r="G221" s="8">
        <f>RANK(F221,$F$5:$F$1561)</f>
        <v/>
      </c>
      <c r="H221" s="8" t="inlineStr"/>
      <c r="I221" s="9">
        <f>IF(D221="Private",E221,"")</f>
        <v/>
      </c>
      <c r="J221" s="9">
        <f>IF(D221="Private",F221,"")</f>
        <v/>
      </c>
    </row>
    <row r="222">
      <c r="A222" s="8" t="inlineStr">
        <is>
          <t>Bradley University</t>
        </is>
      </c>
      <c r="B222" s="8" t="inlineStr">
        <is>
          <t>Peoria</t>
        </is>
      </c>
      <c r="C222" s="8" t="inlineStr">
        <is>
          <t>IL</t>
        </is>
      </c>
      <c r="D222" s="8" t="inlineStr">
        <is>
          <t>Private</t>
        </is>
      </c>
      <c r="E222" s="9" t="n">
        <v>24835</v>
      </c>
      <c r="F222" s="9" t="n">
        <v>66315</v>
      </c>
      <c r="G222" s="8">
        <f>RANK(F222,$F$5:$F$1561)</f>
        <v/>
      </c>
      <c r="H222" s="8" t="inlineStr"/>
      <c r="I222" s="9">
        <f>IF(D222="Private",E222,"")</f>
        <v/>
      </c>
      <c r="J222" s="9">
        <f>IF(D222="Private",F222,"")</f>
        <v/>
      </c>
    </row>
    <row r="223">
      <c r="A223" s="8" t="inlineStr">
        <is>
          <t>Washington College</t>
        </is>
      </c>
      <c r="B223" s="8" t="inlineStr">
        <is>
          <t>Chestertown</t>
        </is>
      </c>
      <c r="C223" s="8" t="inlineStr">
        <is>
          <t>MD</t>
        </is>
      </c>
      <c r="D223" s="8" t="inlineStr">
        <is>
          <t>Private</t>
        </is>
      </c>
      <c r="E223" s="9" t="n">
        <v>30803</v>
      </c>
      <c r="F223" s="9" t="n">
        <v>66291</v>
      </c>
      <c r="G223" s="8">
        <f>RANK(F223,$F$5:$F$1561)</f>
        <v/>
      </c>
      <c r="H223" s="8" t="inlineStr"/>
      <c r="I223" s="9">
        <f>IF(D223="Private",E223,"")</f>
        <v/>
      </c>
      <c r="J223" s="9">
        <f>IF(D223="Private",F223,"")</f>
        <v/>
      </c>
    </row>
    <row r="224">
      <c r="A224" s="8" t="inlineStr">
        <is>
          <t>St Olaf College</t>
        </is>
      </c>
      <c r="B224" s="8" t="inlineStr">
        <is>
          <t>Northfield</t>
        </is>
      </c>
      <c r="C224" s="8" t="inlineStr">
        <is>
          <t>MN</t>
        </is>
      </c>
      <c r="D224" s="8" t="inlineStr">
        <is>
          <t>Private</t>
        </is>
      </c>
      <c r="E224" s="9" t="n">
        <v>22278</v>
      </c>
      <c r="F224" s="9" t="n">
        <v>66260</v>
      </c>
      <c r="G224" s="8">
        <f>RANK(F224,$F$5:$F$1561)</f>
        <v/>
      </c>
      <c r="H224" s="8" t="inlineStr"/>
      <c r="I224" s="9">
        <f>IF(D224="Private",E224,"")</f>
        <v/>
      </c>
      <c r="J224" s="9">
        <f>IF(D224="Private",F224,"")</f>
        <v/>
      </c>
    </row>
    <row r="225">
      <c r="A225" s="8" t="inlineStr">
        <is>
          <t>Western New England University</t>
        </is>
      </c>
      <c r="B225" s="8" t="inlineStr">
        <is>
          <t>Springfield</t>
        </is>
      </c>
      <c r="C225" s="8" t="inlineStr">
        <is>
          <t>MA</t>
        </is>
      </c>
      <c r="D225" s="8" t="inlineStr">
        <is>
          <t>Private</t>
        </is>
      </c>
      <c r="E225" s="9" t="n">
        <v>29806</v>
      </c>
      <c r="F225" s="9" t="n">
        <v>66181</v>
      </c>
      <c r="G225" s="8">
        <f>RANK(F225,$F$5:$F$1561)</f>
        <v/>
      </c>
      <c r="H225" s="8" t="inlineStr"/>
      <c r="I225" s="9">
        <f>IF(D225="Private",E225,"")</f>
        <v/>
      </c>
      <c r="J225" s="9">
        <f>IF(D225="Private",F225,"")</f>
        <v/>
      </c>
    </row>
    <row r="226">
      <c r="A226" s="8" t="inlineStr">
        <is>
          <t>Ursinus College</t>
        </is>
      </c>
      <c r="B226" s="8" t="inlineStr">
        <is>
          <t>Collegeville</t>
        </is>
      </c>
      <c r="C226" s="8" t="inlineStr">
        <is>
          <t>PA</t>
        </is>
      </c>
      <c r="D226" s="8" t="inlineStr">
        <is>
          <t>Private</t>
        </is>
      </c>
      <c r="E226" s="9" t="n">
        <v>29648</v>
      </c>
      <c r="F226" s="9" t="n">
        <v>66081</v>
      </c>
      <c r="G226" s="8">
        <f>RANK(F226,$F$5:$F$1561)</f>
        <v/>
      </c>
      <c r="H226" s="8" t="inlineStr"/>
      <c r="I226" s="9">
        <f>IF(D226="Private",E226,"")</f>
        <v/>
      </c>
      <c r="J226" s="9">
        <f>IF(D226="Private",F226,"")</f>
        <v/>
      </c>
    </row>
    <row r="227">
      <c r="A227" s="8" t="inlineStr">
        <is>
          <t>Suffolk University</t>
        </is>
      </c>
      <c r="B227" s="8" t="inlineStr">
        <is>
          <t>Boston</t>
        </is>
      </c>
      <c r="C227" s="8" t="inlineStr">
        <is>
          <t>MA</t>
        </is>
      </c>
      <c r="D227" s="8" t="inlineStr">
        <is>
          <t>Private</t>
        </is>
      </c>
      <c r="E227" s="9" t="n">
        <v>27861</v>
      </c>
      <c r="F227" s="9" t="n">
        <v>65950</v>
      </c>
      <c r="G227" s="8">
        <f>RANK(F227,$F$5:$F$1561)</f>
        <v/>
      </c>
      <c r="H227" s="8" t="inlineStr"/>
      <c r="I227" s="9">
        <f>IF(D227="Private",E227,"")</f>
        <v/>
      </c>
      <c r="J227" s="9">
        <f>IF(D227="Private",F227,"")</f>
        <v/>
      </c>
    </row>
    <row r="228">
      <c r="A228" s="8" t="inlineStr">
        <is>
          <t>Bates College</t>
        </is>
      </c>
      <c r="B228" s="8" t="inlineStr">
        <is>
          <t>Lewiston</t>
        </is>
      </c>
      <c r="C228" s="8" t="inlineStr">
        <is>
          <t>ME</t>
        </is>
      </c>
      <c r="D228" s="8" t="inlineStr">
        <is>
          <t>Private</t>
        </is>
      </c>
      <c r="E228" s="9" t="n">
        <v>26560</v>
      </c>
      <c r="F228" s="9" t="n">
        <v>65860</v>
      </c>
      <c r="G228" s="8">
        <f>RANK(F228,$F$5:$F$1561)</f>
        <v/>
      </c>
      <c r="H228" s="8" t="inlineStr"/>
      <c r="I228" s="9">
        <f>IF(D228="Private",E228,"")</f>
        <v/>
      </c>
      <c r="J228" s="9">
        <f>IF(D228="Private",F228,"")</f>
        <v/>
      </c>
    </row>
    <row r="229">
      <c r="A229" s="8" t="inlineStr">
        <is>
          <t>University at Buffalo</t>
        </is>
      </c>
      <c r="B229" s="8" t="inlineStr">
        <is>
          <t>Buffalo</t>
        </is>
      </c>
      <c r="C229" s="8" t="inlineStr">
        <is>
          <t>NY</t>
        </is>
      </c>
      <c r="D229" s="8" t="inlineStr">
        <is>
          <t>Public</t>
        </is>
      </c>
      <c r="E229" s="9" t="n">
        <v>19344</v>
      </c>
      <c r="F229" s="9" t="n">
        <v>65856</v>
      </c>
      <c r="G229" s="8">
        <f>RANK(F229,$F$5:$F$1561)</f>
        <v/>
      </c>
      <c r="H229" s="8" t="inlineStr"/>
      <c r="I229" s="9">
        <f>IF(D229="Private",E229,"")</f>
        <v/>
      </c>
      <c r="J229" s="9">
        <f>IF(D229="Private",F229,"")</f>
        <v/>
      </c>
    </row>
    <row r="230">
      <c r="A230" s="8" t="inlineStr">
        <is>
          <t>University of Massachusetts-Amherst</t>
        </is>
      </c>
      <c r="B230" s="8" t="inlineStr">
        <is>
          <t>Amherst</t>
        </is>
      </c>
      <c r="C230" s="8" t="inlineStr">
        <is>
          <t>MA</t>
        </is>
      </c>
      <c r="D230" s="8" t="inlineStr">
        <is>
          <t>Public</t>
        </is>
      </c>
      <c r="E230" s="9" t="n">
        <v>16197</v>
      </c>
      <c r="F230" s="9" t="n">
        <v>65645</v>
      </c>
      <c r="G230" s="8">
        <f>RANK(F230,$F$5:$F$1561)</f>
        <v/>
      </c>
      <c r="H230" s="8" t="inlineStr"/>
      <c r="I230" s="9">
        <f>IF(D230="Private",E230,"")</f>
        <v/>
      </c>
      <c r="J230" s="9">
        <f>IF(D230="Private",F230,"")</f>
        <v/>
      </c>
    </row>
    <row r="231">
      <c r="A231" s="8" t="inlineStr">
        <is>
          <t>Norwich University</t>
        </is>
      </c>
      <c r="B231" s="8" t="inlineStr">
        <is>
          <t>Northfield</t>
        </is>
      </c>
      <c r="C231" s="8" t="inlineStr">
        <is>
          <t>VT</t>
        </is>
      </c>
      <c r="D231" s="8" t="inlineStr">
        <is>
          <t>Private</t>
        </is>
      </c>
      <c r="E231" s="9" t="n">
        <v>25897</v>
      </c>
      <c r="F231" s="9" t="n">
        <v>65540</v>
      </c>
      <c r="G231" s="8">
        <f>RANK(F231,$F$5:$F$1561)</f>
        <v/>
      </c>
      <c r="H231" s="8" t="inlineStr"/>
      <c r="I231" s="9">
        <f>IF(D231="Private",E231,"")</f>
        <v/>
      </c>
      <c r="J231" s="9">
        <f>IF(D231="Private",F231,"")</f>
        <v/>
      </c>
    </row>
    <row r="232">
      <c r="A232" s="8" t="inlineStr">
        <is>
          <t>California Lutheran University</t>
        </is>
      </c>
      <c r="B232" s="8" t="inlineStr">
        <is>
          <t>Thousand Oaks</t>
        </is>
      </c>
      <c r="C232" s="8" t="inlineStr">
        <is>
          <t>CA</t>
        </is>
      </c>
      <c r="D232" s="8" t="inlineStr">
        <is>
          <t>Private</t>
        </is>
      </c>
      <c r="E232" s="9" t="n">
        <v>21442</v>
      </c>
      <c r="F232" s="9" t="n">
        <v>65401</v>
      </c>
      <c r="G232" s="8">
        <f>RANK(F232,$F$5:$F$1561)</f>
        <v/>
      </c>
      <c r="H232" s="8" t="inlineStr"/>
      <c r="I232" s="9">
        <f>IF(D232="Private",E232,"")</f>
        <v/>
      </c>
      <c r="J232" s="9">
        <f>IF(D232="Private",F232,"")</f>
        <v/>
      </c>
    </row>
    <row r="233">
      <c r="A233" s="8" t="inlineStr">
        <is>
          <t>Washington State University</t>
        </is>
      </c>
      <c r="B233" s="8" t="inlineStr">
        <is>
          <t>Pullman</t>
        </is>
      </c>
      <c r="C233" s="8" t="inlineStr">
        <is>
          <t>WA</t>
        </is>
      </c>
      <c r="D233" s="8" t="inlineStr">
        <is>
          <t>Public</t>
        </is>
      </c>
      <c r="E233" s="9" t="n">
        <v>8947</v>
      </c>
      <c r="F233" s="9" t="n">
        <v>65331</v>
      </c>
      <c r="G233" s="8">
        <f>RANK(F233,$F$5:$F$1561)</f>
        <v/>
      </c>
      <c r="H233" s="8" t="inlineStr"/>
      <c r="I233" s="9">
        <f>IF(D233="Private",E233,"")</f>
        <v/>
      </c>
      <c r="J233" s="9">
        <f>IF(D233="Private",F233,"")</f>
        <v/>
      </c>
    </row>
    <row r="234">
      <c r="A234" s="8" t="inlineStr">
        <is>
          <t>University of Massachusetts-Lowell</t>
        </is>
      </c>
      <c r="B234" s="8" t="inlineStr">
        <is>
          <t>Lowell</t>
        </is>
      </c>
      <c r="C234" s="8" t="inlineStr">
        <is>
          <t>MA</t>
        </is>
      </c>
      <c r="D234" s="8" t="inlineStr">
        <is>
          <t>Public</t>
        </is>
      </c>
      <c r="E234" s="9" t="n">
        <v>14071</v>
      </c>
      <c r="F234" s="9" t="n">
        <v>65324</v>
      </c>
      <c r="G234" s="8">
        <f>RANK(F234,$F$5:$F$1561)</f>
        <v/>
      </c>
      <c r="H234" s="8" t="inlineStr"/>
      <c r="I234" s="9">
        <f>IF(D234="Private",E234,"")</f>
        <v/>
      </c>
      <c r="J234" s="9">
        <f>IF(D234="Private",F234,"")</f>
        <v/>
      </c>
    </row>
    <row r="235">
      <c r="A235" s="8" t="inlineStr">
        <is>
          <t>Monmouth University</t>
        </is>
      </c>
      <c r="B235" s="8" t="inlineStr">
        <is>
          <t>West Long Branch</t>
        </is>
      </c>
      <c r="C235" s="8" t="inlineStr">
        <is>
          <t>NJ</t>
        </is>
      </c>
      <c r="D235" s="8" t="inlineStr">
        <is>
          <t>Private</t>
        </is>
      </c>
      <c r="E235" s="9" t="n">
        <v>25324</v>
      </c>
      <c r="F235" s="9" t="n">
        <v>65306</v>
      </c>
      <c r="G235" s="8">
        <f>RANK(F235,$F$5:$F$1561)</f>
        <v/>
      </c>
      <c r="H235" s="8" t="inlineStr"/>
      <c r="I235" s="9">
        <f>IF(D235="Private",E235,"")</f>
        <v/>
      </c>
      <c r="J235" s="9">
        <f>IF(D235="Private",F235,"")</f>
        <v/>
      </c>
    </row>
    <row r="236">
      <c r="A236" s="8" t="inlineStr">
        <is>
          <t>University of Colorado Boulder</t>
        </is>
      </c>
      <c r="B236" s="8" t="inlineStr">
        <is>
          <t>Boulder</t>
        </is>
      </c>
      <c r="C236" s="8" t="inlineStr">
        <is>
          <t>CO</t>
        </is>
      </c>
      <c r="D236" s="8" t="inlineStr">
        <is>
          <t>Public</t>
        </is>
      </c>
      <c r="E236" s="9" t="n">
        <v>21771</v>
      </c>
      <c r="F236" s="9" t="n">
        <v>65273</v>
      </c>
      <c r="G236" s="8">
        <f>RANK(F236,$F$5:$F$1561)</f>
        <v/>
      </c>
      <c r="H236" s="8" t="inlineStr"/>
      <c r="I236" s="9">
        <f>IF(D236="Private",E236,"")</f>
        <v/>
      </c>
      <c r="J236" s="9">
        <f>IF(D236="Private",F236,"")</f>
        <v/>
      </c>
    </row>
    <row r="237">
      <c r="A237" s="8" t="inlineStr">
        <is>
          <t>North Carolina State University at Raleigh</t>
        </is>
      </c>
      <c r="B237" s="8" t="inlineStr">
        <is>
          <t>Raleigh</t>
        </is>
      </c>
      <c r="C237" s="8" t="inlineStr">
        <is>
          <t>NC</t>
        </is>
      </c>
      <c r="D237" s="8" t="inlineStr">
        <is>
          <t>Public</t>
        </is>
      </c>
      <c r="E237" s="9" t="n">
        <v>16239</v>
      </c>
      <c r="F237" s="9" t="n">
        <v>65211</v>
      </c>
      <c r="G237" s="8">
        <f>RANK(F237,$F$5:$F$1561)</f>
        <v/>
      </c>
      <c r="H237" s="8" t="inlineStr"/>
      <c r="I237" s="9">
        <f>IF(D237="Private",E237,"")</f>
        <v/>
      </c>
      <c r="J237" s="9">
        <f>IF(D237="Private",F237,"")</f>
        <v/>
      </c>
    </row>
    <row r="238">
      <c r="A238" s="8" t="inlineStr">
        <is>
          <t>James Madison University</t>
        </is>
      </c>
      <c r="B238" s="8" t="inlineStr">
        <is>
          <t>Harrisonburg</t>
        </is>
      </c>
      <c r="C238" s="8" t="inlineStr">
        <is>
          <t>VA</t>
        </is>
      </c>
      <c r="D238" s="8" t="inlineStr">
        <is>
          <t>Public</t>
        </is>
      </c>
      <c r="E238" s="9" t="n">
        <v>22431</v>
      </c>
      <c r="F238" s="9" t="n">
        <v>65172</v>
      </c>
      <c r="G238" s="8">
        <f>RANK(F238,$F$5:$F$1561)</f>
        <v/>
      </c>
      <c r="H238" s="8" t="inlineStr"/>
      <c r="I238" s="9">
        <f>IF(D238="Private",E238,"")</f>
        <v/>
      </c>
      <c r="J238" s="9">
        <f>IF(D238="Private",F238,"")</f>
        <v/>
      </c>
    </row>
    <row r="239">
      <c r="A239" s="8" t="inlineStr">
        <is>
          <t>University of Minnesota-Twin Cities</t>
        </is>
      </c>
      <c r="B239" s="8" t="inlineStr">
        <is>
          <t>Minneapolis</t>
        </is>
      </c>
      <c r="C239" s="8" t="inlineStr">
        <is>
          <t>MN</t>
        </is>
      </c>
      <c r="D239" s="8" t="inlineStr">
        <is>
          <t>Public</t>
        </is>
      </c>
      <c r="E239" s="9" t="n">
        <v>17419</v>
      </c>
      <c r="F239" s="9" t="n">
        <v>65087</v>
      </c>
      <c r="G239" s="8">
        <f>RANK(F239,$F$5:$F$1561)</f>
        <v/>
      </c>
      <c r="H239" s="8" t="inlineStr"/>
      <c r="I239" s="9">
        <f>IF(D239="Private",E239,"")</f>
        <v/>
      </c>
      <c r="J239" s="9">
        <f>IF(D239="Private",F239,"")</f>
        <v/>
      </c>
    </row>
    <row r="240">
      <c r="A240" s="8" t="inlineStr">
        <is>
          <t>University of New Hampshire at Manchester</t>
        </is>
      </c>
      <c r="B240" s="8" t="inlineStr">
        <is>
          <t>Manchester</t>
        </is>
      </c>
      <c r="C240" s="8" t="inlineStr">
        <is>
          <t>NH</t>
        </is>
      </c>
      <c r="D240" s="8" t="inlineStr">
        <is>
          <t>Public</t>
        </is>
      </c>
      <c r="E240" s="9" t="n">
        <v>16665</v>
      </c>
      <c r="F240" s="9" t="n">
        <v>64875</v>
      </c>
      <c r="G240" s="8">
        <f>RANK(F240,$F$5:$F$1561)</f>
        <v/>
      </c>
      <c r="H240" s="8" t="inlineStr"/>
      <c r="I240" s="9">
        <f>IF(D240="Private",E240,"")</f>
        <v/>
      </c>
      <c r="J240" s="9">
        <f>IF(D240="Private",F240,"")</f>
        <v/>
      </c>
    </row>
    <row r="241">
      <c r="A241" s="8" t="inlineStr">
        <is>
          <t>University of New Hampshire-Main Campus</t>
        </is>
      </c>
      <c r="B241" s="8" t="inlineStr">
        <is>
          <t>Durham</t>
        </is>
      </c>
      <c r="C241" s="8" t="inlineStr">
        <is>
          <t>NH</t>
        </is>
      </c>
      <c r="D241" s="8" t="inlineStr">
        <is>
          <t>Public</t>
        </is>
      </c>
      <c r="E241" s="9" t="n">
        <v>21699</v>
      </c>
      <c r="F241" s="9" t="n">
        <v>64875</v>
      </c>
      <c r="G241" s="8">
        <f>RANK(F241,$F$5:$F$1561)</f>
        <v/>
      </c>
      <c r="H241" s="8" t="inlineStr"/>
      <c r="I241" s="9">
        <f>IF(D241="Private",E241,"")</f>
        <v/>
      </c>
      <c r="J241" s="9">
        <f>IF(D241="Private",F241,"")</f>
        <v/>
      </c>
    </row>
    <row r="242">
      <c r="A242" s="8" t="inlineStr">
        <is>
          <t>Chapman University</t>
        </is>
      </c>
      <c r="B242" s="8" t="inlineStr">
        <is>
          <t>Orange</t>
        </is>
      </c>
      <c r="C242" s="8" t="inlineStr">
        <is>
          <t>CA</t>
        </is>
      </c>
      <c r="D242" s="8" t="inlineStr">
        <is>
          <t>Private</t>
        </is>
      </c>
      <c r="E242" s="9" t="n">
        <v>39047</v>
      </c>
      <c r="F242" s="9" t="n">
        <v>64844</v>
      </c>
      <c r="G242" s="8">
        <f>RANK(F242,$F$5:$F$1561)</f>
        <v/>
      </c>
      <c r="H242" s="8" t="inlineStr"/>
      <c r="I242" s="9">
        <f>IF(D242="Private",E242,"")</f>
        <v/>
      </c>
      <c r="J242" s="9">
        <f>IF(D242="Private",F242,"")</f>
        <v/>
      </c>
    </row>
    <row r="243">
      <c r="A243" s="8" t="inlineStr">
        <is>
          <t>San Francisco State University</t>
        </is>
      </c>
      <c r="B243" s="8" t="inlineStr">
        <is>
          <t>San Francisco</t>
        </is>
      </c>
      <c r="C243" s="8" t="inlineStr">
        <is>
          <t>CA</t>
        </is>
      </c>
      <c r="D243" s="8" t="inlineStr">
        <is>
          <t>Public</t>
        </is>
      </c>
      <c r="E243" s="9" t="n">
        <v>12590</v>
      </c>
      <c r="F243" s="9" t="n">
        <v>64797</v>
      </c>
      <c r="G243" s="8">
        <f>RANK(F243,$F$5:$F$1561)</f>
        <v/>
      </c>
      <c r="H243" s="8" t="inlineStr"/>
      <c r="I243" s="9">
        <f>IF(D243="Private",E243,"")</f>
        <v/>
      </c>
      <c r="J243" s="9">
        <f>IF(D243="Private",F243,"")</f>
        <v/>
      </c>
    </row>
    <row r="244">
      <c r="A244" s="8" t="inlineStr">
        <is>
          <t>Vermont Technical College</t>
        </is>
      </c>
      <c r="B244" s="8" t="inlineStr">
        <is>
          <t>Randolph</t>
        </is>
      </c>
      <c r="C244" s="8" t="inlineStr">
        <is>
          <t>VT</t>
        </is>
      </c>
      <c r="D244" s="8" t="inlineStr">
        <is>
          <t>Public</t>
        </is>
      </c>
      <c r="E244" s="9" t="n">
        <v>21839</v>
      </c>
      <c r="F244" s="9" t="n">
        <v>64761</v>
      </c>
      <c r="G244" s="8">
        <f>RANK(F244,$F$5:$F$1561)</f>
        <v/>
      </c>
      <c r="H244" s="8" t="inlineStr"/>
      <c r="I244" s="9">
        <f>IF(D244="Private",E244,"")</f>
        <v/>
      </c>
      <c r="J244" s="9">
        <f>IF(D244="Private",F244,"")</f>
        <v/>
      </c>
    </row>
    <row r="245">
      <c r="A245" s="8" t="inlineStr">
        <is>
          <t>University of Massachusetts Global</t>
        </is>
      </c>
      <c r="B245" s="8" t="inlineStr">
        <is>
          <t>Irvine</t>
        </is>
      </c>
      <c r="C245" s="8" t="inlineStr">
        <is>
          <t>CA</t>
        </is>
      </c>
      <c r="D245" s="8" t="inlineStr">
        <is>
          <t>Private</t>
        </is>
      </c>
      <c r="E245" s="9" t="n">
        <v>26340</v>
      </c>
      <c r="F245" s="9" t="n">
        <v>64748</v>
      </c>
      <c r="G245" s="8">
        <f>RANK(F245,$F$5:$F$1561)</f>
        <v/>
      </c>
      <c r="H245" s="8" t="inlineStr"/>
      <c r="I245" s="9">
        <f>IF(D245="Private",E245,"")</f>
        <v/>
      </c>
      <c r="J245" s="9">
        <f>IF(D245="Private",F245,"")</f>
        <v/>
      </c>
    </row>
    <row r="246">
      <c r="A246" s="8" t="inlineStr">
        <is>
          <t>Vassar College</t>
        </is>
      </c>
      <c r="B246" s="8" t="inlineStr">
        <is>
          <t>Poughkeepsie</t>
        </is>
      </c>
      <c r="C246" s="8" t="inlineStr">
        <is>
          <t>NY</t>
        </is>
      </c>
      <c r="D246" s="8" t="inlineStr">
        <is>
          <t>Private</t>
        </is>
      </c>
      <c r="E246" s="9" t="n">
        <v>35236</v>
      </c>
      <c r="F246" s="9" t="n">
        <v>64639</v>
      </c>
      <c r="G246" s="8">
        <f>RANK(F246,$F$5:$F$1561)</f>
        <v/>
      </c>
      <c r="H246" s="8" t="inlineStr"/>
      <c r="I246" s="9">
        <f>IF(D246="Private",E246,"")</f>
        <v/>
      </c>
      <c r="J246" s="9">
        <f>IF(D246="Private",F246,"")</f>
        <v/>
      </c>
    </row>
    <row r="247">
      <c r="A247" s="8" t="inlineStr">
        <is>
          <t>University of Puget Sound</t>
        </is>
      </c>
      <c r="B247" s="8" t="inlineStr">
        <is>
          <t>Tacoma</t>
        </is>
      </c>
      <c r="C247" s="8" t="inlineStr">
        <is>
          <t>WA</t>
        </is>
      </c>
      <c r="D247" s="8" t="inlineStr">
        <is>
          <t>Private</t>
        </is>
      </c>
      <c r="E247" s="9" t="n">
        <v>23215</v>
      </c>
      <c r="F247" s="9" t="n">
        <v>64570</v>
      </c>
      <c r="G247" s="8">
        <f>RANK(F247,$F$5:$F$1561)</f>
        <v/>
      </c>
      <c r="H247" s="8" t="inlineStr"/>
      <c r="I247" s="9">
        <f>IF(D247="Private",E247,"")</f>
        <v/>
      </c>
      <c r="J247" s="9">
        <f>IF(D247="Private",F247,"")</f>
        <v/>
      </c>
    </row>
    <row r="248">
      <c r="A248" s="8" t="inlineStr">
        <is>
          <t>Michigan State University</t>
        </is>
      </c>
      <c r="B248" s="8" t="inlineStr">
        <is>
          <t>East Lansing</t>
        </is>
      </c>
      <c r="C248" s="8" t="inlineStr">
        <is>
          <t>MI</t>
        </is>
      </c>
      <c r="D248" s="8" t="inlineStr">
        <is>
          <t>Public</t>
        </is>
      </c>
      <c r="E248" s="9" t="n">
        <v>10925</v>
      </c>
      <c r="F248" s="9" t="n">
        <v>64566</v>
      </c>
      <c r="G248" s="8">
        <f>RANK(F248,$F$5:$F$1561)</f>
        <v/>
      </c>
      <c r="H248" s="8" t="inlineStr"/>
      <c r="I248" s="9">
        <f>IF(D248="Private",E248,"")</f>
        <v/>
      </c>
      <c r="J248" s="9">
        <f>IF(D248="Private",F248,"")</f>
        <v/>
      </c>
    </row>
    <row r="249">
      <c r="A249" s="8" t="inlineStr">
        <is>
          <t>Rhode Island School of Design</t>
        </is>
      </c>
      <c r="B249" s="8" t="inlineStr">
        <is>
          <t>Providence</t>
        </is>
      </c>
      <c r="C249" s="8" t="inlineStr">
        <is>
          <t>RI</t>
        </is>
      </c>
      <c r="D249" s="8" t="inlineStr">
        <is>
          <t>Private</t>
        </is>
      </c>
      <c r="E249" s="9" t="n">
        <v>44371</v>
      </c>
      <c r="F249" s="9" t="n">
        <v>64562</v>
      </c>
      <c r="G249" s="8">
        <f>RANK(F249,$F$5:$F$1561)</f>
        <v/>
      </c>
      <c r="H249" s="8" t="inlineStr"/>
      <c r="I249" s="9">
        <f>IF(D249="Private",E249,"")</f>
        <v/>
      </c>
      <c r="J249" s="9">
        <f>IF(D249="Private",F249,"")</f>
        <v/>
      </c>
    </row>
    <row r="250">
      <c r="A250" s="8" t="inlineStr">
        <is>
          <t>Champlain College</t>
        </is>
      </c>
      <c r="B250" s="8" t="inlineStr">
        <is>
          <t>Burlington</t>
        </is>
      </c>
      <c r="C250" s="8" t="inlineStr">
        <is>
          <t>VT</t>
        </is>
      </c>
      <c r="D250" s="8" t="inlineStr">
        <is>
          <t>Private</t>
        </is>
      </c>
      <c r="E250" s="9" t="n">
        <v>33681</v>
      </c>
      <c r="F250" s="9" t="n">
        <v>64456</v>
      </c>
      <c r="G250" s="8">
        <f>RANK(F250,$F$5:$F$1561)</f>
        <v/>
      </c>
      <c r="H250" s="8" t="inlineStr"/>
      <c r="I250" s="9">
        <f>IF(D250="Private",E250,"")</f>
        <v/>
      </c>
      <c r="J250" s="9">
        <f>IF(D250="Private",F250,"")</f>
        <v/>
      </c>
    </row>
    <row r="251">
      <c r="A251" s="8" t="inlineStr">
        <is>
          <t>University of Utah</t>
        </is>
      </c>
      <c r="B251" s="8" t="inlineStr">
        <is>
          <t>Salt Lake City</t>
        </is>
      </c>
      <c r="C251" s="8" t="inlineStr">
        <is>
          <t>UT</t>
        </is>
      </c>
      <c r="D251" s="8" t="inlineStr">
        <is>
          <t>Public</t>
        </is>
      </c>
      <c r="E251" s="9" t="n">
        <v>12867</v>
      </c>
      <c r="F251" s="9" t="n">
        <v>64456</v>
      </c>
      <c r="G251" s="8">
        <f>RANK(F251,$F$5:$F$1561)</f>
        <v/>
      </c>
      <c r="H251" s="8" t="inlineStr"/>
      <c r="I251" s="9">
        <f>IF(D251="Private",E251,"")</f>
        <v/>
      </c>
      <c r="J251" s="9">
        <f>IF(D251="Private",F251,"")</f>
        <v/>
      </c>
    </row>
    <row r="252">
      <c r="A252" s="8" t="inlineStr">
        <is>
          <t>Whitman College</t>
        </is>
      </c>
      <c r="B252" s="8" t="inlineStr">
        <is>
          <t>Walla Walla</t>
        </is>
      </c>
      <c r="C252" s="8" t="inlineStr">
        <is>
          <t>WA</t>
        </is>
      </c>
      <c r="D252" s="8" t="inlineStr">
        <is>
          <t>Private</t>
        </is>
      </c>
      <c r="E252" s="9" t="n">
        <v>30694</v>
      </c>
      <c r="F252" s="9" t="n">
        <v>64442</v>
      </c>
      <c r="G252" s="8">
        <f>RANK(F252,$F$5:$F$1561)</f>
        <v/>
      </c>
      <c r="H252" s="8" t="inlineStr"/>
      <c r="I252" s="9">
        <f>IF(D252="Private",E252,"")</f>
        <v/>
      </c>
      <c r="J252" s="9">
        <f>IF(D252="Private",F252,"")</f>
        <v/>
      </c>
    </row>
    <row r="253">
      <c r="A253" s="8" t="inlineStr">
        <is>
          <t>Farmingdale State College</t>
        </is>
      </c>
      <c r="B253" s="8" t="inlineStr">
        <is>
          <t>Farmingdale</t>
        </is>
      </c>
      <c r="C253" s="8" t="inlineStr">
        <is>
          <t>NY</t>
        </is>
      </c>
      <c r="D253" s="8" t="inlineStr">
        <is>
          <t>Public</t>
        </is>
      </c>
      <c r="E253" s="9" t="n">
        <v>6934</v>
      </c>
      <c r="F253" s="9" t="n">
        <v>64404</v>
      </c>
      <c r="G253" s="8">
        <f>RANK(F253,$F$5:$F$1561)</f>
        <v/>
      </c>
      <c r="H253" s="8" t="inlineStr"/>
      <c r="I253" s="9">
        <f>IF(D253="Private",E253,"")</f>
        <v/>
      </c>
      <c r="J253" s="9">
        <f>IF(D253="Private",F253,"")</f>
        <v/>
      </c>
    </row>
    <row r="254">
      <c r="A254" s="8" t="inlineStr">
        <is>
          <t>The University of Texas at Dallas</t>
        </is>
      </c>
      <c r="B254" s="8" t="inlineStr">
        <is>
          <t>Richardson</t>
        </is>
      </c>
      <c r="C254" s="8" t="inlineStr">
        <is>
          <t>TX</t>
        </is>
      </c>
      <c r="D254" s="8" t="inlineStr">
        <is>
          <t>Public</t>
        </is>
      </c>
      <c r="E254" s="9" t="n">
        <v>17033</v>
      </c>
      <c r="F254" s="9" t="n">
        <v>64398</v>
      </c>
      <c r="G254" s="8">
        <f>RANK(F254,$F$5:$F$1561)</f>
        <v/>
      </c>
      <c r="H254" s="8" t="inlineStr"/>
      <c r="I254" s="9">
        <f>IF(D254="Private",E254,"")</f>
        <v/>
      </c>
      <c r="J254" s="9">
        <f>IF(D254="Private",F254,"")</f>
        <v/>
      </c>
    </row>
    <row r="255">
      <c r="A255" s="8" t="inlineStr">
        <is>
          <t>Moravian University</t>
        </is>
      </c>
      <c r="B255" s="8" t="inlineStr">
        <is>
          <t>Bethlehem</t>
        </is>
      </c>
      <c r="C255" s="8" t="inlineStr">
        <is>
          <t>PA</t>
        </is>
      </c>
      <c r="D255" s="8" t="inlineStr">
        <is>
          <t>Private</t>
        </is>
      </c>
      <c r="E255" s="9" t="n">
        <v>31038</v>
      </c>
      <c r="F255" s="9" t="n">
        <v>64389</v>
      </c>
      <c r="G255" s="8">
        <f>RANK(F255,$F$5:$F$1561)</f>
        <v/>
      </c>
      <c r="H255" s="8" t="inlineStr"/>
      <c r="I255" s="9">
        <f>IF(D255="Private",E255,"")</f>
        <v/>
      </c>
      <c r="J255" s="9">
        <f>IF(D255="Private",F255,"")</f>
        <v/>
      </c>
    </row>
    <row r="256">
      <c r="A256" s="8" t="inlineStr">
        <is>
          <t>La Salle University</t>
        </is>
      </c>
      <c r="B256" s="8" t="inlineStr">
        <is>
          <t>Philadelphia</t>
        </is>
      </c>
      <c r="C256" s="8" t="inlineStr">
        <is>
          <t>PA</t>
        </is>
      </c>
      <c r="D256" s="8" t="inlineStr">
        <is>
          <t>Private</t>
        </is>
      </c>
      <c r="E256" s="9" t="n">
        <v>23269</v>
      </c>
      <c r="F256" s="9" t="n">
        <v>64386</v>
      </c>
      <c r="G256" s="8">
        <f>RANK(F256,$F$5:$F$1561)</f>
        <v/>
      </c>
      <c r="H256" s="8" t="inlineStr"/>
      <c r="I256" s="9">
        <f>IF(D256="Private",E256,"")</f>
        <v/>
      </c>
      <c r="J256" s="9">
        <f>IF(D256="Private",F256,"")</f>
        <v/>
      </c>
    </row>
    <row r="257">
      <c r="A257" s="8" t="inlineStr">
        <is>
          <t>Pitzer College</t>
        </is>
      </c>
      <c r="B257" s="8" t="inlineStr">
        <is>
          <t>Claremont</t>
        </is>
      </c>
      <c r="C257" s="8" t="inlineStr">
        <is>
          <t>CA</t>
        </is>
      </c>
      <c r="D257" s="8" t="inlineStr">
        <is>
          <t>Private</t>
        </is>
      </c>
      <c r="E257" s="9" t="n">
        <v>18206</v>
      </c>
      <c r="F257" s="9" t="n">
        <v>64269</v>
      </c>
      <c r="G257" s="8">
        <f>RANK(F257,$F$5:$F$1561)</f>
        <v/>
      </c>
      <c r="H257" s="8" t="inlineStr"/>
      <c r="I257" s="9">
        <f>IF(D257="Private",E257,"")</f>
        <v/>
      </c>
      <c r="J257" s="9">
        <f>IF(D257="Private",F257,"")</f>
        <v/>
      </c>
    </row>
    <row r="258">
      <c r="A258" s="8" t="inlineStr">
        <is>
          <t>California State University-East Bay</t>
        </is>
      </c>
      <c r="B258" s="8" t="inlineStr">
        <is>
          <t>Hayward</t>
        </is>
      </c>
      <c r="C258" s="8" t="inlineStr">
        <is>
          <t>CA</t>
        </is>
      </c>
      <c r="D258" s="8" t="inlineStr">
        <is>
          <t>Public</t>
        </is>
      </c>
      <c r="E258" s="9" t="n">
        <v>11327</v>
      </c>
      <c r="F258" s="9" t="n">
        <v>64188</v>
      </c>
      <c r="G258" s="8">
        <f>RANK(F258,$F$5:$F$1561)</f>
        <v/>
      </c>
      <c r="H258" s="8" t="inlineStr"/>
      <c r="I258" s="9">
        <f>IF(D258="Private",E258,"")</f>
        <v/>
      </c>
      <c r="J258" s="9">
        <f>IF(D258="Private",F258,"")</f>
        <v/>
      </c>
    </row>
    <row r="259">
      <c r="A259" s="8" t="inlineStr">
        <is>
          <t>University of California-Santa Cruz</t>
        </is>
      </c>
      <c r="B259" s="8" t="inlineStr">
        <is>
          <t>Santa Cruz</t>
        </is>
      </c>
      <c r="C259" s="8" t="inlineStr">
        <is>
          <t>CA</t>
        </is>
      </c>
      <c r="D259" s="8" t="inlineStr">
        <is>
          <t>Public</t>
        </is>
      </c>
      <c r="E259" s="9" t="n">
        <v>18828</v>
      </c>
      <c r="F259" s="9" t="n">
        <v>64166</v>
      </c>
      <c r="G259" s="8">
        <f>RANK(F259,$F$5:$F$1561)</f>
        <v/>
      </c>
      <c r="H259" s="8" t="inlineStr"/>
      <c r="I259" s="9">
        <f>IF(D259="Private",E259,"")</f>
        <v/>
      </c>
      <c r="J259" s="9">
        <f>IF(D259="Private",F259,"")</f>
        <v/>
      </c>
    </row>
    <row r="260">
      <c r="A260" s="8" t="inlineStr">
        <is>
          <t>Point Loma Nazarene University</t>
        </is>
      </c>
      <c r="B260" s="8" t="inlineStr">
        <is>
          <t>San Diego</t>
        </is>
      </c>
      <c r="C260" s="8" t="inlineStr">
        <is>
          <t>CA</t>
        </is>
      </c>
      <c r="D260" s="8" t="inlineStr">
        <is>
          <t>Private</t>
        </is>
      </c>
      <c r="E260" s="9" t="n">
        <v>33537</v>
      </c>
      <c r="F260" s="9" t="n">
        <v>64114</v>
      </c>
      <c r="G260" s="8">
        <f>RANK(F260,$F$5:$F$1561)</f>
        <v/>
      </c>
      <c r="H260" s="8" t="inlineStr"/>
      <c r="I260" s="9">
        <f>IF(D260="Private",E260,"")</f>
        <v/>
      </c>
      <c r="J260" s="9">
        <f>IF(D260="Private",F260,"")</f>
        <v/>
      </c>
    </row>
    <row r="261">
      <c r="A261" s="8" t="inlineStr">
        <is>
          <t>University of Illinois Chicago</t>
        </is>
      </c>
      <c r="B261" s="8" t="inlineStr">
        <is>
          <t>Chicago</t>
        </is>
      </c>
      <c r="C261" s="8" t="inlineStr">
        <is>
          <t>IL</t>
        </is>
      </c>
      <c r="D261" s="8" t="inlineStr">
        <is>
          <t>Public</t>
        </is>
      </c>
      <c r="E261" s="9" t="n">
        <v>11329</v>
      </c>
      <c r="F261" s="9" t="n">
        <v>64108</v>
      </c>
      <c r="G261" s="8">
        <f>RANK(F261,$F$5:$F$1561)</f>
        <v/>
      </c>
      <c r="H261" s="8" t="inlineStr"/>
      <c r="I261" s="9">
        <f>IF(D261="Private",E261,"")</f>
        <v/>
      </c>
      <c r="J261" s="9">
        <f>IF(D261="Private",F261,"")</f>
        <v/>
      </c>
    </row>
    <row r="262">
      <c r="A262" s="8" t="inlineStr">
        <is>
          <t>University of Hartford</t>
        </is>
      </c>
      <c r="B262" s="8" t="inlineStr">
        <is>
          <t>West Hartford</t>
        </is>
      </c>
      <c r="C262" s="8" t="inlineStr">
        <is>
          <t>CT</t>
        </is>
      </c>
      <c r="D262" s="8" t="inlineStr">
        <is>
          <t>Private</t>
        </is>
      </c>
      <c r="E262" s="9" t="n">
        <v>29932</v>
      </c>
      <c r="F262" s="9" t="n">
        <v>63870</v>
      </c>
      <c r="G262" s="8">
        <f>RANK(F262,$F$5:$F$1561)</f>
        <v/>
      </c>
      <c r="H262" s="8" t="inlineStr"/>
      <c r="I262" s="9">
        <f>IF(D262="Private",E262,"")</f>
        <v/>
      </c>
      <c r="J262" s="9">
        <f>IF(D262="Private",F262,"")</f>
        <v/>
      </c>
    </row>
    <row r="263">
      <c r="A263" s="8" t="inlineStr">
        <is>
          <t>SUNY at Albany</t>
        </is>
      </c>
      <c r="B263" s="8" t="inlineStr">
        <is>
          <t>Albany</t>
        </is>
      </c>
      <c r="C263" s="8" t="inlineStr">
        <is>
          <t>NY</t>
        </is>
      </c>
      <c r="D263" s="8" t="inlineStr">
        <is>
          <t>Public</t>
        </is>
      </c>
      <c r="E263" s="9" t="n">
        <v>17568</v>
      </c>
      <c r="F263" s="9" t="n">
        <v>63760</v>
      </c>
      <c r="G263" s="8">
        <f>RANK(F263,$F$5:$F$1561)</f>
        <v/>
      </c>
      <c r="H263" s="8" t="inlineStr"/>
      <c r="I263" s="9">
        <f>IF(D263="Private",E263,"")</f>
        <v/>
      </c>
      <c r="J263" s="9">
        <f>IF(D263="Private",F263,"")</f>
        <v/>
      </c>
    </row>
    <row r="264">
      <c r="A264" s="8" t="inlineStr">
        <is>
          <t>Wheaton College (Massachusetts)</t>
        </is>
      </c>
      <c r="B264" s="8" t="inlineStr">
        <is>
          <t>Norton</t>
        </is>
      </c>
      <c r="C264" s="8" t="inlineStr">
        <is>
          <t>MA</t>
        </is>
      </c>
      <c r="D264" s="8" t="inlineStr">
        <is>
          <t>Private</t>
        </is>
      </c>
      <c r="E264" s="9" t="n">
        <v>26427</v>
      </c>
      <c r="F264" s="9" t="n">
        <v>63732</v>
      </c>
      <c r="G264" s="8">
        <f>RANK(F264,$F$5:$F$1561)</f>
        <v/>
      </c>
      <c r="H264" s="8" t="inlineStr"/>
      <c r="I264" s="9">
        <f>IF(D264="Private",E264,"")</f>
        <v/>
      </c>
      <c r="J264" s="9">
        <f>IF(D264="Private",F264,"")</f>
        <v/>
      </c>
    </row>
    <row r="265">
      <c r="A265" s="8" t="inlineStr">
        <is>
          <t>University of California-Riverside</t>
        </is>
      </c>
      <c r="B265" s="8" t="inlineStr">
        <is>
          <t>Riverside</t>
        </is>
      </c>
      <c r="C265" s="8" t="inlineStr">
        <is>
          <t>CA</t>
        </is>
      </c>
      <c r="D265" s="8" t="inlineStr">
        <is>
          <t>Public</t>
        </is>
      </c>
      <c r="E265" s="9" t="n">
        <v>13233</v>
      </c>
      <c r="F265" s="9" t="n">
        <v>63645</v>
      </c>
      <c r="G265" s="8">
        <f>RANK(F265,$F$5:$F$1561)</f>
        <v/>
      </c>
      <c r="H265" s="8" t="inlineStr"/>
      <c r="I265" s="9">
        <f>IF(D265="Private",E265,"")</f>
        <v/>
      </c>
      <c r="J265" s="9">
        <f>IF(D265="Private",F265,"")</f>
        <v/>
      </c>
    </row>
    <row r="266">
      <c r="A266" s="8" t="inlineStr">
        <is>
          <t>New York Institute of Technology</t>
        </is>
      </c>
      <c r="B266" s="8" t="inlineStr">
        <is>
          <t>Old Westbury</t>
        </is>
      </c>
      <c r="C266" s="8" t="inlineStr">
        <is>
          <t>NY</t>
        </is>
      </c>
      <c r="D266" s="8" t="inlineStr">
        <is>
          <t>Private</t>
        </is>
      </c>
      <c r="E266" s="9" t="n">
        <v>21861</v>
      </c>
      <c r="F266" s="9" t="n">
        <v>63609</v>
      </c>
      <c r="G266" s="8">
        <f>RANK(F266,$F$5:$F$1561)</f>
        <v/>
      </c>
      <c r="H266" s="8" t="inlineStr"/>
      <c r="I266" s="9">
        <f>IF(D266="Private",E266,"")</f>
        <v/>
      </c>
      <c r="J266" s="9">
        <f>IF(D266="Private",F266,"")</f>
        <v/>
      </c>
    </row>
    <row r="267">
      <c r="A267" s="8" t="inlineStr">
        <is>
          <t>Kenyon College</t>
        </is>
      </c>
      <c r="B267" s="8" t="inlineStr">
        <is>
          <t>Gambier</t>
        </is>
      </c>
      <c r="C267" s="8" t="inlineStr">
        <is>
          <t>OH</t>
        </is>
      </c>
      <c r="D267" s="8" t="inlineStr">
        <is>
          <t>Private</t>
        </is>
      </c>
      <c r="E267" s="9" t="n">
        <v>33706</v>
      </c>
      <c r="F267" s="9" t="n">
        <v>63557</v>
      </c>
      <c r="G267" s="8">
        <f>RANK(F267,$F$5:$F$1561)</f>
        <v/>
      </c>
      <c r="H267" s="8" t="inlineStr"/>
      <c r="I267" s="9">
        <f>IF(D267="Private",E267,"")</f>
        <v/>
      </c>
      <c r="J267" s="9">
        <f>IF(D267="Private",F267,"")</f>
        <v/>
      </c>
    </row>
    <row r="268">
      <c r="A268" s="8" t="inlineStr">
        <is>
          <t>Texas Christian University</t>
        </is>
      </c>
      <c r="B268" s="8" t="inlineStr">
        <is>
          <t>Fort Worth</t>
        </is>
      </c>
      <c r="C268" s="8" t="inlineStr">
        <is>
          <t>TX</t>
        </is>
      </c>
      <c r="D268" s="8" t="inlineStr">
        <is>
          <t>Private</t>
        </is>
      </c>
      <c r="E268" s="9" t="n">
        <v>39155</v>
      </c>
      <c r="F268" s="9" t="n">
        <v>63517</v>
      </c>
      <c r="G268" s="8">
        <f>RANK(F268,$F$5:$F$1561)</f>
        <v/>
      </c>
      <c r="H268" s="8" t="inlineStr"/>
      <c r="I268" s="9">
        <f>IF(D268="Private",E268,"")</f>
        <v/>
      </c>
      <c r="J268" s="9">
        <f>IF(D268="Private",F268,"")</f>
        <v/>
      </c>
    </row>
    <row r="269">
      <c r="A269" s="8" t="inlineStr">
        <is>
          <t>University of Georgia</t>
        </is>
      </c>
      <c r="B269" s="8" t="inlineStr">
        <is>
          <t>Athens</t>
        </is>
      </c>
      <c r="C269" s="8" t="inlineStr">
        <is>
          <t>GA</t>
        </is>
      </c>
      <c r="D269" s="8" t="inlineStr">
        <is>
          <t>Public</t>
        </is>
      </c>
      <c r="E269" s="9" t="n">
        <v>14995</v>
      </c>
      <c r="F269" s="9" t="n">
        <v>63405</v>
      </c>
      <c r="G269" s="8">
        <f>RANK(F269,$F$5:$F$1561)</f>
        <v/>
      </c>
      <c r="H269" s="8" t="inlineStr"/>
      <c r="I269" s="9">
        <f>IF(D269="Private",E269,"")</f>
        <v/>
      </c>
      <c r="J269" s="9">
        <f>IF(D269="Private",F269,"")</f>
        <v/>
      </c>
    </row>
    <row r="270">
      <c r="A270" s="8" t="inlineStr">
        <is>
          <t>University of California-Merced</t>
        </is>
      </c>
      <c r="B270" s="8" t="inlineStr">
        <is>
          <t>Merced</t>
        </is>
      </c>
      <c r="C270" s="8" t="inlineStr">
        <is>
          <t>CA</t>
        </is>
      </c>
      <c r="D270" s="8" t="inlineStr">
        <is>
          <t>Public</t>
        </is>
      </c>
      <c r="E270" s="9" t="n">
        <v>10751</v>
      </c>
      <c r="F270" s="9" t="n">
        <v>63365</v>
      </c>
      <c r="G270" s="8">
        <f>RANK(F270,$F$5:$F$1561)</f>
        <v/>
      </c>
      <c r="H270" s="8" t="inlineStr"/>
      <c r="I270" s="9">
        <f>IF(D270="Private",E270,"")</f>
        <v/>
      </c>
      <c r="J270" s="9">
        <f>IF(D270="Private",F270,"")</f>
        <v/>
      </c>
    </row>
    <row r="271">
      <c r="A271" s="8" t="inlineStr">
        <is>
          <t>Westmont College</t>
        </is>
      </c>
      <c r="B271" s="8" t="inlineStr">
        <is>
          <t>Santa Barbara</t>
        </is>
      </c>
      <c r="C271" s="8" t="inlineStr">
        <is>
          <t>CA</t>
        </is>
      </c>
      <c r="D271" s="8" t="inlineStr">
        <is>
          <t>Private</t>
        </is>
      </c>
      <c r="E271" s="9" t="n">
        <v>31438</v>
      </c>
      <c r="F271" s="9" t="n">
        <v>63267</v>
      </c>
      <c r="G271" s="8">
        <f>RANK(F271,$F$5:$F$1561)</f>
        <v/>
      </c>
      <c r="H271" s="8" t="inlineStr"/>
      <c r="I271" s="9">
        <f>IF(D271="Private",E271,"")</f>
        <v/>
      </c>
      <c r="J271" s="9">
        <f>IF(D271="Private",F271,"")</f>
        <v/>
      </c>
    </row>
    <row r="272">
      <c r="A272" s="8" t="inlineStr">
        <is>
          <t>Elizabethtown College</t>
        </is>
      </c>
      <c r="B272" s="8" t="inlineStr">
        <is>
          <t>Elizabethtown</t>
        </is>
      </c>
      <c r="C272" s="8" t="inlineStr">
        <is>
          <t>PA</t>
        </is>
      </c>
      <c r="D272" s="8" t="inlineStr">
        <is>
          <t>Private</t>
        </is>
      </c>
      <c r="E272" s="9" t="n">
        <v>25855</v>
      </c>
      <c r="F272" s="9" t="n">
        <v>63220</v>
      </c>
      <c r="G272" s="8">
        <f>RANK(F272,$F$5:$F$1561)</f>
        <v/>
      </c>
      <c r="H272" s="8" t="inlineStr"/>
      <c r="I272" s="9">
        <f>IF(D272="Private",E272,"")</f>
        <v/>
      </c>
      <c r="J272" s="9">
        <f>IF(D272="Private",F272,"")</f>
        <v/>
      </c>
    </row>
    <row r="273">
      <c r="A273" s="8" t="inlineStr">
        <is>
          <t>Gustavus Adolphus College</t>
        </is>
      </c>
      <c r="B273" s="8" t="inlineStr">
        <is>
          <t>Saint Peter</t>
        </is>
      </c>
      <c r="C273" s="8" t="inlineStr">
        <is>
          <t>MN</t>
        </is>
      </c>
      <c r="D273" s="8" t="inlineStr">
        <is>
          <t>Private</t>
        </is>
      </c>
      <c r="E273" s="9" t="n">
        <v>18044</v>
      </c>
      <c r="F273" s="9" t="n">
        <v>63218</v>
      </c>
      <c r="G273" s="8">
        <f>RANK(F273,$F$5:$F$1561)</f>
        <v/>
      </c>
      <c r="H273" s="8" t="inlineStr"/>
      <c r="I273" s="9">
        <f>IF(D273="Private",E273,"")</f>
        <v/>
      </c>
      <c r="J273" s="9">
        <f>IF(D273="Private",F273,"")</f>
        <v/>
      </c>
    </row>
    <row r="274">
      <c r="A274" s="8" t="inlineStr">
        <is>
          <t>Saint Anselm College</t>
        </is>
      </c>
      <c r="B274" s="8" t="inlineStr">
        <is>
          <t>Manchester</t>
        </is>
      </c>
      <c r="C274" s="8" t="inlineStr">
        <is>
          <t>NH</t>
        </is>
      </c>
      <c r="D274" s="8" t="inlineStr">
        <is>
          <t>Private</t>
        </is>
      </c>
      <c r="E274" s="9" t="n">
        <v>33898</v>
      </c>
      <c r="F274" s="9" t="n">
        <v>63085</v>
      </c>
      <c r="G274" s="8">
        <f>RANK(F274,$F$5:$F$1561)</f>
        <v/>
      </c>
      <c r="H274" s="8" t="inlineStr"/>
      <c r="I274" s="9">
        <f>IF(D274="Private",E274,"")</f>
        <v/>
      </c>
      <c r="J274" s="9">
        <f>IF(D274="Private",F274,"")</f>
        <v/>
      </c>
    </row>
    <row r="275">
      <c r="A275" s="8" t="inlineStr">
        <is>
          <t>Vaughn College of Aeronautics and Technology</t>
        </is>
      </c>
      <c r="B275" s="8" t="inlineStr">
        <is>
          <t>Flushing</t>
        </is>
      </c>
      <c r="C275" s="8" t="inlineStr">
        <is>
          <t>NY</t>
        </is>
      </c>
      <c r="D275" s="8" t="inlineStr">
        <is>
          <t>Private</t>
        </is>
      </c>
      <c r="E275" s="9" t="n">
        <v>37659</v>
      </c>
      <c r="F275" s="9" t="n">
        <v>63007</v>
      </c>
      <c r="G275" s="8">
        <f>RANK(F275,$F$5:$F$1561)</f>
        <v/>
      </c>
      <c r="H275" s="8" t="inlineStr"/>
      <c r="I275" s="9">
        <f>IF(D275="Private",E275,"")</f>
        <v/>
      </c>
      <c r="J275" s="9">
        <f>IF(D275="Private",F275,"")</f>
        <v/>
      </c>
    </row>
    <row r="276">
      <c r="A276" s="8" t="inlineStr">
        <is>
          <t>Baylor University</t>
        </is>
      </c>
      <c r="B276" s="8" t="inlineStr">
        <is>
          <t>Waco</t>
        </is>
      </c>
      <c r="C276" s="8" t="inlineStr">
        <is>
          <t>TX</t>
        </is>
      </c>
      <c r="D276" s="8" t="inlineStr">
        <is>
          <t>Private</t>
        </is>
      </c>
      <c r="E276" s="9" t="n">
        <v>37248</v>
      </c>
      <c r="F276" s="9" t="n">
        <v>62913</v>
      </c>
      <c r="G276" s="8">
        <f>RANK(F276,$F$5:$F$1561)</f>
        <v/>
      </c>
      <c r="H276" s="8" t="inlineStr"/>
      <c r="I276" s="9">
        <f>IF(D276="Private",E276,"")</f>
        <v/>
      </c>
      <c r="J276" s="9">
        <f>IF(D276="Private",F276,"")</f>
        <v/>
      </c>
    </row>
    <row r="277">
      <c r="A277" s="8" t="inlineStr">
        <is>
          <t>Rockhurst University</t>
        </is>
      </c>
      <c r="B277" s="8" t="inlineStr">
        <is>
          <t>Kansas City</t>
        </is>
      </c>
      <c r="C277" s="8" t="inlineStr">
        <is>
          <t>MO</t>
        </is>
      </c>
      <c r="D277" s="8" t="inlineStr">
        <is>
          <t>Private</t>
        </is>
      </c>
      <c r="E277" s="9" t="n">
        <v>20942</v>
      </c>
      <c r="F277" s="9" t="n">
        <v>62890</v>
      </c>
      <c r="G277" s="8">
        <f>RANK(F277,$F$5:$F$1561)</f>
        <v/>
      </c>
      <c r="H277" s="8" t="inlineStr"/>
      <c r="I277" s="9">
        <f>IF(D277="Private",E277,"")</f>
        <v/>
      </c>
      <c r="J277" s="9">
        <f>IF(D277="Private",F277,"")</f>
        <v/>
      </c>
    </row>
    <row r="278">
      <c r="A278" s="8" t="inlineStr">
        <is>
          <t>Ramapo College of New Jersey</t>
        </is>
      </c>
      <c r="B278" s="8" t="inlineStr">
        <is>
          <t>Mahwah</t>
        </is>
      </c>
      <c r="C278" s="8" t="inlineStr">
        <is>
          <t>NJ</t>
        </is>
      </c>
      <c r="D278" s="8" t="inlineStr">
        <is>
          <t>Public</t>
        </is>
      </c>
      <c r="E278" s="9" t="n">
        <v>15232</v>
      </c>
      <c r="F278" s="9" t="n">
        <v>62810</v>
      </c>
      <c r="G278" s="8">
        <f>RANK(F278,$F$5:$F$1561)</f>
        <v/>
      </c>
      <c r="H278" s="8" t="inlineStr"/>
      <c r="I278" s="9">
        <f>IF(D278="Private",E278,"")</f>
        <v/>
      </c>
      <c r="J278" s="9">
        <f>IF(D278="Private",F278,"")</f>
        <v/>
      </c>
    </row>
    <row r="279">
      <c r="A279" s="8" t="inlineStr">
        <is>
          <t>University of Vermont</t>
        </is>
      </c>
      <c r="B279" s="8" t="inlineStr">
        <is>
          <t>Burlington</t>
        </is>
      </c>
      <c r="C279" s="8" t="inlineStr">
        <is>
          <t>VT</t>
        </is>
      </c>
      <c r="D279" s="8" t="inlineStr">
        <is>
          <t>Public</t>
        </is>
      </c>
      <c r="E279" s="9" t="n">
        <v>18814</v>
      </c>
      <c r="F279" s="9" t="n">
        <v>62778</v>
      </c>
      <c r="G279" s="8">
        <f>RANK(F279,$F$5:$F$1561)</f>
        <v/>
      </c>
      <c r="H279" s="8" t="inlineStr"/>
      <c r="I279" s="9">
        <f>IF(D279="Private",E279,"")</f>
        <v/>
      </c>
      <c r="J279" s="9">
        <f>IF(D279="Private",F279,"")</f>
        <v/>
      </c>
    </row>
    <row r="280">
      <c r="A280" s="8" t="inlineStr">
        <is>
          <t>Mount Saint Mary College</t>
        </is>
      </c>
      <c r="B280" s="8" t="inlineStr">
        <is>
          <t>Newburgh</t>
        </is>
      </c>
      <c r="C280" s="8" t="inlineStr">
        <is>
          <t>NY</t>
        </is>
      </c>
      <c r="D280" s="8" t="inlineStr">
        <is>
          <t>Private</t>
        </is>
      </c>
      <c r="E280" s="9" t="n">
        <v>21927</v>
      </c>
      <c r="F280" s="9" t="n">
        <v>62765</v>
      </c>
      <c r="G280" s="8">
        <f>RANK(F280,$F$5:$F$1561)</f>
        <v/>
      </c>
      <c r="H280" s="8" t="inlineStr"/>
      <c r="I280" s="9">
        <f>IF(D280="Private",E280,"")</f>
        <v/>
      </c>
      <c r="J280" s="9">
        <f>IF(D280="Private",F280,"")</f>
        <v/>
      </c>
    </row>
    <row r="281">
      <c r="A281" s="8" t="inlineStr">
        <is>
          <t>Macalester College</t>
        </is>
      </c>
      <c r="B281" s="8" t="inlineStr">
        <is>
          <t>Saint Paul</t>
        </is>
      </c>
      <c r="C281" s="8" t="inlineStr">
        <is>
          <t>MN</t>
        </is>
      </c>
      <c r="D281" s="8" t="inlineStr">
        <is>
          <t>Private</t>
        </is>
      </c>
      <c r="E281" s="9" t="n">
        <v>23188</v>
      </c>
      <c r="F281" s="9" t="n">
        <v>62762</v>
      </c>
      <c r="G281" s="8">
        <f>RANK(F281,$F$5:$F$1561)</f>
        <v/>
      </c>
      <c r="H281" s="8" t="inlineStr"/>
      <c r="I281" s="9">
        <f>IF(D281="Private",E281,"")</f>
        <v/>
      </c>
      <c r="J281" s="9">
        <f>IF(D281="Private",F281,"")</f>
        <v/>
      </c>
    </row>
    <row r="282">
      <c r="A282" s="8" t="inlineStr">
        <is>
          <t>Sonoma State University</t>
        </is>
      </c>
      <c r="B282" s="8" t="inlineStr">
        <is>
          <t>Rohnert Park</t>
        </is>
      </c>
      <c r="C282" s="8" t="inlineStr">
        <is>
          <t>CA</t>
        </is>
      </c>
      <c r="D282" s="8" t="inlineStr">
        <is>
          <t>Public</t>
        </is>
      </c>
      <c r="E282" s="9" t="n">
        <v>6230</v>
      </c>
      <c r="F282" s="9" t="n">
        <v>62725</v>
      </c>
      <c r="G282" s="8">
        <f>RANK(F282,$F$5:$F$1561)</f>
        <v/>
      </c>
      <c r="H282" s="8" t="inlineStr"/>
      <c r="I282" s="9">
        <f>IF(D282="Private",E282,"")</f>
        <v/>
      </c>
      <c r="J282" s="9">
        <f>IF(D282="Private",F282,"")</f>
        <v/>
      </c>
    </row>
    <row r="283">
      <c r="A283" s="8" t="inlineStr">
        <is>
          <t>Marymount University</t>
        </is>
      </c>
      <c r="B283" s="8" t="inlineStr">
        <is>
          <t>Arlington</t>
        </is>
      </c>
      <c r="C283" s="8" t="inlineStr">
        <is>
          <t>VA</t>
        </is>
      </c>
      <c r="D283" s="8" t="inlineStr">
        <is>
          <t>Private</t>
        </is>
      </c>
      <c r="E283" s="9" t="n">
        <v>26300</v>
      </c>
      <c r="F283" s="9" t="n">
        <v>62704</v>
      </c>
      <c r="G283" s="8">
        <f>RANK(F283,$F$5:$F$1561)</f>
        <v/>
      </c>
      <c r="H283" s="8" t="inlineStr"/>
      <c r="I283" s="9">
        <f>IF(D283="Private",E283,"")</f>
        <v/>
      </c>
      <c r="J283" s="9">
        <f>IF(D283="Private",F283,"")</f>
        <v/>
      </c>
    </row>
    <row r="284">
      <c r="A284" s="8" t="inlineStr">
        <is>
          <t>Wabash College</t>
        </is>
      </c>
      <c r="B284" s="8" t="inlineStr">
        <is>
          <t>Crawfordsville</t>
        </is>
      </c>
      <c r="C284" s="8" t="inlineStr">
        <is>
          <t>IN</t>
        </is>
      </c>
      <c r="D284" s="8" t="inlineStr">
        <is>
          <t>Private</t>
        </is>
      </c>
      <c r="E284" s="9" t="n">
        <v>19772</v>
      </c>
      <c r="F284" s="9" t="n">
        <v>62697</v>
      </c>
      <c r="G284" s="8">
        <f>RANK(F284,$F$5:$F$1561)</f>
        <v/>
      </c>
      <c r="H284" s="8" t="inlineStr"/>
      <c r="I284" s="9">
        <f>IF(D284="Private",E284,"")</f>
        <v/>
      </c>
      <c r="J284" s="9">
        <f>IF(D284="Private",F284,"")</f>
        <v/>
      </c>
    </row>
    <row r="285">
      <c r="A285" s="8" t="inlineStr">
        <is>
          <t>University of Iowa</t>
        </is>
      </c>
      <c r="B285" s="8" t="inlineStr">
        <is>
          <t>Iowa City</t>
        </is>
      </c>
      <c r="C285" s="8" t="inlineStr">
        <is>
          <t>IA</t>
        </is>
      </c>
      <c r="D285" s="8" t="inlineStr">
        <is>
          <t>Public</t>
        </is>
      </c>
      <c r="E285" s="9" t="n">
        <v>19443</v>
      </c>
      <c r="F285" s="9" t="n">
        <v>62670</v>
      </c>
      <c r="G285" s="8">
        <f>RANK(F285,$F$5:$F$1561)</f>
        <v/>
      </c>
      <c r="H285" s="8" t="inlineStr"/>
      <c r="I285" s="9">
        <f>IF(D285="Private",E285,"")</f>
        <v/>
      </c>
      <c r="J285" s="9">
        <f>IF(D285="Private",F285,"")</f>
        <v/>
      </c>
    </row>
    <row r="286">
      <c r="A286" s="8" t="inlineStr">
        <is>
          <t>University of La Verne</t>
        </is>
      </c>
      <c r="B286" s="8" t="inlineStr">
        <is>
          <t>La Verne</t>
        </is>
      </c>
      <c r="C286" s="8" t="inlineStr">
        <is>
          <t>CA</t>
        </is>
      </c>
      <c r="D286" s="8" t="inlineStr">
        <is>
          <t>Private</t>
        </is>
      </c>
      <c r="E286" s="9" t="n">
        <v>21605</v>
      </c>
      <c r="F286" s="9" t="n">
        <v>62629</v>
      </c>
      <c r="G286" s="8">
        <f>RANK(F286,$F$5:$F$1561)</f>
        <v/>
      </c>
      <c r="H286" s="8" t="inlineStr"/>
      <c r="I286" s="9">
        <f>IF(D286="Private",E286,"")</f>
        <v/>
      </c>
      <c r="J286" s="9">
        <f>IF(D286="Private",F286,"")</f>
        <v/>
      </c>
    </row>
    <row r="287">
      <c r="A287" s="8" t="inlineStr">
        <is>
          <t>Grinnell College</t>
        </is>
      </c>
      <c r="B287" s="8" t="inlineStr">
        <is>
          <t>Grinnell</t>
        </is>
      </c>
      <c r="C287" s="8" t="inlineStr">
        <is>
          <t>IA</t>
        </is>
      </c>
      <c r="D287" s="8" t="inlineStr">
        <is>
          <t>Private</t>
        </is>
      </c>
      <c r="E287" s="9" t="n">
        <v>28610</v>
      </c>
      <c r="F287" s="9" t="n">
        <v>62529</v>
      </c>
      <c r="G287" s="8">
        <f>RANK(F287,$F$5:$F$1561)</f>
        <v/>
      </c>
      <c r="H287" s="8" t="inlineStr"/>
      <c r="I287" s="9">
        <f>IF(D287="Private",E287,"")</f>
        <v/>
      </c>
      <c r="J287" s="9">
        <f>IF(D287="Private",F287,"")</f>
        <v/>
      </c>
    </row>
    <row r="288">
      <c r="A288" s="8" t="inlineStr">
        <is>
          <t>Ithaca College</t>
        </is>
      </c>
      <c r="B288" s="8" t="inlineStr">
        <is>
          <t>Ithaca</t>
        </is>
      </c>
      <c r="C288" s="8" t="inlineStr">
        <is>
          <t>NY</t>
        </is>
      </c>
      <c r="D288" s="8" t="inlineStr">
        <is>
          <t>Private</t>
        </is>
      </c>
      <c r="E288" s="9" t="n">
        <v>33748</v>
      </c>
      <c r="F288" s="9" t="n">
        <v>62403</v>
      </c>
      <c r="G288" s="8">
        <f>RANK(F288,$F$5:$F$1561)</f>
        <v/>
      </c>
      <c r="H288" s="8" t="inlineStr"/>
      <c r="I288" s="9">
        <f>IF(D288="Private",E288,"")</f>
        <v/>
      </c>
      <c r="J288" s="9">
        <f>IF(D288="Private",F288,"")</f>
        <v/>
      </c>
    </row>
    <row r="289">
      <c r="A289" s="8" t="inlineStr">
        <is>
          <t>SUNY Polytechnic Institute</t>
        </is>
      </c>
      <c r="B289" s="8" t="inlineStr">
        <is>
          <t>Utica</t>
        </is>
      </c>
      <c r="C289" s="8" t="inlineStr">
        <is>
          <t>NY</t>
        </is>
      </c>
      <c r="D289" s="8" t="inlineStr">
        <is>
          <t>Public</t>
        </is>
      </c>
      <c r="E289" s="9" t="n">
        <v>10309</v>
      </c>
      <c r="F289" s="9" t="n">
        <v>62275</v>
      </c>
      <c r="G289" s="8">
        <f>RANK(F289,$F$5:$F$1561)</f>
        <v/>
      </c>
      <c r="H289" s="8" t="inlineStr"/>
      <c r="I289" s="9">
        <f>IF(D289="Private",E289,"")</f>
        <v/>
      </c>
      <c r="J289" s="9">
        <f>IF(D289="Private",F289,"")</f>
        <v/>
      </c>
    </row>
    <row r="290">
      <c r="A290" s="8" t="inlineStr">
        <is>
          <t>Rivier University</t>
        </is>
      </c>
      <c r="B290" s="8" t="inlineStr">
        <is>
          <t>Nashua</t>
        </is>
      </c>
      <c r="C290" s="8" t="inlineStr">
        <is>
          <t>NH</t>
        </is>
      </c>
      <c r="D290" s="8" t="inlineStr">
        <is>
          <t>Private</t>
        </is>
      </c>
      <c r="E290" s="9" t="n">
        <v>26195</v>
      </c>
      <c r="F290" s="9" t="n">
        <v>62269</v>
      </c>
      <c r="G290" s="8">
        <f>RANK(F290,$F$5:$F$1561)</f>
        <v/>
      </c>
      <c r="H290" s="8" t="inlineStr"/>
      <c r="I290" s="9">
        <f>IF(D290="Private",E290,"")</f>
        <v/>
      </c>
      <c r="J290" s="9">
        <f>IF(D290="Private",F290,"")</f>
        <v/>
      </c>
    </row>
    <row r="291">
      <c r="A291" s="8" t="inlineStr">
        <is>
          <t>Gwynedd Mercy University</t>
        </is>
      </c>
      <c r="B291" s="8" t="inlineStr">
        <is>
          <t>Gwynedd Valley</t>
        </is>
      </c>
      <c r="C291" s="8" t="inlineStr">
        <is>
          <t>PA</t>
        </is>
      </c>
      <c r="D291" s="8" t="inlineStr">
        <is>
          <t>Private</t>
        </is>
      </c>
      <c r="E291" s="9" t="n">
        <v>26072</v>
      </c>
      <c r="F291" s="9" t="n">
        <v>62124</v>
      </c>
      <c r="G291" s="8">
        <f>RANK(F291,$F$5:$F$1561)</f>
        <v/>
      </c>
      <c r="H291" s="8" t="inlineStr"/>
      <c r="I291" s="9">
        <f>IF(D291="Private",E291,"")</f>
        <v/>
      </c>
      <c r="J291" s="9">
        <f>IF(D291="Private",F291,"")</f>
        <v/>
      </c>
    </row>
    <row r="292">
      <c r="A292" s="8" t="inlineStr">
        <is>
          <t>Saint Francis University</t>
        </is>
      </c>
      <c r="B292" s="8" t="inlineStr">
        <is>
          <t>Loretto</t>
        </is>
      </c>
      <c r="C292" s="8" t="inlineStr">
        <is>
          <t>PA</t>
        </is>
      </c>
      <c r="D292" s="8" t="inlineStr">
        <is>
          <t>Private</t>
        </is>
      </c>
      <c r="E292" s="9" t="n">
        <v>29562</v>
      </c>
      <c r="F292" s="9" t="n">
        <v>62067</v>
      </c>
      <c r="G292" s="8">
        <f>RANK(F292,$F$5:$F$1561)</f>
        <v/>
      </c>
      <c r="H292" s="8" t="inlineStr"/>
      <c r="I292" s="9">
        <f>IF(D292="Private",E292,"")</f>
        <v/>
      </c>
      <c r="J292" s="9">
        <f>IF(D292="Private",F292,"")</f>
        <v/>
      </c>
    </row>
    <row r="293">
      <c r="A293" s="8" t="inlineStr">
        <is>
          <t>D'Youville  University</t>
        </is>
      </c>
      <c r="B293" s="8" t="inlineStr">
        <is>
          <t>Buffalo</t>
        </is>
      </c>
      <c r="C293" s="8" t="inlineStr">
        <is>
          <t>NY</t>
        </is>
      </c>
      <c r="D293" s="8" t="inlineStr">
        <is>
          <t>Private</t>
        </is>
      </c>
      <c r="E293" s="9" t="n">
        <v>19145</v>
      </c>
      <c r="F293" s="9" t="n">
        <v>61994</v>
      </c>
      <c r="G293" s="8">
        <f>RANK(F293,$F$5:$F$1561)</f>
        <v/>
      </c>
      <c r="H293" s="8" t="inlineStr"/>
      <c r="I293" s="9">
        <f>IF(D293="Private",E293,"")</f>
        <v/>
      </c>
      <c r="J293" s="9">
        <f>IF(D293="Private",F293,"")</f>
        <v/>
      </c>
    </row>
    <row r="294">
      <c r="A294" s="8" t="inlineStr">
        <is>
          <t>Augustana College</t>
        </is>
      </c>
      <c r="B294" s="8" t="inlineStr">
        <is>
          <t>Rock Island</t>
        </is>
      </c>
      <c r="C294" s="8" t="inlineStr">
        <is>
          <t>IL</t>
        </is>
      </c>
      <c r="D294" s="8" t="inlineStr">
        <is>
          <t>Private</t>
        </is>
      </c>
      <c r="E294" s="9" t="n">
        <v>23538</v>
      </c>
      <c r="F294" s="9" t="n">
        <v>61991</v>
      </c>
      <c r="G294" s="8">
        <f>RANK(F294,$F$5:$F$1561)</f>
        <v/>
      </c>
      <c r="H294" s="8" t="inlineStr"/>
      <c r="I294" s="9">
        <f>IF(D294="Private",E294,"")</f>
        <v/>
      </c>
      <c r="J294" s="9">
        <f>IF(D294="Private",F294,"")</f>
        <v/>
      </c>
    </row>
    <row r="295">
      <c r="A295" s="8" t="inlineStr">
        <is>
          <t>New Mexico Institute of Mining and Technology</t>
        </is>
      </c>
      <c r="B295" s="8" t="inlineStr">
        <is>
          <t>Socorro</t>
        </is>
      </c>
      <c r="C295" s="8" t="inlineStr">
        <is>
          <t>NM</t>
        </is>
      </c>
      <c r="D295" s="8" t="inlineStr">
        <is>
          <t>Public</t>
        </is>
      </c>
      <c r="E295" s="9" t="n">
        <v>11364</v>
      </c>
      <c r="F295" s="9" t="n">
        <v>61977</v>
      </c>
      <c r="G295" s="8">
        <f>RANK(F295,$F$5:$F$1561)</f>
        <v/>
      </c>
      <c r="H295" s="8" t="inlineStr"/>
      <c r="I295" s="9">
        <f>IF(D295="Private",E295,"")</f>
        <v/>
      </c>
      <c r="J295" s="9">
        <f>IF(D295="Private",F295,"")</f>
        <v/>
      </c>
    </row>
    <row r="296">
      <c r="A296" s="8" t="inlineStr">
        <is>
          <t>John Carroll University</t>
        </is>
      </c>
      <c r="B296" s="8" t="inlineStr">
        <is>
          <t>University Heights</t>
        </is>
      </c>
      <c r="C296" s="8" t="inlineStr">
        <is>
          <t>OH</t>
        </is>
      </c>
      <c r="D296" s="8" t="inlineStr">
        <is>
          <t>Private</t>
        </is>
      </c>
      <c r="E296" s="9" t="n">
        <v>29172</v>
      </c>
      <c r="F296" s="9" t="n">
        <v>61963</v>
      </c>
      <c r="G296" s="8">
        <f>RANK(F296,$F$5:$F$1561)</f>
        <v/>
      </c>
      <c r="H296" s="8" t="inlineStr"/>
      <c r="I296" s="9">
        <f>IF(D296="Private",E296,"")</f>
        <v/>
      </c>
      <c r="J296" s="9">
        <f>IF(D296="Private",F296,"")</f>
        <v/>
      </c>
    </row>
    <row r="297">
      <c r="A297" s="8" t="inlineStr">
        <is>
          <t>Hellenic College-Holy Cross Greek Orthodox School of Theology</t>
        </is>
      </c>
      <c r="B297" s="8" t="inlineStr">
        <is>
          <t>Brookline</t>
        </is>
      </c>
      <c r="C297" s="8" t="inlineStr">
        <is>
          <t>MA</t>
        </is>
      </c>
      <c r="D297" s="8" t="inlineStr">
        <is>
          <t>Private</t>
        </is>
      </c>
      <c r="E297" s="9" t="n">
        <v>26698</v>
      </c>
      <c r="F297" s="9" t="n">
        <v>61749</v>
      </c>
      <c r="G297" s="8">
        <f>RANK(F297,$F$5:$F$1561)</f>
        <v/>
      </c>
      <c r="H297" s="8" t="inlineStr"/>
      <c r="I297" s="9">
        <f>IF(D297="Private",E297,"")</f>
        <v/>
      </c>
      <c r="J297" s="9">
        <f>IF(D297="Private",F297,"")</f>
        <v/>
      </c>
    </row>
    <row r="298">
      <c r="A298" s="8" t="inlineStr">
        <is>
          <t>University of Pittsburgh-Pittsburgh Campus</t>
        </is>
      </c>
      <c r="B298" s="8" t="inlineStr">
        <is>
          <t>Pittsburgh</t>
        </is>
      </c>
      <c r="C298" s="8" t="inlineStr">
        <is>
          <t>PA</t>
        </is>
      </c>
      <c r="D298" s="8" t="inlineStr">
        <is>
          <t>Public</t>
        </is>
      </c>
      <c r="E298" s="9" t="n">
        <v>27926</v>
      </c>
      <c r="F298" s="9" t="n">
        <v>61744</v>
      </c>
      <c r="G298" s="8">
        <f>RANK(F298,$F$5:$F$1561)</f>
        <v/>
      </c>
      <c r="H298" s="8" t="inlineStr"/>
      <c r="I298" s="9">
        <f>IF(D298="Private",E298,"")</f>
        <v/>
      </c>
      <c r="J298" s="9">
        <f>IF(D298="Private",F298,"")</f>
        <v/>
      </c>
    </row>
    <row r="299">
      <c r="A299" s="8" t="inlineStr">
        <is>
          <t>University of Pittsburgh-Johnstown</t>
        </is>
      </c>
      <c r="B299" s="8" t="inlineStr">
        <is>
          <t>Johnstown</t>
        </is>
      </c>
      <c r="C299" s="8" t="inlineStr">
        <is>
          <t>PA</t>
        </is>
      </c>
      <c r="D299" s="8" t="inlineStr">
        <is>
          <t>Public</t>
        </is>
      </c>
      <c r="E299" s="9" t="n">
        <v>17836</v>
      </c>
      <c r="F299" s="9" t="n">
        <v>61744</v>
      </c>
      <c r="G299" s="8">
        <f>RANK(F299,$F$5:$F$1561)</f>
        <v/>
      </c>
      <c r="H299" s="8" t="inlineStr"/>
      <c r="I299" s="9">
        <f>IF(D299="Private",E299,"")</f>
        <v/>
      </c>
      <c r="J299" s="9">
        <f>IF(D299="Private",F299,"")</f>
        <v/>
      </c>
    </row>
    <row r="300">
      <c r="A300" s="8" t="inlineStr">
        <is>
          <t>University of Pittsburgh-Greensburg</t>
        </is>
      </c>
      <c r="B300" s="8" t="inlineStr">
        <is>
          <t>Greensburg</t>
        </is>
      </c>
      <c r="C300" s="8" t="inlineStr">
        <is>
          <t>PA</t>
        </is>
      </c>
      <c r="D300" s="8" t="inlineStr">
        <is>
          <t>Public</t>
        </is>
      </c>
      <c r="E300" s="9" t="n">
        <v>18362</v>
      </c>
      <c r="F300" s="9" t="n">
        <v>61744</v>
      </c>
      <c r="G300" s="8">
        <f>RANK(F300,$F$5:$F$1561)</f>
        <v/>
      </c>
      <c r="H300" s="8" t="inlineStr"/>
      <c r="I300" s="9">
        <f>IF(D300="Private",E300,"")</f>
        <v/>
      </c>
      <c r="J300" s="9">
        <f>IF(D300="Private",F300,"")</f>
        <v/>
      </c>
    </row>
    <row r="301">
      <c r="A301" s="8" t="inlineStr">
        <is>
          <t>University of Pittsburgh-Bradford</t>
        </is>
      </c>
      <c r="B301" s="8" t="inlineStr">
        <is>
          <t>Bradford</t>
        </is>
      </c>
      <c r="C301" s="8" t="inlineStr">
        <is>
          <t>PA</t>
        </is>
      </c>
      <c r="D301" s="8" t="inlineStr">
        <is>
          <t>Public</t>
        </is>
      </c>
      <c r="E301" s="9" t="n">
        <v>17105</v>
      </c>
      <c r="F301" s="9" t="n">
        <v>61744</v>
      </c>
      <c r="G301" s="8">
        <f>RANK(F301,$F$5:$F$1561)</f>
        <v/>
      </c>
      <c r="H301" s="8" t="inlineStr"/>
      <c r="I301" s="9">
        <f>IF(D301="Private",E301,"")</f>
        <v/>
      </c>
      <c r="J301" s="9">
        <f>IF(D301="Private",F301,"")</f>
        <v/>
      </c>
    </row>
    <row r="302">
      <c r="A302" s="8" t="inlineStr">
        <is>
          <t>Azusa Pacific University</t>
        </is>
      </c>
      <c r="B302" s="8" t="inlineStr">
        <is>
          <t>Azusa</t>
        </is>
      </c>
      <c r="C302" s="8" t="inlineStr">
        <is>
          <t>CA</t>
        </is>
      </c>
      <c r="D302" s="8" t="inlineStr">
        <is>
          <t>Private</t>
        </is>
      </c>
      <c r="E302" s="9" t="n">
        <v>24811</v>
      </c>
      <c r="F302" s="9" t="n">
        <v>61701</v>
      </c>
      <c r="G302" s="8">
        <f>RANK(F302,$F$5:$F$1561)</f>
        <v/>
      </c>
      <c r="H302" s="8" t="inlineStr"/>
      <c r="I302" s="9">
        <f>IF(D302="Private",E302,"")</f>
        <v/>
      </c>
      <c r="J302" s="9">
        <f>IF(D302="Private",F302,"")</f>
        <v/>
      </c>
    </row>
    <row r="303">
      <c r="A303" s="8" t="inlineStr">
        <is>
          <t>The College of Saint Scholastica</t>
        </is>
      </c>
      <c r="B303" s="8" t="inlineStr">
        <is>
          <t>Duluth</t>
        </is>
      </c>
      <c r="C303" s="8" t="inlineStr">
        <is>
          <t>MN</t>
        </is>
      </c>
      <c r="D303" s="8" t="inlineStr">
        <is>
          <t>Private</t>
        </is>
      </c>
      <c r="E303" s="9" t="n">
        <v>24652</v>
      </c>
      <c r="F303" s="9" t="n">
        <v>61672</v>
      </c>
      <c r="G303" s="8">
        <f>RANK(F303,$F$5:$F$1561)</f>
        <v/>
      </c>
      <c r="H303" s="8" t="inlineStr"/>
      <c r="I303" s="9">
        <f>IF(D303="Private",E303,"")</f>
        <v/>
      </c>
      <c r="J303" s="9">
        <f>IF(D303="Private",F303,"")</f>
        <v/>
      </c>
    </row>
    <row r="304">
      <c r="A304" s="8" t="inlineStr">
        <is>
          <t>Colorado College</t>
        </is>
      </c>
      <c r="B304" s="8" t="inlineStr">
        <is>
          <t>Colorado Springs</t>
        </is>
      </c>
      <c r="C304" s="8" t="inlineStr">
        <is>
          <t>CO</t>
        </is>
      </c>
      <c r="D304" s="8" t="inlineStr">
        <is>
          <t>Private</t>
        </is>
      </c>
      <c r="E304" s="9" t="n">
        <v>26705</v>
      </c>
      <c r="F304" s="9" t="n">
        <v>61590</v>
      </c>
      <c r="G304" s="8">
        <f>RANK(F304,$F$5:$F$1561)</f>
        <v/>
      </c>
      <c r="H304" s="8" t="inlineStr"/>
      <c r="I304" s="9">
        <f>IF(D304="Private",E304,"")</f>
        <v/>
      </c>
      <c r="J304" s="9">
        <f>IF(D304="Private",F304,"")</f>
        <v/>
      </c>
    </row>
    <row r="305">
      <c r="A305" s="8" t="inlineStr">
        <is>
          <t>San Diego State University</t>
        </is>
      </c>
      <c r="B305" s="8" t="inlineStr">
        <is>
          <t>San Diego</t>
        </is>
      </c>
      <c r="C305" s="8" t="inlineStr">
        <is>
          <t>CA</t>
        </is>
      </c>
      <c r="D305" s="8" t="inlineStr">
        <is>
          <t>Public</t>
        </is>
      </c>
      <c r="E305" s="9" t="n">
        <v>6488</v>
      </c>
      <c r="F305" s="9" t="n">
        <v>61522</v>
      </c>
      <c r="G305" s="8">
        <f>RANK(F305,$F$5:$F$1561)</f>
        <v/>
      </c>
      <c r="H305" s="8" t="inlineStr"/>
      <c r="I305" s="9">
        <f>IF(D305="Private",E305,"")</f>
        <v/>
      </c>
      <c r="J305" s="9">
        <f>IF(D305="Private",F305,"")</f>
        <v/>
      </c>
    </row>
    <row r="306">
      <c r="A306" s="8" t="inlineStr">
        <is>
          <t>Wilkes University</t>
        </is>
      </c>
      <c r="B306" s="8" t="inlineStr">
        <is>
          <t>Wilkes-Barre</t>
        </is>
      </c>
      <c r="C306" s="8" t="inlineStr">
        <is>
          <t>PA</t>
        </is>
      </c>
      <c r="D306" s="8" t="inlineStr">
        <is>
          <t>Private</t>
        </is>
      </c>
      <c r="E306" s="9" t="n">
        <v>29807</v>
      </c>
      <c r="F306" s="9" t="n">
        <v>61498</v>
      </c>
      <c r="G306" s="8">
        <f>RANK(F306,$F$5:$F$1561)</f>
        <v/>
      </c>
      <c r="H306" s="8" t="inlineStr"/>
      <c r="I306" s="9">
        <f>IF(D306="Private",E306,"")</f>
        <v/>
      </c>
      <c r="J306" s="9">
        <f>IF(D306="Private",F306,"")</f>
        <v/>
      </c>
    </row>
    <row r="307">
      <c r="A307" s="8" t="inlineStr">
        <is>
          <t>Mount St. Mary's University</t>
        </is>
      </c>
      <c r="B307" s="8" t="inlineStr">
        <is>
          <t>Emmitsburg</t>
        </is>
      </c>
      <c r="C307" s="8" t="inlineStr">
        <is>
          <t>MD</t>
        </is>
      </c>
      <c r="D307" s="8" t="inlineStr">
        <is>
          <t>Private</t>
        </is>
      </c>
      <c r="E307" s="9" t="n">
        <v>24131</v>
      </c>
      <c r="F307" s="9" t="n">
        <v>61492</v>
      </c>
      <c r="G307" s="8">
        <f>RANK(F307,$F$5:$F$1561)</f>
        <v/>
      </c>
      <c r="H307" s="8" t="inlineStr"/>
      <c r="I307" s="9">
        <f>IF(D307="Private",E307,"")</f>
        <v/>
      </c>
      <c r="J307" s="9">
        <f>IF(D307="Private",F307,"")</f>
        <v/>
      </c>
    </row>
    <row r="308">
      <c r="A308" s="8" t="inlineStr">
        <is>
          <t>Benedictine University</t>
        </is>
      </c>
      <c r="B308" s="8" t="inlineStr">
        <is>
          <t>Lisle</t>
        </is>
      </c>
      <c r="C308" s="8" t="inlineStr">
        <is>
          <t>IL</t>
        </is>
      </c>
      <c r="D308" s="8" t="inlineStr">
        <is>
          <t>Private</t>
        </is>
      </c>
      <c r="E308" s="9" t="n">
        <v>24121</v>
      </c>
      <c r="F308" s="9" t="n">
        <v>61453</v>
      </c>
      <c r="G308" s="8">
        <f>RANK(F308,$F$5:$F$1561)</f>
        <v/>
      </c>
      <c r="H308" s="8" t="inlineStr"/>
      <c r="I308" s="9">
        <f>IF(D308="Private",E308,"")</f>
        <v/>
      </c>
      <c r="J308" s="9">
        <f>IF(D308="Private",F308,"")</f>
        <v/>
      </c>
    </row>
    <row r="309">
      <c r="A309" s="8" t="inlineStr">
        <is>
          <t>University of North Dakota</t>
        </is>
      </c>
      <c r="B309" s="8" t="inlineStr">
        <is>
          <t>Grand Forks</t>
        </is>
      </c>
      <c r="C309" s="8" t="inlineStr">
        <is>
          <t>ND</t>
        </is>
      </c>
      <c r="D309" s="8" t="inlineStr">
        <is>
          <t>Public</t>
        </is>
      </c>
      <c r="E309" s="9" t="n">
        <v>17424</v>
      </c>
      <c r="F309" s="9" t="n">
        <v>61403</v>
      </c>
      <c r="G309" s="8">
        <f>RANK(F309,$F$5:$F$1561)</f>
        <v/>
      </c>
      <c r="H309" s="8" t="inlineStr"/>
      <c r="I309" s="9">
        <f>IF(D309="Private",E309,"")</f>
        <v/>
      </c>
      <c r="J309" s="9">
        <f>IF(D309="Private",F309,"")</f>
        <v/>
      </c>
    </row>
    <row r="310">
      <c r="A310" s="8" t="inlineStr">
        <is>
          <t>Lewis University</t>
        </is>
      </c>
      <c r="B310" s="8" t="inlineStr">
        <is>
          <t>Romeoville</t>
        </is>
      </c>
      <c r="C310" s="8" t="inlineStr">
        <is>
          <t>IL</t>
        </is>
      </c>
      <c r="D310" s="8" t="inlineStr">
        <is>
          <t>Private</t>
        </is>
      </c>
      <c r="E310" s="9" t="n">
        <v>17323</v>
      </c>
      <c r="F310" s="9" t="n">
        <v>61393</v>
      </c>
      <c r="G310" s="8">
        <f>RANK(F310,$F$5:$F$1561)</f>
        <v/>
      </c>
      <c r="H310" s="8" t="inlineStr"/>
      <c r="I310" s="9">
        <f>IF(D310="Private",E310,"")</f>
        <v/>
      </c>
      <c r="J310" s="9">
        <f>IF(D310="Private",F310,"")</f>
        <v/>
      </c>
    </row>
    <row r="311">
      <c r="A311" s="8" t="inlineStr">
        <is>
          <t>Towson University</t>
        </is>
      </c>
      <c r="B311" s="8" t="inlineStr">
        <is>
          <t>Towson</t>
        </is>
      </c>
      <c r="C311" s="8" t="inlineStr">
        <is>
          <t>MD</t>
        </is>
      </c>
      <c r="D311" s="8" t="inlineStr">
        <is>
          <t>Public</t>
        </is>
      </c>
      <c r="E311" s="9" t="n">
        <v>12621</v>
      </c>
      <c r="F311" s="9" t="n">
        <v>61376</v>
      </c>
      <c r="G311" s="8">
        <f>RANK(F311,$F$5:$F$1561)</f>
        <v/>
      </c>
      <c r="H311" s="8" t="inlineStr"/>
      <c r="I311" s="9">
        <f>IF(D311="Private",E311,"")</f>
        <v/>
      </c>
      <c r="J311" s="9">
        <f>IF(D311="Private",F311,"")</f>
        <v/>
      </c>
    </row>
    <row r="312">
      <c r="A312" s="8" t="inlineStr">
        <is>
          <t>Indiana University-Bloomington</t>
        </is>
      </c>
      <c r="B312" s="8" t="inlineStr">
        <is>
          <t>Bloomington</t>
        </is>
      </c>
      <c r="C312" s="8" t="inlineStr">
        <is>
          <t>IN</t>
        </is>
      </c>
      <c r="D312" s="8" t="inlineStr">
        <is>
          <t>Public</t>
        </is>
      </c>
      <c r="E312" s="9" t="n">
        <v>14216</v>
      </c>
      <c r="F312" s="9" t="n">
        <v>61279</v>
      </c>
      <c r="G312" s="8">
        <f>RANK(F312,$F$5:$F$1561)</f>
        <v/>
      </c>
      <c r="H312" s="8" t="inlineStr"/>
      <c r="I312" s="9">
        <f>IF(D312="Private",E312,"")</f>
        <v/>
      </c>
      <c r="J312" s="9">
        <f>IF(D312="Private",F312,"")</f>
        <v/>
      </c>
    </row>
    <row r="313">
      <c r="A313" s="8" t="inlineStr">
        <is>
          <t>California State University-Sacramento</t>
        </is>
      </c>
      <c r="B313" s="8" t="inlineStr">
        <is>
          <t>Sacramento</t>
        </is>
      </c>
      <c r="C313" s="8" t="inlineStr">
        <is>
          <t>CA</t>
        </is>
      </c>
      <c r="D313" s="8" t="inlineStr">
        <is>
          <t>Public</t>
        </is>
      </c>
      <c r="E313" s="9" t="n">
        <v>6654</v>
      </c>
      <c r="F313" s="9" t="n">
        <v>61267</v>
      </c>
      <c r="G313" s="8">
        <f>RANK(F313,$F$5:$F$1561)</f>
        <v/>
      </c>
      <c r="H313" s="8" t="inlineStr"/>
      <c r="I313" s="9">
        <f>IF(D313="Private",E313,"")</f>
        <v/>
      </c>
      <c r="J313" s="9">
        <f>IF(D313="Private",F313,"")</f>
        <v/>
      </c>
    </row>
    <row r="314">
      <c r="A314" s="8" t="inlineStr">
        <is>
          <t>Simmons University</t>
        </is>
      </c>
      <c r="B314" s="8" t="inlineStr">
        <is>
          <t>Boston</t>
        </is>
      </c>
      <c r="C314" s="8" t="inlineStr">
        <is>
          <t>MA</t>
        </is>
      </c>
      <c r="D314" s="8" t="inlineStr">
        <is>
          <t>Private</t>
        </is>
      </c>
      <c r="E314" s="9" t="n">
        <v>18046</v>
      </c>
      <c r="F314" s="9" t="n">
        <v>61222</v>
      </c>
      <c r="G314" s="8">
        <f>RANK(F314,$F$5:$F$1561)</f>
        <v/>
      </c>
      <c r="H314" s="8" t="inlineStr"/>
      <c r="I314" s="9">
        <f>IF(D314="Private",E314,"")</f>
        <v/>
      </c>
      <c r="J314" s="9">
        <f>IF(D314="Private",F314,"")</f>
        <v/>
      </c>
    </row>
    <row r="315">
      <c r="A315" s="8" t="inlineStr">
        <is>
          <t>Allegheny College</t>
        </is>
      </c>
      <c r="B315" s="8" t="inlineStr">
        <is>
          <t>Meadville</t>
        </is>
      </c>
      <c r="C315" s="8" t="inlineStr">
        <is>
          <t>PA</t>
        </is>
      </c>
      <c r="D315" s="8" t="inlineStr">
        <is>
          <t>Private</t>
        </is>
      </c>
      <c r="E315" s="9" t="n">
        <v>23617</v>
      </c>
      <c r="F315" s="9" t="n">
        <v>61188</v>
      </c>
      <c r="G315" s="8">
        <f>RANK(F315,$F$5:$F$1561)</f>
        <v/>
      </c>
      <c r="H315" s="8" t="inlineStr"/>
      <c r="I315" s="9">
        <f>IF(D315="Private",E315,"")</f>
        <v/>
      </c>
      <c r="J315" s="9">
        <f>IF(D315="Private",F315,"")</f>
        <v/>
      </c>
    </row>
    <row r="316">
      <c r="A316" s="8" t="inlineStr">
        <is>
          <t>The Pennsylvania State University</t>
        </is>
      </c>
      <c r="B316" s="8" t="inlineStr">
        <is>
          <t>University Park</t>
        </is>
      </c>
      <c r="C316" s="8" t="inlineStr">
        <is>
          <t>PA</t>
        </is>
      </c>
      <c r="D316" s="8" t="inlineStr">
        <is>
          <t>Public</t>
        </is>
      </c>
      <c r="E316" s="9" t="n">
        <v>27521</v>
      </c>
      <c r="F316" s="9" t="n">
        <v>61185</v>
      </c>
      <c r="G316" s="8">
        <f>RANK(F316,$F$5:$F$1561)</f>
        <v/>
      </c>
      <c r="H316" s="8" t="inlineStr"/>
      <c r="I316" s="9">
        <f>IF(D316="Private",E316,"")</f>
        <v/>
      </c>
      <c r="J316" s="9">
        <f>IF(D316="Private",F316,"")</f>
        <v/>
      </c>
    </row>
    <row r="317">
      <c r="A317" s="8" t="inlineStr">
        <is>
          <t>University of Missouri-Columbia</t>
        </is>
      </c>
      <c r="B317" s="8" t="inlineStr">
        <is>
          <t>Columbia</t>
        </is>
      </c>
      <c r="C317" s="8" t="inlineStr">
        <is>
          <t>MO</t>
        </is>
      </c>
      <c r="D317" s="8" t="inlineStr">
        <is>
          <t>Public</t>
        </is>
      </c>
      <c r="E317" s="9" t="n">
        <v>17899</v>
      </c>
      <c r="F317" s="9" t="n">
        <v>61073</v>
      </c>
      <c r="G317" s="8">
        <f>RANK(F317,$F$5:$F$1561)</f>
        <v/>
      </c>
      <c r="H317" s="8" t="inlineStr"/>
      <c r="I317" s="9">
        <f>IF(D317="Private",E317,"")</f>
        <v/>
      </c>
      <c r="J317" s="9">
        <f>IF(D317="Private",F317,"")</f>
        <v/>
      </c>
    </row>
    <row r="318">
      <c r="A318" s="8" t="inlineStr">
        <is>
          <t>College of Saint Benedict</t>
        </is>
      </c>
      <c r="B318" s="8" t="inlineStr">
        <is>
          <t>Saint Joseph</t>
        </is>
      </c>
      <c r="C318" s="8" t="inlineStr">
        <is>
          <t>MN</t>
        </is>
      </c>
      <c r="D318" s="8" t="inlineStr">
        <is>
          <t>Private</t>
        </is>
      </c>
      <c r="E318" s="9" t="n">
        <v>26679</v>
      </c>
      <c r="F318" s="9" t="n">
        <v>61071</v>
      </c>
      <c r="G318" s="8">
        <f>RANK(F318,$F$5:$F$1561)</f>
        <v/>
      </c>
      <c r="H318" s="8" t="inlineStr"/>
      <c r="I318" s="9">
        <f>IF(D318="Private",E318,"")</f>
        <v/>
      </c>
      <c r="J318" s="9">
        <f>IF(D318="Private",F318,"")</f>
        <v/>
      </c>
    </row>
    <row r="319">
      <c r="A319" s="8" t="inlineStr">
        <is>
          <t>Auburn University</t>
        </is>
      </c>
      <c r="B319" s="8" t="inlineStr">
        <is>
          <t>Auburn</t>
        </is>
      </c>
      <c r="C319" s="8" t="inlineStr">
        <is>
          <t>AL</t>
        </is>
      </c>
      <c r="D319" s="8" t="inlineStr">
        <is>
          <t>Public</t>
        </is>
      </c>
      <c r="E319" s="9" t="n">
        <v>23258</v>
      </c>
      <c r="F319" s="9" t="n">
        <v>61042</v>
      </c>
      <c r="G319" s="8">
        <f>RANK(F319,$F$5:$F$1561)</f>
        <v/>
      </c>
      <c r="H319" s="8" t="inlineStr"/>
      <c r="I319" s="9">
        <f>IF(D319="Private",E319,"")</f>
        <v/>
      </c>
      <c r="J319" s="9">
        <f>IF(D319="Private",F319,"")</f>
        <v/>
      </c>
    </row>
    <row r="320">
      <c r="A320" s="8" t="inlineStr">
        <is>
          <t>California State University-Chico</t>
        </is>
      </c>
      <c r="B320" s="8" t="inlineStr">
        <is>
          <t>Chico</t>
        </is>
      </c>
      <c r="C320" s="8" t="inlineStr">
        <is>
          <t>CA</t>
        </is>
      </c>
      <c r="D320" s="8" t="inlineStr">
        <is>
          <t>Public</t>
        </is>
      </c>
      <c r="E320" s="9" t="n">
        <v>13384</v>
      </c>
      <c r="F320" s="9" t="n">
        <v>61010</v>
      </c>
      <c r="G320" s="8">
        <f>RANK(F320,$F$5:$F$1561)</f>
        <v/>
      </c>
      <c r="H320" s="8" t="inlineStr"/>
      <c r="I320" s="9">
        <f>IF(D320="Private",E320,"")</f>
        <v/>
      </c>
      <c r="J320" s="9">
        <f>IF(D320="Private",F320,"")</f>
        <v/>
      </c>
    </row>
    <row r="321">
      <c r="A321" s="8" t="inlineStr">
        <is>
          <t>Seattle Pacific University</t>
        </is>
      </c>
      <c r="B321" s="8" t="inlineStr">
        <is>
          <t>Seattle</t>
        </is>
      </c>
      <c r="C321" s="8" t="inlineStr">
        <is>
          <t>WA</t>
        </is>
      </c>
      <c r="D321" s="8" t="inlineStr">
        <is>
          <t>Private</t>
        </is>
      </c>
      <c r="E321" s="9" t="n">
        <v>24578</v>
      </c>
      <c r="F321" s="9" t="n">
        <v>61006</v>
      </c>
      <c r="G321" s="8">
        <f>RANK(F321,$F$5:$F$1561)</f>
        <v/>
      </c>
      <c r="H321" s="8" t="inlineStr"/>
      <c r="I321" s="9">
        <f>IF(D321="Private",E321,"")</f>
        <v/>
      </c>
      <c r="J321" s="9">
        <f>IF(D321="Private",F321,"")</f>
        <v/>
      </c>
    </row>
    <row r="322">
      <c r="A322" s="8" t="inlineStr">
        <is>
          <t>Iowa State University</t>
        </is>
      </c>
      <c r="B322" s="8" t="inlineStr">
        <is>
          <t>Ames</t>
        </is>
      </c>
      <c r="C322" s="8" t="inlineStr">
        <is>
          <t>IA</t>
        </is>
      </c>
      <c r="D322" s="8" t="inlineStr">
        <is>
          <t>Public</t>
        </is>
      </c>
      <c r="E322" s="9" t="n">
        <v>15351</v>
      </c>
      <c r="F322" s="9" t="n">
        <v>60973</v>
      </c>
      <c r="G322" s="8">
        <f>RANK(F322,$F$5:$F$1561)</f>
        <v/>
      </c>
      <c r="H322" s="8" t="inlineStr"/>
      <c r="I322" s="9">
        <f>IF(D322="Private",E322,"")</f>
        <v/>
      </c>
      <c r="J322" s="9">
        <f>IF(D322="Private",F322,"")</f>
        <v/>
      </c>
    </row>
    <row r="323">
      <c r="A323" s="8" t="inlineStr">
        <is>
          <t>California State University-Long Beach</t>
        </is>
      </c>
      <c r="B323" s="8" t="inlineStr">
        <is>
          <t>Long Beach</t>
        </is>
      </c>
      <c r="C323" s="8" t="inlineStr">
        <is>
          <t>CA</t>
        </is>
      </c>
      <c r="D323" s="8" t="inlineStr">
        <is>
          <t>Public</t>
        </is>
      </c>
      <c r="E323" s="9" t="n">
        <v>8338</v>
      </c>
      <c r="F323" s="9" t="n">
        <v>60973</v>
      </c>
      <c r="G323" s="8">
        <f>RANK(F323,$F$5:$F$1561)</f>
        <v/>
      </c>
      <c r="H323" s="8" t="inlineStr"/>
      <c r="I323" s="9">
        <f>IF(D323="Private",E323,"")</f>
        <v/>
      </c>
      <c r="J323" s="9">
        <f>IF(D323="Private",F323,"")</f>
        <v/>
      </c>
    </row>
    <row r="324">
      <c r="A324" s="8" t="inlineStr">
        <is>
          <t>Pacific Lutheran University</t>
        </is>
      </c>
      <c r="B324" s="8" t="inlineStr">
        <is>
          <t>Tacoma</t>
        </is>
      </c>
      <c r="C324" s="8" t="inlineStr">
        <is>
          <t>WA</t>
        </is>
      </c>
      <c r="D324" s="8" t="inlineStr">
        <is>
          <t>Private</t>
        </is>
      </c>
      <c r="E324" s="9" t="n">
        <v>21023</v>
      </c>
      <c r="F324" s="9" t="n">
        <v>60932</v>
      </c>
      <c r="G324" s="8">
        <f>RANK(F324,$F$5:$F$1561)</f>
        <v/>
      </c>
      <c r="H324" s="8" t="inlineStr"/>
      <c r="I324" s="9">
        <f>IF(D324="Private",E324,"")</f>
        <v/>
      </c>
      <c r="J324" s="9">
        <f>IF(D324="Private",F324,"")</f>
        <v/>
      </c>
    </row>
    <row r="325">
      <c r="A325" s="8" t="inlineStr">
        <is>
          <t>University of St Francis</t>
        </is>
      </c>
      <c r="B325" s="8" t="inlineStr">
        <is>
          <t>Joliet</t>
        </is>
      </c>
      <c r="C325" s="8" t="inlineStr">
        <is>
          <t>IL</t>
        </is>
      </c>
      <c r="D325" s="8" t="inlineStr">
        <is>
          <t>Private</t>
        </is>
      </c>
      <c r="E325" s="9" t="n">
        <v>16578</v>
      </c>
      <c r="F325" s="9" t="n">
        <v>60919</v>
      </c>
      <c r="G325" s="8">
        <f>RANK(F325,$F$5:$F$1561)</f>
        <v/>
      </c>
      <c r="H325" s="8" t="inlineStr"/>
      <c r="I325" s="9">
        <f>IF(D325="Private",E325,"")</f>
        <v/>
      </c>
      <c r="J325" s="9">
        <f>IF(D325="Private",F325,"")</f>
        <v/>
      </c>
    </row>
    <row r="326">
      <c r="A326" s="8" t="inlineStr">
        <is>
          <t>Baker University</t>
        </is>
      </c>
      <c r="B326" s="8" t="inlineStr">
        <is>
          <t>Baldwin City</t>
        </is>
      </c>
      <c r="C326" s="8" t="inlineStr">
        <is>
          <t>KS</t>
        </is>
      </c>
      <c r="D326" s="8" t="inlineStr">
        <is>
          <t>Private</t>
        </is>
      </c>
      <c r="E326" s="9" t="n">
        <v>24493</v>
      </c>
      <c r="F326" s="9" t="n">
        <v>60914</v>
      </c>
      <c r="G326" s="8">
        <f>RANK(F326,$F$5:$F$1561)</f>
        <v/>
      </c>
      <c r="H326" s="8" t="inlineStr"/>
      <c r="I326" s="9">
        <f>IF(D326="Private",E326,"")</f>
        <v/>
      </c>
      <c r="J326" s="9">
        <f>IF(D326="Private",F326,"")</f>
        <v/>
      </c>
    </row>
    <row r="327">
      <c r="A327" s="8" t="inlineStr">
        <is>
          <t>Furman University</t>
        </is>
      </c>
      <c r="B327" s="8" t="inlineStr">
        <is>
          <t>Greenville</t>
        </is>
      </c>
      <c r="C327" s="8" t="inlineStr">
        <is>
          <t>SC</t>
        </is>
      </c>
      <c r="D327" s="8" t="inlineStr">
        <is>
          <t>Private</t>
        </is>
      </c>
      <c r="E327" s="9" t="n">
        <v>25925</v>
      </c>
      <c r="F327" s="9" t="n">
        <v>60889</v>
      </c>
      <c r="G327" s="8">
        <f>RANK(F327,$F$5:$F$1561)</f>
        <v/>
      </c>
      <c r="H327" s="8" t="inlineStr"/>
      <c r="I327" s="9">
        <f>IF(D327="Private",E327,"")</f>
        <v/>
      </c>
      <c r="J327" s="9">
        <f>IF(D327="Private",F327,"")</f>
        <v/>
      </c>
    </row>
    <row r="328">
      <c r="A328" s="8" t="inlineStr">
        <is>
          <t>La Sierra University</t>
        </is>
      </c>
      <c r="B328" s="8" t="inlineStr">
        <is>
          <t>Riverside</t>
        </is>
      </c>
      <c r="C328" s="8" t="inlineStr">
        <is>
          <t>CA</t>
        </is>
      </c>
      <c r="D328" s="8" t="inlineStr">
        <is>
          <t>Private</t>
        </is>
      </c>
      <c r="E328" s="9" t="n">
        <v>23480</v>
      </c>
      <c r="F328" s="9" t="n">
        <v>60858</v>
      </c>
      <c r="G328" s="8">
        <f>RANK(F328,$F$5:$F$1561)</f>
        <v/>
      </c>
      <c r="H328" s="8" t="inlineStr"/>
      <c r="I328" s="9">
        <f>IF(D328="Private",E328,"")</f>
        <v/>
      </c>
      <c r="J328" s="9">
        <f>IF(D328="Private",F328,"")</f>
        <v/>
      </c>
    </row>
    <row r="329">
      <c r="A329" s="8" t="inlineStr">
        <is>
          <t>Valparaiso University</t>
        </is>
      </c>
      <c r="B329" s="8" t="inlineStr">
        <is>
          <t>Valparaiso</t>
        </is>
      </c>
      <c r="C329" s="8" t="inlineStr">
        <is>
          <t>IN</t>
        </is>
      </c>
      <c r="D329" s="8" t="inlineStr">
        <is>
          <t>Private</t>
        </is>
      </c>
      <c r="E329" s="9" t="n">
        <v>25802</v>
      </c>
      <c r="F329" s="9" t="n">
        <v>60754</v>
      </c>
      <c r="G329" s="8">
        <f>RANK(F329,$F$5:$F$1561)</f>
        <v/>
      </c>
      <c r="H329" s="8" t="inlineStr"/>
      <c r="I329" s="9">
        <f>IF(D329="Private",E329,"")</f>
        <v/>
      </c>
      <c r="J329" s="9">
        <f>IF(D329="Private",F329,"")</f>
        <v/>
      </c>
    </row>
    <row r="330">
      <c r="A330" s="8" t="inlineStr">
        <is>
          <t>Xavier University</t>
        </is>
      </c>
      <c r="B330" s="8" t="inlineStr">
        <is>
          <t>Cincinnati</t>
        </is>
      </c>
      <c r="C330" s="8" t="inlineStr">
        <is>
          <t>OH</t>
        </is>
      </c>
      <c r="D330" s="8" t="inlineStr">
        <is>
          <t>Private</t>
        </is>
      </c>
      <c r="E330" s="9" t="n">
        <v>31642</v>
      </c>
      <c r="F330" s="9" t="n">
        <v>60750</v>
      </c>
      <c r="G330" s="8">
        <f>RANK(F330,$F$5:$F$1561)</f>
        <v/>
      </c>
      <c r="H330" s="8" t="inlineStr"/>
      <c r="I330" s="9">
        <f>IF(D330="Private",E330,"")</f>
        <v/>
      </c>
      <c r="J330" s="9">
        <f>IF(D330="Private",F330,"")</f>
        <v/>
      </c>
    </row>
    <row r="331">
      <c r="A331" s="8" t="inlineStr">
        <is>
          <t>Metropolitan State University</t>
        </is>
      </c>
      <c r="B331" s="8" t="inlineStr">
        <is>
          <t>Saint Paul</t>
        </is>
      </c>
      <c r="C331" s="8" t="inlineStr">
        <is>
          <t>MN</t>
        </is>
      </c>
      <c r="D331" s="8" t="inlineStr">
        <is>
          <t>Public</t>
        </is>
      </c>
      <c r="E331" s="9" t="n">
        <v>17718</v>
      </c>
      <c r="F331" s="9" t="n">
        <v>60744</v>
      </c>
      <c r="G331" s="8">
        <f>RANK(F331,$F$5:$F$1561)</f>
        <v/>
      </c>
      <c r="H331" s="8" t="inlineStr"/>
      <c r="I331" s="9">
        <f>IF(D331="Private",E331,"")</f>
        <v/>
      </c>
      <c r="J331" s="9">
        <f>IF(D331="Private",F331,"")</f>
        <v/>
      </c>
    </row>
    <row r="332">
      <c r="A332" s="8" t="inlineStr">
        <is>
          <t>Denison University</t>
        </is>
      </c>
      <c r="B332" s="8" t="inlineStr">
        <is>
          <t>Granville</t>
        </is>
      </c>
      <c r="C332" s="8" t="inlineStr">
        <is>
          <t>OH</t>
        </is>
      </c>
      <c r="D332" s="8" t="inlineStr">
        <is>
          <t>Private</t>
        </is>
      </c>
      <c r="E332" s="9" t="n">
        <v>32002</v>
      </c>
      <c r="F332" s="9" t="n">
        <v>60673</v>
      </c>
      <c r="G332" s="8">
        <f>RANK(F332,$F$5:$F$1561)</f>
        <v/>
      </c>
      <c r="H332" s="8" t="inlineStr"/>
      <c r="I332" s="9">
        <f>IF(D332="Private",E332,"")</f>
        <v/>
      </c>
      <c r="J332" s="9">
        <f>IF(D332="Private",F332,"")</f>
        <v/>
      </c>
    </row>
    <row r="333">
      <c r="A333" s="8" t="inlineStr">
        <is>
          <t>Westminster College</t>
        </is>
      </c>
      <c r="B333" s="8" t="inlineStr">
        <is>
          <t>Salt Lake City</t>
        </is>
      </c>
      <c r="C333" s="8" t="inlineStr">
        <is>
          <t>UT</t>
        </is>
      </c>
      <c r="D333" s="8" t="inlineStr">
        <is>
          <t>Private</t>
        </is>
      </c>
      <c r="E333" s="9" t="n">
        <v>25901</v>
      </c>
      <c r="F333" s="9" t="n">
        <v>60657</v>
      </c>
      <c r="G333" s="8">
        <f>RANK(F333,$F$5:$F$1561)</f>
        <v/>
      </c>
      <c r="H333" s="8" t="inlineStr"/>
      <c r="I333" s="9">
        <f>IF(D333="Private",E333,"")</f>
        <v/>
      </c>
      <c r="J333" s="9">
        <f>IF(D333="Private",F333,"")</f>
        <v/>
      </c>
    </row>
    <row r="334">
      <c r="A334" s="8" t="inlineStr">
        <is>
          <t>Kalamazoo College</t>
        </is>
      </c>
      <c r="B334" s="8" t="inlineStr">
        <is>
          <t>Kalamazoo</t>
        </is>
      </c>
      <c r="C334" s="8" t="inlineStr">
        <is>
          <t>MI</t>
        </is>
      </c>
      <c r="D334" s="8" t="inlineStr">
        <is>
          <t>Private</t>
        </is>
      </c>
      <c r="E334" s="9" t="n">
        <v>21528</v>
      </c>
      <c r="F334" s="9" t="n">
        <v>60627</v>
      </c>
      <c r="G334" s="8">
        <f>RANK(F334,$F$5:$F$1561)</f>
        <v/>
      </c>
      <c r="H334" s="8" t="inlineStr"/>
      <c r="I334" s="9">
        <f>IF(D334="Private",E334,"")</f>
        <v/>
      </c>
      <c r="J334" s="9">
        <f>IF(D334="Private",F334,"")</f>
        <v/>
      </c>
    </row>
    <row r="335">
      <c r="A335" s="8" t="inlineStr">
        <is>
          <t>Bellevue University</t>
        </is>
      </c>
      <c r="B335" s="8" t="inlineStr">
        <is>
          <t>Bellevue</t>
        </is>
      </c>
      <c r="C335" s="8" t="inlineStr">
        <is>
          <t>NE</t>
        </is>
      </c>
      <c r="D335" s="8" t="inlineStr">
        <is>
          <t>Private</t>
        </is>
      </c>
      <c r="E335" s="9" t="n">
        <v>15794</v>
      </c>
      <c r="F335" s="9" t="n">
        <v>60600</v>
      </c>
      <c r="G335" s="8">
        <f>RANK(F335,$F$5:$F$1561)</f>
        <v/>
      </c>
      <c r="H335" s="8" t="inlineStr"/>
      <c r="I335" s="9">
        <f>IF(D335="Private",E335,"")</f>
        <v/>
      </c>
      <c r="J335" s="9">
        <f>IF(D335="Private",F335,"")</f>
        <v/>
      </c>
    </row>
    <row r="336">
      <c r="A336" s="8" t="inlineStr">
        <is>
          <t>University of Detroit Mercy</t>
        </is>
      </c>
      <c r="B336" s="8" t="inlineStr">
        <is>
          <t>Detroit</t>
        </is>
      </c>
      <c r="C336" s="8" t="inlineStr">
        <is>
          <t>MI</t>
        </is>
      </c>
      <c r="D336" s="8" t="inlineStr">
        <is>
          <t>Private</t>
        </is>
      </c>
      <c r="E336" s="9" t="n">
        <v>17121</v>
      </c>
      <c r="F336" s="9" t="n">
        <v>60489</v>
      </c>
      <c r="G336" s="8">
        <f>RANK(F336,$F$5:$F$1561)</f>
        <v/>
      </c>
      <c r="H336" s="8" t="inlineStr"/>
      <c r="I336" s="9">
        <f>IF(D336="Private",E336,"")</f>
        <v/>
      </c>
      <c r="J336" s="9">
        <f>IF(D336="Private",F336,"")</f>
        <v/>
      </c>
    </row>
    <row r="337">
      <c r="A337" s="8" t="inlineStr">
        <is>
          <t>Holy Family University</t>
        </is>
      </c>
      <c r="B337" s="8" t="inlineStr">
        <is>
          <t>Philadelphia</t>
        </is>
      </c>
      <c r="C337" s="8" t="inlineStr">
        <is>
          <t>PA</t>
        </is>
      </c>
      <c r="D337" s="8" t="inlineStr">
        <is>
          <t>Private</t>
        </is>
      </c>
      <c r="E337" s="9" t="n">
        <v>11696</v>
      </c>
      <c r="F337" s="9" t="n">
        <v>60485</v>
      </c>
      <c r="G337" s="8">
        <f>RANK(F337,$F$5:$F$1561)</f>
        <v/>
      </c>
      <c r="H337" s="8" t="inlineStr"/>
      <c r="I337" s="9">
        <f>IF(D337="Private",E337,"")</f>
        <v/>
      </c>
      <c r="J337" s="9">
        <f>IF(D337="Private",F337,"")</f>
        <v/>
      </c>
    </row>
    <row r="338">
      <c r="A338" s="8" t="inlineStr">
        <is>
          <t>Oregon State University</t>
        </is>
      </c>
      <c r="B338" s="8" t="inlineStr">
        <is>
          <t>Corvallis</t>
        </is>
      </c>
      <c r="C338" s="8" t="inlineStr">
        <is>
          <t>OR</t>
        </is>
      </c>
      <c r="D338" s="8" t="inlineStr">
        <is>
          <t>Public</t>
        </is>
      </c>
      <c r="E338" s="9" t="n">
        <v>18010</v>
      </c>
      <c r="F338" s="9" t="n">
        <v>60461</v>
      </c>
      <c r="G338" s="8">
        <f>RANK(F338,$F$5:$F$1561)</f>
        <v/>
      </c>
      <c r="H338" s="8" t="inlineStr"/>
      <c r="I338" s="9">
        <f>IF(D338="Private",E338,"")</f>
        <v/>
      </c>
      <c r="J338" s="9">
        <f>IF(D338="Private",F338,"")</f>
        <v/>
      </c>
    </row>
    <row r="339">
      <c r="A339" s="8" t="inlineStr">
        <is>
          <t>Texas Tech University</t>
        </is>
      </c>
      <c r="B339" s="8" t="inlineStr">
        <is>
          <t>Lubbock</t>
        </is>
      </c>
      <c r="C339" s="8" t="inlineStr">
        <is>
          <t>TX</t>
        </is>
      </c>
      <c r="D339" s="8" t="inlineStr">
        <is>
          <t>Public</t>
        </is>
      </c>
      <c r="E339" s="9" t="n">
        <v>17313</v>
      </c>
      <c r="F339" s="9" t="n">
        <v>60456</v>
      </c>
      <c r="G339" s="8">
        <f>RANK(F339,$F$5:$F$1561)</f>
        <v/>
      </c>
      <c r="H339" s="8" t="inlineStr"/>
      <c r="I339" s="9">
        <f>IF(D339="Private",E339,"")</f>
        <v/>
      </c>
      <c r="J339" s="9">
        <f>IF(D339="Private",F339,"")</f>
        <v/>
      </c>
    </row>
    <row r="340">
      <c r="A340" s="8" t="inlineStr">
        <is>
          <t>St. Mary's College of Maryland</t>
        </is>
      </c>
      <c r="B340" s="8" t="inlineStr">
        <is>
          <t>St. Mary's City</t>
        </is>
      </c>
      <c r="C340" s="8" t="inlineStr">
        <is>
          <t>MD</t>
        </is>
      </c>
      <c r="D340" s="8" t="inlineStr">
        <is>
          <t>Public</t>
        </is>
      </c>
      <c r="E340" s="9" t="n">
        <v>20512</v>
      </c>
      <c r="F340" s="9" t="n">
        <v>60455</v>
      </c>
      <c r="G340" s="8">
        <f>RANK(F340,$F$5:$F$1561)</f>
        <v/>
      </c>
      <c r="H340" s="8" t="inlineStr"/>
      <c r="I340" s="9">
        <f>IF(D340="Private",E340,"")</f>
        <v/>
      </c>
      <c r="J340" s="9">
        <f>IF(D340="Private",F340,"")</f>
        <v/>
      </c>
    </row>
    <row r="341">
      <c r="A341" s="8" t="inlineStr">
        <is>
          <t>Centre College</t>
        </is>
      </c>
      <c r="B341" s="8" t="inlineStr">
        <is>
          <t>Danville</t>
        </is>
      </c>
      <c r="C341" s="8" t="inlineStr">
        <is>
          <t>KY</t>
        </is>
      </c>
      <c r="D341" s="8" t="inlineStr">
        <is>
          <t>Private</t>
        </is>
      </c>
      <c r="E341" s="9" t="n">
        <v>20610</v>
      </c>
      <c r="F341" s="9" t="n">
        <v>60447</v>
      </c>
      <c r="G341" s="8">
        <f>RANK(F341,$F$5:$F$1561)</f>
        <v/>
      </c>
      <c r="H341" s="8" t="inlineStr"/>
      <c r="I341" s="9">
        <f>IF(D341="Private",E341,"")</f>
        <v/>
      </c>
      <c r="J341" s="9">
        <f>IF(D341="Private",F341,"")</f>
        <v/>
      </c>
    </row>
    <row r="342">
      <c r="A342" s="8" t="inlineStr">
        <is>
          <t>Stevenson University</t>
        </is>
      </c>
      <c r="B342" s="8" t="inlineStr">
        <is>
          <t>Owings Mills</t>
        </is>
      </c>
      <c r="C342" s="8" t="inlineStr">
        <is>
          <t>MD</t>
        </is>
      </c>
      <c r="D342" s="8" t="inlineStr">
        <is>
          <t>Private</t>
        </is>
      </c>
      <c r="E342" s="9" t="n">
        <v>23428</v>
      </c>
      <c r="F342" s="9" t="n">
        <v>60421</v>
      </c>
      <c r="G342" s="8">
        <f>RANK(F342,$F$5:$F$1561)</f>
        <v/>
      </c>
      <c r="H342" s="8" t="inlineStr"/>
      <c r="I342" s="9">
        <f>IF(D342="Private",E342,"")</f>
        <v/>
      </c>
      <c r="J342" s="9">
        <f>IF(D342="Private",F342,"")</f>
        <v/>
      </c>
    </row>
    <row r="343">
      <c r="A343" s="8" t="inlineStr">
        <is>
          <t>St. Thomas Aquinas College</t>
        </is>
      </c>
      <c r="B343" s="8" t="inlineStr">
        <is>
          <t>Sparkill</t>
        </is>
      </c>
      <c r="C343" s="8" t="inlineStr">
        <is>
          <t>NY</t>
        </is>
      </c>
      <c r="D343" s="8" t="inlineStr">
        <is>
          <t>Private</t>
        </is>
      </c>
      <c r="E343" s="9" t="n">
        <v>17105</v>
      </c>
      <c r="F343" s="9" t="n">
        <v>60394</v>
      </c>
      <c r="G343" s="8">
        <f>RANK(F343,$F$5:$F$1561)</f>
        <v/>
      </c>
      <c r="H343" s="8" t="inlineStr"/>
      <c r="I343" s="9">
        <f>IF(D343="Private",E343,"")</f>
        <v/>
      </c>
      <c r="J343" s="9">
        <f>IF(D343="Private",F343,"")</f>
        <v/>
      </c>
    </row>
    <row r="344">
      <c r="A344" s="8" t="inlineStr">
        <is>
          <t>Southwestern University</t>
        </is>
      </c>
      <c r="B344" s="8" t="inlineStr">
        <is>
          <t>Georgetown</t>
        </is>
      </c>
      <c r="C344" s="8" t="inlineStr">
        <is>
          <t>TX</t>
        </is>
      </c>
      <c r="D344" s="8" t="inlineStr">
        <is>
          <t>Private</t>
        </is>
      </c>
      <c r="E344" s="9" t="n">
        <v>25451</v>
      </c>
      <c r="F344" s="9" t="n">
        <v>60338</v>
      </c>
      <c r="G344" s="8">
        <f>RANK(F344,$F$5:$F$1561)</f>
        <v/>
      </c>
      <c r="H344" s="8" t="inlineStr"/>
      <c r="I344" s="9">
        <f>IF(D344="Private",E344,"")</f>
        <v/>
      </c>
      <c r="J344" s="9">
        <f>IF(D344="Private",F344,"")</f>
        <v/>
      </c>
    </row>
    <row r="345">
      <c r="A345" s="8" t="inlineStr">
        <is>
          <t>Temple University</t>
        </is>
      </c>
      <c r="B345" s="8" t="inlineStr">
        <is>
          <t>Philadelphia</t>
        </is>
      </c>
      <c r="C345" s="8" t="inlineStr">
        <is>
          <t>PA</t>
        </is>
      </c>
      <c r="D345" s="8" t="inlineStr">
        <is>
          <t>Public</t>
        </is>
      </c>
      <c r="E345" s="9" t="n">
        <v>23108</v>
      </c>
      <c r="F345" s="9" t="n">
        <v>60306</v>
      </c>
      <c r="G345" s="8">
        <f>RANK(F345,$F$5:$F$1561)</f>
        <v/>
      </c>
      <c r="H345" s="8" t="inlineStr"/>
      <c r="I345" s="9">
        <f>IF(D345="Private",E345,"")</f>
        <v/>
      </c>
      <c r="J345" s="9">
        <f>IF(D345="Private",F345,"")</f>
        <v/>
      </c>
    </row>
    <row r="346">
      <c r="A346" s="8" t="inlineStr">
        <is>
          <t>University of Mary Washington</t>
        </is>
      </c>
      <c r="B346" s="8" t="inlineStr">
        <is>
          <t>Fredericksburg</t>
        </is>
      </c>
      <c r="C346" s="8" t="inlineStr">
        <is>
          <t>VA</t>
        </is>
      </c>
      <c r="D346" s="8" t="inlineStr">
        <is>
          <t>Public</t>
        </is>
      </c>
      <c r="E346" s="9" t="n">
        <v>22547</v>
      </c>
      <c r="F346" s="9" t="n">
        <v>60281</v>
      </c>
      <c r="G346" s="8">
        <f>RANK(F346,$F$5:$F$1561)</f>
        <v/>
      </c>
      <c r="H346" s="8" t="inlineStr"/>
      <c r="I346" s="9">
        <f>IF(D346="Private",E346,"")</f>
        <v/>
      </c>
      <c r="J346" s="9">
        <f>IF(D346="Private",F346,"")</f>
        <v/>
      </c>
    </row>
    <row r="347">
      <c r="A347" s="8" t="inlineStr">
        <is>
          <t>St. Joseph's University-New York</t>
        </is>
      </c>
      <c r="B347" s="8" t="inlineStr">
        <is>
          <t>Brooklyn</t>
        </is>
      </c>
      <c r="C347" s="8" t="inlineStr">
        <is>
          <t>NY</t>
        </is>
      </c>
      <c r="D347" s="8" t="inlineStr">
        <is>
          <t>Private</t>
        </is>
      </c>
      <c r="E347" s="9" t="n">
        <v>15992</v>
      </c>
      <c r="F347" s="9" t="n">
        <v>60260</v>
      </c>
      <c r="G347" s="8">
        <f>RANK(F347,$F$5:$F$1561)</f>
        <v/>
      </c>
      <c r="H347" s="8" t="inlineStr"/>
      <c r="I347" s="9">
        <f>IF(D347="Private",E347,"")</f>
        <v/>
      </c>
      <c r="J347" s="9">
        <f>IF(D347="Private",F347,"")</f>
        <v/>
      </c>
    </row>
    <row r="348">
      <c r="A348" s="8" t="inlineStr">
        <is>
          <t>Dominican University New York</t>
        </is>
      </c>
      <c r="B348" s="8" t="inlineStr">
        <is>
          <t>Orangeburg</t>
        </is>
      </c>
      <c r="C348" s="8" t="inlineStr">
        <is>
          <t>NY</t>
        </is>
      </c>
      <c r="D348" s="8" t="inlineStr">
        <is>
          <t>Private</t>
        </is>
      </c>
      <c r="E348" s="9" t="n">
        <v>21627</v>
      </c>
      <c r="F348" s="9" t="n">
        <v>60238</v>
      </c>
      <c r="G348" s="8">
        <f>RANK(F348,$F$5:$F$1561)</f>
        <v/>
      </c>
      <c r="H348" s="8" t="inlineStr"/>
      <c r="I348" s="9">
        <f>IF(D348="Private",E348,"")</f>
        <v/>
      </c>
      <c r="J348" s="9">
        <f>IF(D348="Private",F348,"")</f>
        <v/>
      </c>
    </row>
    <row r="349">
      <c r="A349" s="8" t="inlineStr">
        <is>
          <t>Saint Martin's University</t>
        </is>
      </c>
      <c r="B349" s="8" t="inlineStr">
        <is>
          <t>Lacey</t>
        </is>
      </c>
      <c r="C349" s="8" t="inlineStr">
        <is>
          <t>WA</t>
        </is>
      </c>
      <c r="D349" s="8" t="inlineStr">
        <is>
          <t>Private</t>
        </is>
      </c>
      <c r="E349" s="9" t="n">
        <v>21312</v>
      </c>
      <c r="F349" s="9" t="n">
        <v>60191</v>
      </c>
      <c r="G349" s="8">
        <f>RANK(F349,$F$5:$F$1561)</f>
        <v/>
      </c>
      <c r="H349" s="8" t="inlineStr"/>
      <c r="I349" s="9">
        <f>IF(D349="Private",E349,"")</f>
        <v/>
      </c>
      <c r="J349" s="9">
        <f>IF(D349="Private",F349,"")</f>
        <v/>
      </c>
    </row>
    <row r="350">
      <c r="A350" s="8" t="inlineStr">
        <is>
          <t>Le Moyne College</t>
        </is>
      </c>
      <c r="B350" s="8" t="inlineStr">
        <is>
          <t>Syracuse</t>
        </is>
      </c>
      <c r="C350" s="8" t="inlineStr">
        <is>
          <t>NY</t>
        </is>
      </c>
      <c r="D350" s="8" t="inlineStr">
        <is>
          <t>Private</t>
        </is>
      </c>
      <c r="E350" s="9" t="n">
        <v>23974</v>
      </c>
      <c r="F350" s="9" t="n">
        <v>60174</v>
      </c>
      <c r="G350" s="8">
        <f>RANK(F350,$F$5:$F$1561)</f>
        <v/>
      </c>
      <c r="H350" s="8" t="inlineStr"/>
      <c r="I350" s="9">
        <f>IF(D350="Private",E350,"")</f>
        <v/>
      </c>
      <c r="J350" s="9">
        <f>IF(D350="Private",F350,"")</f>
        <v/>
      </c>
    </row>
    <row r="351">
      <c r="A351" s="8" t="inlineStr">
        <is>
          <t>SUNY College at Geneseo</t>
        </is>
      </c>
      <c r="B351" s="8" t="inlineStr">
        <is>
          <t>Geneseo</t>
        </is>
      </c>
      <c r="C351" s="8" t="inlineStr">
        <is>
          <t>NY</t>
        </is>
      </c>
      <c r="D351" s="8" t="inlineStr">
        <is>
          <t>Public</t>
        </is>
      </c>
      <c r="E351" s="9" t="n">
        <v>19345</v>
      </c>
      <c r="F351" s="9" t="n">
        <v>60136</v>
      </c>
      <c r="G351" s="8">
        <f>RANK(F351,$F$5:$F$1561)</f>
        <v/>
      </c>
      <c r="H351" s="8" t="inlineStr"/>
      <c r="I351" s="9">
        <f>IF(D351="Private",E351,"")</f>
        <v/>
      </c>
      <c r="J351" s="9">
        <f>IF(D351="Private",F351,"")</f>
        <v/>
      </c>
    </row>
    <row r="352">
      <c r="A352" s="8" t="inlineStr">
        <is>
          <t>University of Colorado Denver/Anschutz Medical Campus</t>
        </is>
      </c>
      <c r="B352" s="8" t="inlineStr">
        <is>
          <t>Denver</t>
        </is>
      </c>
      <c r="C352" s="8" t="inlineStr">
        <is>
          <t>CO</t>
        </is>
      </c>
      <c r="D352" s="8" t="inlineStr">
        <is>
          <t>Public</t>
        </is>
      </c>
      <c r="E352" s="9" t="n">
        <v>13322</v>
      </c>
      <c r="F352" s="9" t="n">
        <v>60077</v>
      </c>
      <c r="G352" s="8">
        <f>RANK(F352,$F$5:$F$1561)</f>
        <v/>
      </c>
      <c r="H352" s="8" t="inlineStr"/>
      <c r="I352" s="9">
        <f>IF(D352="Private",E352,"")</f>
        <v/>
      </c>
      <c r="J352" s="9">
        <f>IF(D352="Private",F352,"")</f>
        <v/>
      </c>
    </row>
    <row r="353">
      <c r="A353" s="8" t="inlineStr">
        <is>
          <t>Whittier College</t>
        </is>
      </c>
      <c r="B353" s="8" t="inlineStr">
        <is>
          <t>Whittier</t>
        </is>
      </c>
      <c r="C353" s="8" t="inlineStr">
        <is>
          <t>CA</t>
        </is>
      </c>
      <c r="D353" s="8" t="inlineStr">
        <is>
          <t>Private</t>
        </is>
      </c>
      <c r="E353" s="9" t="n">
        <v>19774</v>
      </c>
      <c r="F353" s="9" t="n">
        <v>60015</v>
      </c>
      <c r="G353" s="8">
        <f>RANK(F353,$F$5:$F$1561)</f>
        <v/>
      </c>
      <c r="H353" s="8" t="inlineStr"/>
      <c r="I353" s="9">
        <f>IF(D353="Private",E353,"")</f>
        <v/>
      </c>
      <c r="J353" s="9">
        <f>IF(D353="Private",F353,"")</f>
        <v/>
      </c>
    </row>
    <row r="354">
      <c r="A354" s="8" t="inlineStr">
        <is>
          <t>Wheaton College</t>
        </is>
      </c>
      <c r="B354" s="8" t="inlineStr">
        <is>
          <t>Wheaton</t>
        </is>
      </c>
      <c r="C354" s="8" t="inlineStr">
        <is>
          <t>IL</t>
        </is>
      </c>
      <c r="D354" s="8" t="inlineStr">
        <is>
          <t>Private</t>
        </is>
      </c>
      <c r="E354" s="9" t="n">
        <v>25287</v>
      </c>
      <c r="F354" s="9" t="n">
        <v>60007</v>
      </c>
      <c r="G354" s="8">
        <f>RANK(F354,$F$5:$F$1561)</f>
        <v/>
      </c>
      <c r="H354" s="8" t="inlineStr"/>
      <c r="I354" s="9">
        <f>IF(D354="Private",E354,"")</f>
        <v/>
      </c>
      <c r="J354" s="9">
        <f>IF(D354="Private",F354,"")</f>
        <v/>
      </c>
    </row>
    <row r="355">
      <c r="A355" s="8" t="inlineStr">
        <is>
          <t>Susquehanna University</t>
        </is>
      </c>
      <c r="B355" s="8" t="inlineStr">
        <is>
          <t>Selinsgrove</t>
        </is>
      </c>
      <c r="C355" s="8" t="inlineStr">
        <is>
          <t>PA</t>
        </is>
      </c>
      <c r="D355" s="8" t="inlineStr">
        <is>
          <t>Private</t>
        </is>
      </c>
      <c r="E355" s="9" t="n">
        <v>26829</v>
      </c>
      <c r="F355" s="9" t="n">
        <v>59894</v>
      </c>
      <c r="G355" s="8">
        <f>RANK(F355,$F$5:$F$1561)</f>
        <v/>
      </c>
      <c r="H355" s="8" t="inlineStr"/>
      <c r="I355" s="9">
        <f>IF(D355="Private",E355,"")</f>
        <v/>
      </c>
      <c r="J355" s="9">
        <f>IF(D355="Private",F355,"")</f>
        <v/>
      </c>
    </row>
    <row r="356">
      <c r="A356" s="8" t="inlineStr">
        <is>
          <t>Concordia University-Irvine</t>
        </is>
      </c>
      <c r="B356" s="8" t="inlineStr">
        <is>
          <t>Irvine</t>
        </is>
      </c>
      <c r="C356" s="8" t="inlineStr">
        <is>
          <t>CA</t>
        </is>
      </c>
      <c r="D356" s="8" t="inlineStr">
        <is>
          <t>Private</t>
        </is>
      </c>
      <c r="E356" s="9" t="n">
        <v>24483</v>
      </c>
      <c r="F356" s="9" t="n">
        <v>59831</v>
      </c>
      <c r="G356" s="8">
        <f>RANK(F356,$F$5:$F$1561)</f>
        <v/>
      </c>
      <c r="H356" s="8" t="inlineStr"/>
      <c r="I356" s="9">
        <f>IF(D356="Private",E356,"")</f>
        <v/>
      </c>
      <c r="J356" s="9">
        <f>IF(D356="Private",F356,"")</f>
        <v/>
      </c>
    </row>
    <row r="357">
      <c r="A357" s="8" t="inlineStr">
        <is>
          <t>University of Maryland Global Campus</t>
        </is>
      </c>
      <c r="B357" s="8" t="inlineStr">
        <is>
          <t>Adelphi</t>
        </is>
      </c>
      <c r="C357" s="8" t="inlineStr">
        <is>
          <t>MD</t>
        </is>
      </c>
      <c r="D357" s="8" t="inlineStr">
        <is>
          <t>Public</t>
        </is>
      </c>
      <c r="E357" s="9" t="n">
        <v>15635</v>
      </c>
      <c r="F357" s="9" t="n">
        <v>59823</v>
      </c>
      <c r="G357" s="8">
        <f>RANK(F357,$F$5:$F$1561)</f>
        <v/>
      </c>
      <c r="H357" s="8" t="inlineStr"/>
      <c r="I357" s="9">
        <f>IF(D357="Private",E357,"")</f>
        <v/>
      </c>
      <c r="J357" s="9">
        <f>IF(D357="Private",F357,"")</f>
        <v/>
      </c>
    </row>
    <row r="358">
      <c r="A358" s="8" t="inlineStr">
        <is>
          <t>Tulane University of Louisiana</t>
        </is>
      </c>
      <c r="B358" s="8" t="inlineStr">
        <is>
          <t>New Orleans</t>
        </is>
      </c>
      <c r="C358" s="8" t="inlineStr">
        <is>
          <t>LA</t>
        </is>
      </c>
      <c r="D358" s="8" t="inlineStr">
        <is>
          <t>Private</t>
        </is>
      </c>
      <c r="E358" s="9" t="n">
        <v>42217</v>
      </c>
      <c r="F358" s="9" t="n">
        <v>59812</v>
      </c>
      <c r="G358" s="8">
        <f>RANK(F358,$F$5:$F$1561)</f>
        <v/>
      </c>
      <c r="H358" s="8" t="inlineStr"/>
      <c r="I358" s="9">
        <f>IF(D358="Private",E358,"")</f>
        <v/>
      </c>
      <c r="J358" s="9">
        <f>IF(D358="Private",F358,"")</f>
        <v/>
      </c>
    </row>
    <row r="359">
      <c r="A359" s="8" t="inlineStr">
        <is>
          <t>University of Arizona</t>
        </is>
      </c>
      <c r="B359" s="8" t="inlineStr">
        <is>
          <t>Tucson</t>
        </is>
      </c>
      <c r="C359" s="8" t="inlineStr">
        <is>
          <t>AZ</t>
        </is>
      </c>
      <c r="D359" s="8" t="inlineStr">
        <is>
          <t>Public</t>
        </is>
      </c>
      <c r="E359" s="9" t="n">
        <v>15601</v>
      </c>
      <c r="F359" s="9" t="n">
        <v>59805</v>
      </c>
      <c r="G359" s="8">
        <f>RANK(F359,$F$5:$F$1561)</f>
        <v/>
      </c>
      <c r="H359" s="8" t="inlineStr"/>
      <c r="I359" s="9">
        <f>IF(D359="Private",E359,"")</f>
        <v/>
      </c>
      <c r="J359" s="9">
        <f>IF(D359="Private",F359,"")</f>
        <v/>
      </c>
    </row>
    <row r="360">
      <c r="A360" s="8" t="inlineStr">
        <is>
          <t>Austin College</t>
        </is>
      </c>
      <c r="B360" s="8" t="inlineStr">
        <is>
          <t>Sherman</t>
        </is>
      </c>
      <c r="C360" s="8" t="inlineStr">
        <is>
          <t>TX</t>
        </is>
      </c>
      <c r="D360" s="8" t="inlineStr">
        <is>
          <t>Private</t>
        </is>
      </c>
      <c r="E360" s="9" t="n">
        <v>22677</v>
      </c>
      <c r="F360" s="9" t="n">
        <v>59728</v>
      </c>
      <c r="G360" s="8">
        <f>RANK(F360,$F$5:$F$1561)</f>
        <v/>
      </c>
      <c r="H360" s="8" t="inlineStr"/>
      <c r="I360" s="9">
        <f>IF(D360="Private",E360,"")</f>
        <v/>
      </c>
      <c r="J360" s="9">
        <f>IF(D360="Private",F360,"")</f>
        <v/>
      </c>
    </row>
    <row r="361">
      <c r="A361" s="8" t="inlineStr">
        <is>
          <t>Fashion Institute of Technology</t>
        </is>
      </c>
      <c r="B361" s="8" t="inlineStr">
        <is>
          <t>New York</t>
        </is>
      </c>
      <c r="C361" s="8" t="inlineStr">
        <is>
          <t>NY</t>
        </is>
      </c>
      <c r="D361" s="8" t="inlineStr">
        <is>
          <t>Public</t>
        </is>
      </c>
      <c r="E361" s="9" t="n">
        <v>8985</v>
      </c>
      <c r="F361" s="9" t="n">
        <v>59652</v>
      </c>
      <c r="G361" s="8">
        <f>RANK(F361,$F$5:$F$1561)</f>
        <v/>
      </c>
      <c r="H361" s="8" t="inlineStr"/>
      <c r="I361" s="9">
        <f>IF(D361="Private",E361,"")</f>
        <v/>
      </c>
      <c r="J361" s="9">
        <f>IF(D361="Private",F361,"")</f>
        <v/>
      </c>
    </row>
    <row r="362">
      <c r="A362" s="8" t="inlineStr">
        <is>
          <t>University of Oklahoma-Norman Campus</t>
        </is>
      </c>
      <c r="B362" s="8" t="inlineStr">
        <is>
          <t>Norman</t>
        </is>
      </c>
      <c r="C362" s="8" t="inlineStr">
        <is>
          <t>OK</t>
        </is>
      </c>
      <c r="D362" s="8" t="inlineStr">
        <is>
          <t>Public</t>
        </is>
      </c>
      <c r="E362" s="9" t="n">
        <v>19867</v>
      </c>
      <c r="F362" s="9" t="n">
        <v>59648</v>
      </c>
      <c r="G362" s="8">
        <f>RANK(F362,$F$5:$F$1561)</f>
        <v/>
      </c>
      <c r="H362" s="8" t="inlineStr"/>
      <c r="I362" s="9">
        <f>IF(D362="Private",E362,"")</f>
        <v/>
      </c>
      <c r="J362" s="9">
        <f>IF(D362="Private",F362,"")</f>
        <v/>
      </c>
    </row>
    <row r="363">
      <c r="A363" s="8" t="inlineStr">
        <is>
          <t>Willamette University</t>
        </is>
      </c>
      <c r="B363" s="8" t="inlineStr">
        <is>
          <t>Salem</t>
        </is>
      </c>
      <c r="C363" s="8" t="inlineStr">
        <is>
          <t>OR</t>
        </is>
      </c>
      <c r="D363" s="8" t="inlineStr">
        <is>
          <t>Private</t>
        </is>
      </c>
      <c r="E363" s="9" t="n">
        <v>32819</v>
      </c>
      <c r="F363" s="9" t="n">
        <v>59621</v>
      </c>
      <c r="G363" s="8">
        <f>RANK(F363,$F$5:$F$1561)</f>
        <v/>
      </c>
      <c r="H363" s="8" t="inlineStr"/>
      <c r="I363" s="9">
        <f>IF(D363="Private",E363,"")</f>
        <v/>
      </c>
      <c r="J363" s="9">
        <f>IF(D363="Private",F363,"")</f>
        <v/>
      </c>
    </row>
    <row r="364">
      <c r="A364" s="8" t="inlineStr">
        <is>
          <t>University of Houston</t>
        </is>
      </c>
      <c r="B364" s="8" t="inlineStr">
        <is>
          <t>Houston</t>
        </is>
      </c>
      <c r="C364" s="8" t="inlineStr">
        <is>
          <t>TX</t>
        </is>
      </c>
      <c r="D364" s="8" t="inlineStr">
        <is>
          <t>Public</t>
        </is>
      </c>
      <c r="E364" s="9" t="n">
        <v>13798</v>
      </c>
      <c r="F364" s="9" t="n">
        <v>59580</v>
      </c>
      <c r="G364" s="8">
        <f>RANK(F364,$F$5:$F$1561)</f>
        <v/>
      </c>
      <c r="H364" s="8" t="inlineStr"/>
      <c r="I364" s="9">
        <f>IF(D364="Private",E364,"")</f>
        <v/>
      </c>
      <c r="J364" s="9">
        <f>IF(D364="Private",F364,"")</f>
        <v/>
      </c>
    </row>
    <row r="365">
      <c r="A365" s="8" t="inlineStr">
        <is>
          <t>The University of the South</t>
        </is>
      </c>
      <c r="B365" s="8" t="inlineStr">
        <is>
          <t>Sewanee</t>
        </is>
      </c>
      <c r="C365" s="8" t="inlineStr">
        <is>
          <t>TN</t>
        </is>
      </c>
      <c r="D365" s="8" t="inlineStr">
        <is>
          <t>Private</t>
        </is>
      </c>
      <c r="E365" s="9" t="n">
        <v>27958</v>
      </c>
      <c r="F365" s="9" t="n">
        <v>59529</v>
      </c>
      <c r="G365" s="8">
        <f>RANK(F365,$F$5:$F$1561)</f>
        <v/>
      </c>
      <c r="H365" s="8" t="inlineStr"/>
      <c r="I365" s="9">
        <f>IF(D365="Private",E365,"")</f>
        <v/>
      </c>
      <c r="J365" s="9">
        <f>IF(D365="Private",F365,"")</f>
        <v/>
      </c>
    </row>
    <row r="366">
      <c r="A366" s="8" t="inlineStr">
        <is>
          <t>Misericordia University</t>
        </is>
      </c>
      <c r="B366" s="8" t="inlineStr">
        <is>
          <t>Dallas</t>
        </is>
      </c>
      <c r="C366" s="8" t="inlineStr">
        <is>
          <t>PA</t>
        </is>
      </c>
      <c r="D366" s="8" t="inlineStr">
        <is>
          <t>Private</t>
        </is>
      </c>
      <c r="E366" s="9" t="n">
        <v>26445</v>
      </c>
      <c r="F366" s="9" t="n">
        <v>59518</v>
      </c>
      <c r="G366" s="8">
        <f>RANK(F366,$F$5:$F$1561)</f>
        <v/>
      </c>
      <c r="H366" s="8" t="inlineStr"/>
      <c r="I366" s="9">
        <f>IF(D366="Private",E366,"")</f>
        <v/>
      </c>
      <c r="J366" s="9">
        <f>IF(D366="Private",F366,"")</f>
        <v/>
      </c>
    </row>
    <row r="367">
      <c r="A367" s="8" t="inlineStr">
        <is>
          <t>Worcester State University</t>
        </is>
      </c>
      <c r="B367" s="8" t="inlineStr">
        <is>
          <t>Worcester</t>
        </is>
      </c>
      <c r="C367" s="8" t="inlineStr">
        <is>
          <t>MA</t>
        </is>
      </c>
      <c r="D367" s="8" t="inlineStr">
        <is>
          <t>Public</t>
        </is>
      </c>
      <c r="E367" s="9" t="n">
        <v>13627</v>
      </c>
      <c r="F367" s="9" t="n">
        <v>59518</v>
      </c>
      <c r="G367" s="8">
        <f>RANK(F367,$F$5:$F$1561)</f>
        <v/>
      </c>
      <c r="H367" s="8" t="inlineStr"/>
      <c r="I367" s="9">
        <f>IF(D367="Private",E367,"")</f>
        <v/>
      </c>
      <c r="J367" s="9">
        <f>IF(D367="Private",F367,"")</f>
        <v/>
      </c>
    </row>
    <row r="368">
      <c r="A368" s="8" t="inlineStr">
        <is>
          <t>California State University-San Marcos</t>
        </is>
      </c>
      <c r="B368" s="8" t="inlineStr">
        <is>
          <t>San Marcos</t>
        </is>
      </c>
      <c r="C368" s="8" t="inlineStr">
        <is>
          <t>CA</t>
        </is>
      </c>
      <c r="D368" s="8" t="inlineStr">
        <is>
          <t>Public</t>
        </is>
      </c>
      <c r="E368" s="9" t="n">
        <v>14048</v>
      </c>
      <c r="F368" s="9" t="n">
        <v>59495</v>
      </c>
      <c r="G368" s="8">
        <f>RANK(F368,$F$5:$F$1561)</f>
        <v/>
      </c>
      <c r="H368" s="8" t="inlineStr"/>
      <c r="I368" s="9">
        <f>IF(D368="Private",E368,"")</f>
        <v/>
      </c>
      <c r="J368" s="9">
        <f>IF(D368="Private",F368,"")</f>
        <v/>
      </c>
    </row>
    <row r="369">
      <c r="A369" s="8" t="inlineStr">
        <is>
          <t>Louisiana State University and Agricultural &amp; Mechanical College</t>
        </is>
      </c>
      <c r="B369" s="8" t="inlineStr">
        <is>
          <t>Baton Rouge</t>
        </is>
      </c>
      <c r="C369" s="8" t="inlineStr">
        <is>
          <t>LA</t>
        </is>
      </c>
      <c r="D369" s="8" t="inlineStr">
        <is>
          <t>Public</t>
        </is>
      </c>
      <c r="E369" s="9" t="n">
        <v>18300</v>
      </c>
      <c r="F369" s="9" t="n">
        <v>59454</v>
      </c>
      <c r="G369" s="8">
        <f>RANK(F369,$F$5:$F$1561)</f>
        <v/>
      </c>
      <c r="H369" s="8" t="inlineStr"/>
      <c r="I369" s="9">
        <f>IF(D369="Private",E369,"")</f>
        <v/>
      </c>
      <c r="J369" s="9">
        <f>IF(D369="Private",F369,"")</f>
        <v/>
      </c>
    </row>
    <row r="370">
      <c r="A370" s="8" t="inlineStr">
        <is>
          <t>Howard University</t>
        </is>
      </c>
      <c r="B370" s="8" t="inlineStr">
        <is>
          <t>Washington</t>
        </is>
      </c>
      <c r="C370" s="8" t="inlineStr">
        <is>
          <t>DC</t>
        </is>
      </c>
      <c r="D370" s="8" t="inlineStr">
        <is>
          <t>Private</t>
        </is>
      </c>
      <c r="E370" s="9" t="n">
        <v>45837</v>
      </c>
      <c r="F370" s="9" t="n">
        <v>59441</v>
      </c>
      <c r="G370" s="8">
        <f>RANK(F370,$F$5:$F$1561)</f>
        <v/>
      </c>
      <c r="H370" s="8" t="inlineStr"/>
      <c r="I370" s="9">
        <f>IF(D370="Private",E370,"")</f>
        <v/>
      </c>
      <c r="J370" s="9">
        <f>IF(D370="Private",F370,"")</f>
        <v/>
      </c>
    </row>
    <row r="371">
      <c r="A371" s="8" t="inlineStr">
        <is>
          <t>Saint Mary's College</t>
        </is>
      </c>
      <c r="B371" s="8" t="inlineStr">
        <is>
          <t>Notre Dame</t>
        </is>
      </c>
      <c r="C371" s="8" t="inlineStr">
        <is>
          <t>IN</t>
        </is>
      </c>
      <c r="D371" s="8" t="inlineStr">
        <is>
          <t>Private</t>
        </is>
      </c>
      <c r="E371" s="9" t="n">
        <v>24335</v>
      </c>
      <c r="F371" s="9" t="n">
        <v>59312</v>
      </c>
      <c r="G371" s="8">
        <f>RANK(F371,$F$5:$F$1561)</f>
        <v/>
      </c>
      <c r="H371" s="8" t="inlineStr"/>
      <c r="I371" s="9">
        <f>IF(D371="Private",E371,"")</f>
        <v/>
      </c>
      <c r="J371" s="9">
        <f>IF(D371="Private",F371,"")</f>
        <v/>
      </c>
    </row>
    <row r="372">
      <c r="A372" s="8" t="inlineStr">
        <is>
          <t>Thomas More University</t>
        </is>
      </c>
      <c r="B372" s="8" t="inlineStr">
        <is>
          <t>Crestview Hills</t>
        </is>
      </c>
      <c r="C372" s="8" t="inlineStr">
        <is>
          <t>KY</t>
        </is>
      </c>
      <c r="D372" s="8" t="inlineStr">
        <is>
          <t>Private</t>
        </is>
      </c>
      <c r="E372" s="9" t="n">
        <v>19025</v>
      </c>
      <c r="F372" s="9" t="n">
        <v>59294</v>
      </c>
      <c r="G372" s="8">
        <f>RANK(F372,$F$5:$F$1561)</f>
        <v/>
      </c>
      <c r="H372" s="8" t="inlineStr"/>
      <c r="I372" s="9">
        <f>IF(D372="Private",E372,"")</f>
        <v/>
      </c>
      <c r="J372" s="9">
        <f>IF(D372="Private",F372,"")</f>
        <v/>
      </c>
    </row>
    <row r="373">
      <c r="A373" s="8" t="inlineStr">
        <is>
          <t>Central Washington University</t>
        </is>
      </c>
      <c r="B373" s="8" t="inlineStr">
        <is>
          <t>Ellensburg</t>
        </is>
      </c>
      <c r="C373" s="8" t="inlineStr">
        <is>
          <t>WA</t>
        </is>
      </c>
      <c r="D373" s="8" t="inlineStr">
        <is>
          <t>Public</t>
        </is>
      </c>
      <c r="E373" s="9" t="n">
        <v>17234</v>
      </c>
      <c r="F373" s="9" t="n">
        <v>59283</v>
      </c>
      <c r="G373" s="8">
        <f>RANK(F373,$F$5:$F$1561)</f>
        <v/>
      </c>
      <c r="H373" s="8" t="inlineStr"/>
      <c r="I373" s="9">
        <f>IF(D373="Private",E373,"")</f>
        <v/>
      </c>
      <c r="J373" s="9">
        <f>IF(D373="Private",F373,"")</f>
        <v/>
      </c>
    </row>
    <row r="374">
      <c r="A374" s="8" t="inlineStr">
        <is>
          <t>Rider University</t>
        </is>
      </c>
      <c r="B374" s="8" t="inlineStr">
        <is>
          <t>Lawrenceville</t>
        </is>
      </c>
      <c r="C374" s="8" t="inlineStr">
        <is>
          <t>NJ</t>
        </is>
      </c>
      <c r="D374" s="8" t="inlineStr">
        <is>
          <t>Private</t>
        </is>
      </c>
      <c r="E374" s="9" t="n">
        <v>22316</v>
      </c>
      <c r="F374" s="9" t="n">
        <v>59215</v>
      </c>
      <c r="G374" s="8">
        <f>RANK(F374,$F$5:$F$1561)</f>
        <v/>
      </c>
      <c r="H374" s="8" t="inlineStr"/>
      <c r="I374" s="9">
        <f>IF(D374="Private",E374,"")</f>
        <v/>
      </c>
      <c r="J374" s="9">
        <f>IF(D374="Private",F374,"")</f>
        <v/>
      </c>
    </row>
    <row r="375">
      <c r="A375" s="8" t="inlineStr">
        <is>
          <t>William Jewell College</t>
        </is>
      </c>
      <c r="B375" s="8" t="inlineStr">
        <is>
          <t>Liberty</t>
        </is>
      </c>
      <c r="C375" s="8" t="inlineStr">
        <is>
          <t>MO</t>
        </is>
      </c>
      <c r="D375" s="8" t="inlineStr">
        <is>
          <t>Private</t>
        </is>
      </c>
      <c r="E375" s="9" t="n">
        <v>20289</v>
      </c>
      <c r="F375" s="9" t="n">
        <v>59207</v>
      </c>
      <c r="G375" s="8">
        <f>RANK(F375,$F$5:$F$1561)</f>
        <v/>
      </c>
      <c r="H375" s="8" t="inlineStr"/>
      <c r="I375" s="9">
        <f>IF(D375="Private",E375,"")</f>
        <v/>
      </c>
      <c r="J375" s="9">
        <f>IF(D375="Private",F375,"")</f>
        <v/>
      </c>
    </row>
    <row r="376">
      <c r="A376" s="8" t="inlineStr">
        <is>
          <t>University of Nevada-Reno</t>
        </is>
      </c>
      <c r="B376" s="8" t="inlineStr">
        <is>
          <t>Reno</t>
        </is>
      </c>
      <c r="C376" s="8" t="inlineStr">
        <is>
          <t>NV</t>
        </is>
      </c>
      <c r="D376" s="8" t="inlineStr">
        <is>
          <t>Public</t>
        </is>
      </c>
      <c r="E376" s="9" t="n">
        <v>14953</v>
      </c>
      <c r="F376" s="9" t="n">
        <v>59167</v>
      </c>
      <c r="G376" s="8">
        <f>RANK(F376,$F$5:$F$1561)</f>
        <v/>
      </c>
      <c r="H376" s="8" t="inlineStr"/>
      <c r="I376" s="9">
        <f>IF(D376="Private",E376,"")</f>
        <v/>
      </c>
      <c r="J376" s="9">
        <f>IF(D376="Private",F376,"")</f>
        <v/>
      </c>
    </row>
    <row r="377">
      <c r="A377" s="8" t="inlineStr">
        <is>
          <t>University of Minnesota-Duluth</t>
        </is>
      </c>
      <c r="B377" s="8" t="inlineStr">
        <is>
          <t>Duluth</t>
        </is>
      </c>
      <c r="C377" s="8" t="inlineStr">
        <is>
          <t>MN</t>
        </is>
      </c>
      <c r="D377" s="8" t="inlineStr">
        <is>
          <t>Public</t>
        </is>
      </c>
      <c r="E377" s="9" t="n">
        <v>17313</v>
      </c>
      <c r="F377" s="9" t="n">
        <v>59144</v>
      </c>
      <c r="G377" s="8">
        <f>RANK(F377,$F$5:$F$1561)</f>
        <v/>
      </c>
      <c r="H377" s="8" t="inlineStr"/>
      <c r="I377" s="9">
        <f>IF(D377="Private",E377,"")</f>
        <v/>
      </c>
      <c r="J377" s="9">
        <f>IF(D377="Private",F377,"")</f>
        <v/>
      </c>
    </row>
    <row r="378">
      <c r="A378" s="8" t="inlineStr">
        <is>
          <t>Western Washington University</t>
        </is>
      </c>
      <c r="B378" s="8" t="inlineStr">
        <is>
          <t>Bellingham</t>
        </is>
      </c>
      <c r="C378" s="8" t="inlineStr">
        <is>
          <t>WA</t>
        </is>
      </c>
      <c r="D378" s="8" t="inlineStr">
        <is>
          <t>Public</t>
        </is>
      </c>
      <c r="E378" s="9" t="n">
        <v>9717</v>
      </c>
      <c r="F378" s="9" t="n">
        <v>59142</v>
      </c>
      <c r="G378" s="8">
        <f>RANK(F378,$F$5:$F$1561)</f>
        <v/>
      </c>
      <c r="H378" s="8" t="inlineStr"/>
      <c r="I378" s="9">
        <f>IF(D378="Private",E378,"")</f>
        <v/>
      </c>
      <c r="J378" s="9">
        <f>IF(D378="Private",F378,"")</f>
        <v/>
      </c>
    </row>
    <row r="379">
      <c r="A379" s="8" t="inlineStr">
        <is>
          <t>Juniata College</t>
        </is>
      </c>
      <c r="B379" s="8" t="inlineStr">
        <is>
          <t>Huntingdon</t>
        </is>
      </c>
      <c r="C379" s="8" t="inlineStr">
        <is>
          <t>PA</t>
        </is>
      </c>
      <c r="D379" s="8" t="inlineStr">
        <is>
          <t>Private</t>
        </is>
      </c>
      <c r="E379" s="9" t="n">
        <v>28794</v>
      </c>
      <c r="F379" s="9" t="n">
        <v>59092</v>
      </c>
      <c r="G379" s="8">
        <f>RANK(F379,$F$5:$F$1561)</f>
        <v/>
      </c>
      <c r="H379" s="8" t="inlineStr"/>
      <c r="I379" s="9">
        <f>IF(D379="Private",E379,"")</f>
        <v/>
      </c>
      <c r="J379" s="9">
        <f>IF(D379="Private",F379,"")</f>
        <v/>
      </c>
    </row>
    <row r="380">
      <c r="A380" s="8" t="inlineStr">
        <is>
          <t>University of Massachusetts-Boston</t>
        </is>
      </c>
      <c r="B380" s="8" t="inlineStr">
        <is>
          <t>Boston</t>
        </is>
      </c>
      <c r="C380" s="8" t="inlineStr">
        <is>
          <t>MA</t>
        </is>
      </c>
      <c r="D380" s="8" t="inlineStr">
        <is>
          <t>Public</t>
        </is>
      </c>
      <c r="E380" s="9" t="n">
        <v>17817</v>
      </c>
      <c r="F380" s="9" t="n">
        <v>59044</v>
      </c>
      <c r="G380" s="8">
        <f>RANK(F380,$F$5:$F$1561)</f>
        <v/>
      </c>
      <c r="H380" s="8" t="inlineStr"/>
      <c r="I380" s="9">
        <f>IF(D380="Private",E380,"")</f>
        <v/>
      </c>
      <c r="J380" s="9">
        <f>IF(D380="Private",F380,"")</f>
        <v/>
      </c>
    </row>
    <row r="381">
      <c r="A381" s="8" t="inlineStr">
        <is>
          <t>University of Kansas</t>
        </is>
      </c>
      <c r="B381" s="8" t="inlineStr">
        <is>
          <t>Lawrence</t>
        </is>
      </c>
      <c r="C381" s="8" t="inlineStr">
        <is>
          <t>KS</t>
        </is>
      </c>
      <c r="D381" s="8" t="inlineStr">
        <is>
          <t>Public</t>
        </is>
      </c>
      <c r="E381" s="9" t="n">
        <v>18709</v>
      </c>
      <c r="F381" s="9" t="n">
        <v>58993</v>
      </c>
      <c r="G381" s="8">
        <f>RANK(F381,$F$5:$F$1561)</f>
        <v/>
      </c>
      <c r="H381" s="8" t="inlineStr"/>
      <c r="I381" s="9">
        <f>IF(D381="Private",E381,"")</f>
        <v/>
      </c>
      <c r="J381" s="9">
        <f>IF(D381="Private",F381,"")</f>
        <v/>
      </c>
    </row>
    <row r="382">
      <c r="A382" s="8" t="inlineStr">
        <is>
          <t>Woodbury University</t>
        </is>
      </c>
      <c r="B382" s="8" t="inlineStr">
        <is>
          <t>Burbank</t>
        </is>
      </c>
      <c r="C382" s="8" t="inlineStr">
        <is>
          <t>CA</t>
        </is>
      </c>
      <c r="D382" s="8" t="inlineStr">
        <is>
          <t>Private</t>
        </is>
      </c>
      <c r="E382" s="9" t="n">
        <v>30117</v>
      </c>
      <c r="F382" s="9" t="n">
        <v>58971</v>
      </c>
      <c r="G382" s="8">
        <f>RANK(F382,$F$5:$F$1561)</f>
        <v/>
      </c>
      <c r="H382" s="8" t="inlineStr"/>
      <c r="I382" s="9">
        <f>IF(D382="Private",E382,"")</f>
        <v/>
      </c>
      <c r="J382" s="9">
        <f>IF(D382="Private",F382,"")</f>
        <v/>
      </c>
    </row>
    <row r="383">
      <c r="A383" s="8" t="inlineStr">
        <is>
          <t>Arizona State University Campus Immersion</t>
        </is>
      </c>
      <c r="B383" s="8" t="inlineStr">
        <is>
          <t>Tempe</t>
        </is>
      </c>
      <c r="C383" s="8" t="inlineStr">
        <is>
          <t>AZ</t>
        </is>
      </c>
      <c r="D383" s="8" t="inlineStr">
        <is>
          <t>Public</t>
        </is>
      </c>
      <c r="E383" s="9" t="n">
        <v>12814</v>
      </c>
      <c r="F383" s="9" t="n">
        <v>58967</v>
      </c>
      <c r="G383" s="8">
        <f>RANK(F383,$F$5:$F$1561)</f>
        <v/>
      </c>
      <c r="H383" s="8" t="inlineStr"/>
      <c r="I383" s="9">
        <f>IF(D383="Private",E383,"")</f>
        <v/>
      </c>
      <c r="J383" s="9">
        <f>IF(D383="Private",F383,"")</f>
        <v/>
      </c>
    </row>
    <row r="384">
      <c r="A384" s="8" t="inlineStr">
        <is>
          <t>North Dakota State University-Main Campus</t>
        </is>
      </c>
      <c r="B384" s="8" t="inlineStr">
        <is>
          <t>Fargo</t>
        </is>
      </c>
      <c r="C384" s="8" t="inlineStr">
        <is>
          <t>ND</t>
        </is>
      </c>
      <c r="D384" s="8" t="inlineStr">
        <is>
          <t>Public</t>
        </is>
      </c>
      <c r="E384" s="9" t="n">
        <v>17692</v>
      </c>
      <c r="F384" s="9" t="n">
        <v>58936</v>
      </c>
      <c r="G384" s="8">
        <f>RANK(F384,$F$5:$F$1561)</f>
        <v/>
      </c>
      <c r="H384" s="8" t="inlineStr"/>
      <c r="I384" s="9">
        <f>IF(D384="Private",E384,"")</f>
        <v/>
      </c>
      <c r="J384" s="9">
        <f>IF(D384="Private",F384,"")</f>
        <v/>
      </c>
    </row>
    <row r="385">
      <c r="A385" s="8" t="inlineStr">
        <is>
          <t>Smith College</t>
        </is>
      </c>
      <c r="B385" s="8" t="inlineStr">
        <is>
          <t>Northampton</t>
        </is>
      </c>
      <c r="C385" s="8" t="inlineStr">
        <is>
          <t>MA</t>
        </is>
      </c>
      <c r="D385" s="8" t="inlineStr">
        <is>
          <t>Private</t>
        </is>
      </c>
      <c r="E385" s="9" t="n">
        <v>29814</v>
      </c>
      <c r="F385" s="9" t="n">
        <v>58881</v>
      </c>
      <c r="G385" s="8">
        <f>RANK(F385,$F$5:$F$1561)</f>
        <v/>
      </c>
      <c r="H385" s="8" t="inlineStr"/>
      <c r="I385" s="9">
        <f>IF(D385="Private",E385,"")</f>
        <v/>
      </c>
      <c r="J385" s="9">
        <f>IF(D385="Private",F385,"")</f>
        <v/>
      </c>
    </row>
    <row r="386">
      <c r="A386" s="8" t="inlineStr">
        <is>
          <t>University of Baltimore</t>
        </is>
      </c>
      <c r="B386" s="8" t="inlineStr">
        <is>
          <t>Baltimore</t>
        </is>
      </c>
      <c r="C386" s="8" t="inlineStr">
        <is>
          <t>MD</t>
        </is>
      </c>
      <c r="D386" s="8" t="inlineStr">
        <is>
          <t>Public</t>
        </is>
      </c>
      <c r="E386" s="9" t="n">
        <v>16443</v>
      </c>
      <c r="F386" s="9" t="n">
        <v>58875</v>
      </c>
      <c r="G386" s="8">
        <f>RANK(F386,$F$5:$F$1561)</f>
        <v/>
      </c>
      <c r="H386" s="8" t="inlineStr"/>
      <c r="I386" s="9">
        <f>IF(D386="Private",E386,"")</f>
        <v/>
      </c>
      <c r="J386" s="9">
        <f>IF(D386="Private",F386,"")</f>
        <v/>
      </c>
    </row>
    <row r="387">
      <c r="A387" s="8" t="inlineStr">
        <is>
          <t>CUNY Hunter College</t>
        </is>
      </c>
      <c r="B387" s="8" t="inlineStr">
        <is>
          <t>New York</t>
        </is>
      </c>
      <c r="C387" s="8" t="inlineStr">
        <is>
          <t>NY</t>
        </is>
      </c>
      <c r="D387" s="8" t="inlineStr">
        <is>
          <t>Public</t>
        </is>
      </c>
      <c r="E387" s="9" t="n">
        <v>2124</v>
      </c>
      <c r="F387" s="9" t="n">
        <v>58822</v>
      </c>
      <c r="G387" s="8">
        <f>RANK(F387,$F$5:$F$1561)</f>
        <v/>
      </c>
      <c r="H387" s="8" t="inlineStr"/>
      <c r="I387" s="9">
        <f>IF(D387="Private",E387,"")</f>
        <v/>
      </c>
      <c r="J387" s="9">
        <f>IF(D387="Private",F387,"")</f>
        <v/>
      </c>
    </row>
    <row r="388">
      <c r="A388" s="8" t="inlineStr">
        <is>
          <t>Illinois State University</t>
        </is>
      </c>
      <c r="B388" s="8" t="inlineStr">
        <is>
          <t>Normal</t>
        </is>
      </c>
      <c r="C388" s="8" t="inlineStr">
        <is>
          <t>IL</t>
        </is>
      </c>
      <c r="D388" s="8" t="inlineStr">
        <is>
          <t>Public</t>
        </is>
      </c>
      <c r="E388" s="9" t="n">
        <v>20579</v>
      </c>
      <c r="F388" s="9" t="n">
        <v>58781</v>
      </c>
      <c r="G388" s="8">
        <f>RANK(F388,$F$5:$F$1561)</f>
        <v/>
      </c>
      <c r="H388" s="8" t="inlineStr"/>
      <c r="I388" s="9">
        <f>IF(D388="Private",E388,"")</f>
        <v/>
      </c>
      <c r="J388" s="9">
        <f>IF(D388="Private",F388,"")</f>
        <v/>
      </c>
    </row>
    <row r="389">
      <c r="A389" s="8" t="inlineStr">
        <is>
          <t>Queens University of Charlotte</t>
        </is>
      </c>
      <c r="B389" s="8" t="inlineStr">
        <is>
          <t>Charlotte</t>
        </is>
      </c>
      <c r="C389" s="8" t="inlineStr">
        <is>
          <t>NC</t>
        </is>
      </c>
      <c r="D389" s="8" t="inlineStr">
        <is>
          <t>Private</t>
        </is>
      </c>
      <c r="E389" s="9" t="n">
        <v>28764</v>
      </c>
      <c r="F389" s="9" t="n">
        <v>58774</v>
      </c>
      <c r="G389" s="8">
        <f>RANK(F389,$F$5:$F$1561)</f>
        <v/>
      </c>
      <c r="H389" s="8" t="inlineStr"/>
      <c r="I389" s="9">
        <f>IF(D389="Private",E389,"")</f>
        <v/>
      </c>
      <c r="J389" s="9">
        <f>IF(D389="Private",F389,"")</f>
        <v/>
      </c>
    </row>
    <row r="390">
      <c r="A390" s="8" t="inlineStr">
        <is>
          <t>Fitchburg State University</t>
        </is>
      </c>
      <c r="B390" s="8" t="inlineStr">
        <is>
          <t>Fitchburg</t>
        </is>
      </c>
      <c r="C390" s="8" t="inlineStr">
        <is>
          <t>MA</t>
        </is>
      </c>
      <c r="D390" s="8" t="inlineStr">
        <is>
          <t>Public</t>
        </is>
      </c>
      <c r="E390" s="9" t="n">
        <v>16324</v>
      </c>
      <c r="F390" s="9" t="n">
        <v>58741</v>
      </c>
      <c r="G390" s="8">
        <f>RANK(F390,$F$5:$F$1561)</f>
        <v/>
      </c>
      <c r="H390" s="8" t="inlineStr"/>
      <c r="I390" s="9">
        <f>IF(D390="Private",E390,"")</f>
        <v/>
      </c>
      <c r="J390" s="9">
        <f>IF(D390="Private",F390,"")</f>
        <v/>
      </c>
    </row>
    <row r="391">
      <c r="A391" s="8" t="inlineStr">
        <is>
          <t>Saint Vincent College</t>
        </is>
      </c>
      <c r="B391" s="8" t="inlineStr">
        <is>
          <t>Latrobe</t>
        </is>
      </c>
      <c r="C391" s="8" t="inlineStr">
        <is>
          <t>PA</t>
        </is>
      </c>
      <c r="D391" s="8" t="inlineStr">
        <is>
          <t>Private</t>
        </is>
      </c>
      <c r="E391" s="9" t="n">
        <v>22536</v>
      </c>
      <c r="F391" s="9" t="n">
        <v>58731</v>
      </c>
      <c r="G391" s="8">
        <f>RANK(F391,$F$5:$F$1561)</f>
        <v/>
      </c>
      <c r="H391" s="8" t="inlineStr"/>
      <c r="I391" s="9">
        <f>IF(D391="Private",E391,"")</f>
        <v/>
      </c>
      <c r="J391" s="9">
        <f>IF(D391="Private",F391,"")</f>
        <v/>
      </c>
    </row>
    <row r="392">
      <c r="A392" s="8" t="inlineStr">
        <is>
          <t>St. John Fisher University</t>
        </is>
      </c>
      <c r="B392" s="8" t="inlineStr">
        <is>
          <t>Rochester</t>
        </is>
      </c>
      <c r="C392" s="8" t="inlineStr">
        <is>
          <t>NY</t>
        </is>
      </c>
      <c r="D392" s="8" t="inlineStr">
        <is>
          <t>Private</t>
        </is>
      </c>
      <c r="E392" s="9" t="n">
        <v>26720</v>
      </c>
      <c r="F392" s="9" t="n">
        <v>58703</v>
      </c>
      <c r="G392" s="8">
        <f>RANK(F392,$F$5:$F$1561)</f>
        <v/>
      </c>
      <c r="H392" s="8" t="inlineStr"/>
      <c r="I392" s="9">
        <f>IF(D392="Private",E392,"")</f>
        <v/>
      </c>
      <c r="J392" s="9">
        <f>IF(D392="Private",F392,"")</f>
        <v/>
      </c>
    </row>
    <row r="393">
      <c r="A393" s="8" t="inlineStr">
        <is>
          <t>Immaculata University</t>
        </is>
      </c>
      <c r="B393" s="8" t="inlineStr">
        <is>
          <t>Immaculata</t>
        </is>
      </c>
      <c r="C393" s="8" t="inlineStr">
        <is>
          <t>PA</t>
        </is>
      </c>
      <c r="D393" s="8" t="inlineStr">
        <is>
          <t>Private</t>
        </is>
      </c>
      <c r="E393" s="9" t="n">
        <v>28338</v>
      </c>
      <c r="F393" s="9" t="n">
        <v>58673</v>
      </c>
      <c r="G393" s="8">
        <f>RANK(F393,$F$5:$F$1561)</f>
        <v/>
      </c>
      <c r="H393" s="8" t="inlineStr"/>
      <c r="I393" s="9">
        <f>IF(D393="Private",E393,"")</f>
        <v/>
      </c>
      <c r="J393" s="9">
        <f>IF(D393="Private",F393,"")</f>
        <v/>
      </c>
    </row>
    <row r="394">
      <c r="A394" s="8" t="inlineStr">
        <is>
          <t>Bethel University</t>
        </is>
      </c>
      <c r="B394" s="8" t="inlineStr">
        <is>
          <t>Saint Paul</t>
        </is>
      </c>
      <c r="C394" s="8" t="inlineStr">
        <is>
          <t>MN</t>
        </is>
      </c>
      <c r="D394" s="8" t="inlineStr">
        <is>
          <t>Private</t>
        </is>
      </c>
      <c r="E394" s="9" t="n">
        <v>27624</v>
      </c>
      <c r="F394" s="9" t="n">
        <v>58664</v>
      </c>
      <c r="G394" s="8">
        <f>RANK(F394,$F$5:$F$1561)</f>
        <v/>
      </c>
      <c r="H394" s="8" t="inlineStr"/>
      <c r="I394" s="9">
        <f>IF(D394="Private",E394,"")</f>
        <v/>
      </c>
      <c r="J394" s="9">
        <f>IF(D394="Private",F394,"")</f>
        <v/>
      </c>
    </row>
    <row r="395">
      <c r="A395" s="8" t="inlineStr">
        <is>
          <t>Elmhurst University</t>
        </is>
      </c>
      <c r="B395" s="8" t="inlineStr">
        <is>
          <t>Elmhurst</t>
        </is>
      </c>
      <c r="C395" s="8" t="inlineStr">
        <is>
          <t>IL</t>
        </is>
      </c>
      <c r="D395" s="8" t="inlineStr">
        <is>
          <t>Private</t>
        </is>
      </c>
      <c r="E395" s="9" t="n">
        <v>23036</v>
      </c>
      <c r="F395" s="9" t="n">
        <v>58657</v>
      </c>
      <c r="G395" s="8">
        <f>RANK(F395,$F$5:$F$1561)</f>
        <v/>
      </c>
      <c r="H395" s="8" t="inlineStr"/>
      <c r="I395" s="9">
        <f>IF(D395="Private",E395,"")</f>
        <v/>
      </c>
      <c r="J395" s="9">
        <f>IF(D395="Private",F395,"")</f>
        <v/>
      </c>
    </row>
    <row r="396">
      <c r="A396" s="8" t="inlineStr">
        <is>
          <t>King's College</t>
        </is>
      </c>
      <c r="B396" s="8" t="inlineStr">
        <is>
          <t>Wilkes-Barre</t>
        </is>
      </c>
      <c r="C396" s="8" t="inlineStr">
        <is>
          <t>PA</t>
        </is>
      </c>
      <c r="D396" s="8" t="inlineStr">
        <is>
          <t>Private</t>
        </is>
      </c>
      <c r="E396" s="9" t="n">
        <v>26876</v>
      </c>
      <c r="F396" s="9" t="n">
        <v>58640</v>
      </c>
      <c r="G396" s="8">
        <f>RANK(F396,$F$5:$F$1561)</f>
        <v/>
      </c>
      <c r="H396" s="8" t="inlineStr"/>
      <c r="I396" s="9">
        <f>IF(D396="Private",E396,"")</f>
        <v/>
      </c>
      <c r="J396" s="9">
        <f>IF(D396="Private",F396,"")</f>
        <v/>
      </c>
    </row>
    <row r="397">
      <c r="A397" s="8" t="inlineStr">
        <is>
          <t>Ohio State University-Newark Campus</t>
        </is>
      </c>
      <c r="B397" s="8" t="inlineStr">
        <is>
          <t>Newark</t>
        </is>
      </c>
      <c r="C397" s="8" t="inlineStr">
        <is>
          <t>OH</t>
        </is>
      </c>
      <c r="D397" s="8" t="inlineStr">
        <is>
          <t>Public</t>
        </is>
      </c>
      <c r="E397" s="9" t="n">
        <v>15806</v>
      </c>
      <c r="F397" s="9" t="n">
        <v>58596</v>
      </c>
      <c r="G397" s="8">
        <f>RANK(F397,$F$5:$F$1561)</f>
        <v/>
      </c>
      <c r="H397" s="8" t="inlineStr"/>
      <c r="I397" s="9">
        <f>IF(D397="Private",E397,"")</f>
        <v/>
      </c>
      <c r="J397" s="9">
        <f>IF(D397="Private",F397,"")</f>
        <v/>
      </c>
    </row>
    <row r="398">
      <c r="A398" s="8" t="inlineStr">
        <is>
          <t>Ohio State University-Lima Campus</t>
        </is>
      </c>
      <c r="B398" s="8" t="inlineStr">
        <is>
          <t>Lima</t>
        </is>
      </c>
      <c r="C398" s="8" t="inlineStr">
        <is>
          <t>OH</t>
        </is>
      </c>
      <c r="D398" s="8" t="inlineStr">
        <is>
          <t>Public</t>
        </is>
      </c>
      <c r="E398" s="9" t="n">
        <v>14016</v>
      </c>
      <c r="F398" s="9" t="n">
        <v>58596</v>
      </c>
      <c r="G398" s="8">
        <f>RANK(F398,$F$5:$F$1561)</f>
        <v/>
      </c>
      <c r="H398" s="8" t="inlineStr"/>
      <c r="I398" s="9">
        <f>IF(D398="Private",E398,"")</f>
        <v/>
      </c>
      <c r="J398" s="9">
        <f>IF(D398="Private",F398,"")</f>
        <v/>
      </c>
    </row>
    <row r="399">
      <c r="A399" s="8" t="inlineStr">
        <is>
          <t>Ohio State University-Mansfield Campus</t>
        </is>
      </c>
      <c r="B399" s="8" t="inlineStr">
        <is>
          <t>Mansfield</t>
        </is>
      </c>
      <c r="C399" s="8" t="inlineStr">
        <is>
          <t>OH</t>
        </is>
      </c>
      <c r="D399" s="8" t="inlineStr">
        <is>
          <t>Public</t>
        </is>
      </c>
      <c r="E399" s="9" t="n">
        <v>16130</v>
      </c>
      <c r="F399" s="9" t="n">
        <v>58596</v>
      </c>
      <c r="G399" s="8">
        <f>RANK(F399,$F$5:$F$1561)</f>
        <v/>
      </c>
      <c r="H399" s="8" t="inlineStr"/>
      <c r="I399" s="9">
        <f>IF(D399="Private",E399,"")</f>
        <v/>
      </c>
      <c r="J399" s="9">
        <f>IF(D399="Private",F399,"")</f>
        <v/>
      </c>
    </row>
    <row r="400">
      <c r="A400" s="8" t="inlineStr">
        <is>
          <t>Ohio State University-Main Campus</t>
        </is>
      </c>
      <c r="B400" s="8" t="inlineStr">
        <is>
          <t>Columbus</t>
        </is>
      </c>
      <c r="C400" s="8" t="inlineStr">
        <is>
          <t>OH</t>
        </is>
      </c>
      <c r="D400" s="8" t="inlineStr">
        <is>
          <t>Public</t>
        </is>
      </c>
      <c r="E400" s="9" t="n">
        <v>18623</v>
      </c>
      <c r="F400" s="9" t="n">
        <v>58596</v>
      </c>
      <c r="G400" s="8">
        <f>RANK(F400,$F$5:$F$1561)</f>
        <v/>
      </c>
      <c r="H400" s="8" t="inlineStr"/>
      <c r="I400" s="9">
        <f>IF(D400="Private",E400,"")</f>
        <v/>
      </c>
      <c r="J400" s="9">
        <f>IF(D400="Private",F400,"")</f>
        <v/>
      </c>
    </row>
    <row r="401">
      <c r="A401" s="8" t="inlineStr">
        <is>
          <t>Ohio State University-Marion Campus</t>
        </is>
      </c>
      <c r="B401" s="8" t="inlineStr">
        <is>
          <t>Marion</t>
        </is>
      </c>
      <c r="C401" s="8" t="inlineStr">
        <is>
          <t>OH</t>
        </is>
      </c>
      <c r="D401" s="8" t="inlineStr">
        <is>
          <t>Public</t>
        </is>
      </c>
      <c r="E401" s="9" t="n">
        <v>13190</v>
      </c>
      <c r="F401" s="9" t="n">
        <v>58596</v>
      </c>
      <c r="G401" s="8">
        <f>RANK(F401,$F$5:$F$1561)</f>
        <v/>
      </c>
      <c r="H401" s="8" t="inlineStr"/>
      <c r="I401" s="9">
        <f>IF(D401="Private",E401,"")</f>
        <v/>
      </c>
      <c r="J401" s="9">
        <f>IF(D401="Private",F401,"")</f>
        <v/>
      </c>
    </row>
    <row r="402">
      <c r="A402" s="8" t="inlineStr">
        <is>
          <t>California State University-Fullerton</t>
        </is>
      </c>
      <c r="B402" s="8" t="inlineStr">
        <is>
          <t>Fullerton</t>
        </is>
      </c>
      <c r="C402" s="8" t="inlineStr">
        <is>
          <t>CA</t>
        </is>
      </c>
      <c r="D402" s="8" t="inlineStr">
        <is>
          <t>Public</t>
        </is>
      </c>
      <c r="E402" s="9" t="n">
        <v>4211</v>
      </c>
      <c r="F402" s="9" t="n">
        <v>58585</v>
      </c>
      <c r="G402" s="8">
        <f>RANK(F402,$F$5:$F$1561)</f>
        <v/>
      </c>
      <c r="H402" s="8" t="inlineStr"/>
      <c r="I402" s="9">
        <f>IF(D402="Private",E402,"")</f>
        <v/>
      </c>
      <c r="J402" s="9">
        <f>IF(D402="Private",F402,"")</f>
        <v/>
      </c>
    </row>
    <row r="403">
      <c r="A403" s="8" t="inlineStr">
        <is>
          <t>Randolph-Macon College</t>
        </is>
      </c>
      <c r="B403" s="8" t="inlineStr">
        <is>
          <t>Ashland</t>
        </is>
      </c>
      <c r="C403" s="8" t="inlineStr">
        <is>
          <t>VA</t>
        </is>
      </c>
      <c r="D403" s="8" t="inlineStr">
        <is>
          <t>Private</t>
        </is>
      </c>
      <c r="E403" s="9" t="n">
        <v>25969</v>
      </c>
      <c r="F403" s="9" t="n">
        <v>58576</v>
      </c>
      <c r="G403" s="8">
        <f>RANK(F403,$F$5:$F$1561)</f>
        <v/>
      </c>
      <c r="H403" s="8" t="inlineStr"/>
      <c r="I403" s="9">
        <f>IF(D403="Private",E403,"")</f>
        <v/>
      </c>
      <c r="J403" s="9">
        <f>IF(D403="Private",F403,"")</f>
        <v/>
      </c>
    </row>
    <row r="404">
      <c r="A404" s="8" t="inlineStr">
        <is>
          <t>Lasell University</t>
        </is>
      </c>
      <c r="B404" s="8" t="inlineStr">
        <is>
          <t>Newton</t>
        </is>
      </c>
      <c r="C404" s="8" t="inlineStr">
        <is>
          <t>MA</t>
        </is>
      </c>
      <c r="D404" s="8" t="inlineStr">
        <is>
          <t>Private</t>
        </is>
      </c>
      <c r="E404" s="9" t="n">
        <v>28431</v>
      </c>
      <c r="F404" s="9" t="n">
        <v>58576</v>
      </c>
      <c r="G404" s="8">
        <f>RANK(F404,$F$5:$F$1561)</f>
        <v/>
      </c>
      <c r="H404" s="8" t="inlineStr"/>
      <c r="I404" s="9">
        <f>IF(D404="Private",E404,"")</f>
        <v/>
      </c>
      <c r="J404" s="9">
        <f>IF(D404="Private",F404,"")</f>
        <v/>
      </c>
    </row>
    <row r="405">
      <c r="A405" s="8" t="inlineStr">
        <is>
          <t>University of Mary</t>
        </is>
      </c>
      <c r="B405" s="8" t="inlineStr">
        <is>
          <t>Bismarck</t>
        </is>
      </c>
      <c r="C405" s="8" t="inlineStr">
        <is>
          <t>ND</t>
        </is>
      </c>
      <c r="D405" s="8" t="inlineStr">
        <is>
          <t>Private</t>
        </is>
      </c>
      <c r="E405" s="9" t="n">
        <v>18859</v>
      </c>
      <c r="F405" s="9" t="n">
        <v>58561</v>
      </c>
      <c r="G405" s="8">
        <f>RANK(F405,$F$5:$F$1561)</f>
        <v/>
      </c>
      <c r="H405" s="8" t="inlineStr"/>
      <c r="I405" s="9">
        <f>IF(D405="Private",E405,"")</f>
        <v/>
      </c>
      <c r="J405" s="9">
        <f>IF(D405="Private",F405,"")</f>
        <v/>
      </c>
    </row>
    <row r="406">
      <c r="A406" s="8" t="inlineStr">
        <is>
          <t>St Bonaventure University</t>
        </is>
      </c>
      <c r="B406" s="8" t="inlineStr">
        <is>
          <t>Saint Bonaventure</t>
        </is>
      </c>
      <c r="C406" s="8" t="inlineStr">
        <is>
          <t>NY</t>
        </is>
      </c>
      <c r="D406" s="8" t="inlineStr">
        <is>
          <t>Private</t>
        </is>
      </c>
      <c r="E406" s="9" t="n">
        <v>25187</v>
      </c>
      <c r="F406" s="9" t="n">
        <v>58527</v>
      </c>
      <c r="G406" s="8">
        <f>RANK(F406,$F$5:$F$1561)</f>
        <v/>
      </c>
      <c r="H406" s="8" t="inlineStr"/>
      <c r="I406" s="9">
        <f>IF(D406="Private",E406,"")</f>
        <v/>
      </c>
      <c r="J406" s="9">
        <f>IF(D406="Private",F406,"")</f>
        <v/>
      </c>
    </row>
    <row r="407">
      <c r="A407" s="8" t="inlineStr">
        <is>
          <t>Emerson College</t>
        </is>
      </c>
      <c r="B407" s="8" t="inlineStr">
        <is>
          <t>Boston</t>
        </is>
      </c>
      <c r="C407" s="8" t="inlineStr">
        <is>
          <t>MA</t>
        </is>
      </c>
      <c r="D407" s="8" t="inlineStr">
        <is>
          <t>Private</t>
        </is>
      </c>
      <c r="E407" s="9" t="n">
        <v>45609</v>
      </c>
      <c r="F407" s="9" t="n">
        <v>58491</v>
      </c>
      <c r="G407" s="8">
        <f>RANK(F407,$F$5:$F$1561)</f>
        <v/>
      </c>
      <c r="H407" s="8" t="inlineStr"/>
      <c r="I407" s="9">
        <f>IF(D407="Private",E407,"")</f>
        <v/>
      </c>
      <c r="J407" s="9">
        <f>IF(D407="Private",F407,"")</f>
        <v/>
      </c>
    </row>
    <row r="408">
      <c r="A408" s="8" t="inlineStr">
        <is>
          <t>Washington Adventist University</t>
        </is>
      </c>
      <c r="B408" s="8" t="inlineStr">
        <is>
          <t>Takoma Park</t>
        </is>
      </c>
      <c r="C408" s="8" t="inlineStr">
        <is>
          <t>MD</t>
        </is>
      </c>
      <c r="D408" s="8" t="inlineStr">
        <is>
          <t>Private</t>
        </is>
      </c>
      <c r="E408" s="9" t="n">
        <v>13625</v>
      </c>
      <c r="F408" s="9" t="n">
        <v>58399</v>
      </c>
      <c r="G408" s="8">
        <f>RANK(F408,$F$5:$F$1561)</f>
        <v/>
      </c>
      <c r="H408" s="8" t="inlineStr"/>
      <c r="I408" s="9">
        <f>IF(D408="Private",E408,"")</f>
        <v/>
      </c>
      <c r="J408" s="9">
        <f>IF(D408="Private",F408,"")</f>
        <v/>
      </c>
    </row>
    <row r="409">
      <c r="A409" s="8" t="inlineStr">
        <is>
          <t>Colorado State University-Fort Collins</t>
        </is>
      </c>
      <c r="B409" s="8" t="inlineStr">
        <is>
          <t>Fort Collins</t>
        </is>
      </c>
      <c r="C409" s="8" t="inlineStr">
        <is>
          <t>CO</t>
        </is>
      </c>
      <c r="D409" s="8" t="inlineStr">
        <is>
          <t>Public</t>
        </is>
      </c>
      <c r="E409" s="9" t="n">
        <v>19016</v>
      </c>
      <c r="F409" s="9" t="n">
        <v>58388</v>
      </c>
      <c r="G409" s="8">
        <f>RANK(F409,$F$5:$F$1561)</f>
        <v/>
      </c>
      <c r="H409" s="8" t="inlineStr"/>
      <c r="I409" s="9">
        <f>IF(D409="Private",E409,"")</f>
        <v/>
      </c>
      <c r="J409" s="9">
        <f>IF(D409="Private",F409,"")</f>
        <v/>
      </c>
    </row>
    <row r="410">
      <c r="A410" s="8" t="inlineStr">
        <is>
          <t>CUNY Queens College</t>
        </is>
      </c>
      <c r="B410" s="8" t="inlineStr">
        <is>
          <t>Queens</t>
        </is>
      </c>
      <c r="C410" s="8" t="inlineStr">
        <is>
          <t>NY</t>
        </is>
      </c>
      <c r="D410" s="8" t="inlineStr">
        <is>
          <t>Public</t>
        </is>
      </c>
      <c r="E410" s="9" t="n">
        <v>2933</v>
      </c>
      <c r="F410" s="9" t="n">
        <v>58348</v>
      </c>
      <c r="G410" s="8">
        <f>RANK(F410,$F$5:$F$1561)</f>
        <v/>
      </c>
      <c r="H410" s="8" t="inlineStr"/>
      <c r="I410" s="9">
        <f>IF(D410="Private",E410,"")</f>
        <v/>
      </c>
      <c r="J410" s="9">
        <f>IF(D410="Private",F410,"")</f>
        <v/>
      </c>
    </row>
    <row r="411">
      <c r="A411" s="8" t="inlineStr">
        <is>
          <t>University of Michigan-Dearborn</t>
        </is>
      </c>
      <c r="B411" s="8" t="inlineStr">
        <is>
          <t>Dearborn</t>
        </is>
      </c>
      <c r="C411" s="8" t="inlineStr">
        <is>
          <t>MI</t>
        </is>
      </c>
      <c r="D411" s="8" t="inlineStr">
        <is>
          <t>Public</t>
        </is>
      </c>
      <c r="E411" s="9" t="n">
        <v>11905</v>
      </c>
      <c r="F411" s="9" t="n">
        <v>58324</v>
      </c>
      <c r="G411" s="8">
        <f>RANK(F411,$F$5:$F$1561)</f>
        <v/>
      </c>
      <c r="H411" s="8" t="inlineStr"/>
      <c r="I411" s="9">
        <f>IF(D411="Private",E411,"")</f>
        <v/>
      </c>
      <c r="J411" s="9">
        <f>IF(D411="Private",F411,"")</f>
        <v/>
      </c>
    </row>
    <row r="412">
      <c r="A412" s="8" t="inlineStr">
        <is>
          <t>Saint Mary's University of Minnesota</t>
        </is>
      </c>
      <c r="B412" s="8" t="inlineStr">
        <is>
          <t>Winona</t>
        </is>
      </c>
      <c r="C412" s="8" t="inlineStr">
        <is>
          <t>MN</t>
        </is>
      </c>
      <c r="D412" s="8" t="inlineStr">
        <is>
          <t>Private</t>
        </is>
      </c>
      <c r="E412" s="9" t="n">
        <v>20556</v>
      </c>
      <c r="F412" s="9" t="n">
        <v>58188</v>
      </c>
      <c r="G412" s="8">
        <f>RANK(F412,$F$5:$F$1561)</f>
        <v/>
      </c>
      <c r="H412" s="8" t="inlineStr"/>
      <c r="I412" s="9">
        <f>IF(D412="Private",E412,"")</f>
        <v/>
      </c>
      <c r="J412" s="9">
        <f>IF(D412="Private",F412,"")</f>
        <v/>
      </c>
    </row>
    <row r="413">
      <c r="A413" s="8" t="inlineStr">
        <is>
          <t>University of New Haven</t>
        </is>
      </c>
      <c r="B413" s="8" t="inlineStr">
        <is>
          <t>West Haven</t>
        </is>
      </c>
      <c r="C413" s="8" t="inlineStr">
        <is>
          <t>CT</t>
        </is>
      </c>
      <c r="D413" s="8" t="inlineStr">
        <is>
          <t>Private</t>
        </is>
      </c>
      <c r="E413" s="9" t="n">
        <v>33109</v>
      </c>
      <c r="F413" s="9" t="n">
        <v>58152</v>
      </c>
      <c r="G413" s="8">
        <f>RANK(F413,$F$5:$F$1561)</f>
        <v/>
      </c>
      <c r="H413" s="8" t="inlineStr"/>
      <c r="I413" s="9">
        <f>IF(D413="Private",E413,"")</f>
        <v/>
      </c>
      <c r="J413" s="9">
        <f>IF(D413="Private",F413,"")</f>
        <v/>
      </c>
    </row>
    <row r="414">
      <c r="A414" s="8" t="inlineStr">
        <is>
          <t>California State University-Stanislaus</t>
        </is>
      </c>
      <c r="B414" s="8" t="inlineStr">
        <is>
          <t>Turlock</t>
        </is>
      </c>
      <c r="C414" s="8" t="inlineStr">
        <is>
          <t>CA</t>
        </is>
      </c>
      <c r="D414" s="8" t="inlineStr">
        <is>
          <t>Public</t>
        </is>
      </c>
      <c r="E414" s="9" t="n">
        <v>6041</v>
      </c>
      <c r="F414" s="9" t="n">
        <v>58120</v>
      </c>
      <c r="G414" s="8">
        <f>RANK(F414,$F$5:$F$1561)</f>
        <v/>
      </c>
      <c r="H414" s="8" t="inlineStr"/>
      <c r="I414" s="9">
        <f>IF(D414="Private",E414,"")</f>
        <v/>
      </c>
      <c r="J414" s="9">
        <f>IF(D414="Private",F414,"")</f>
        <v/>
      </c>
    </row>
    <row r="415">
      <c r="A415" s="8" t="inlineStr">
        <is>
          <t>Union Institute &amp; University</t>
        </is>
      </c>
      <c r="B415" s="8" t="inlineStr">
        <is>
          <t>Cincinnati</t>
        </is>
      </c>
      <c r="C415" s="8" t="inlineStr">
        <is>
          <t>OH</t>
        </is>
      </c>
      <c r="D415" s="8" t="inlineStr">
        <is>
          <t>Private</t>
        </is>
      </c>
      <c r="E415" s="9" t="n">
        <v>22311</v>
      </c>
      <c r="F415" s="9" t="n">
        <v>58052</v>
      </c>
      <c r="G415" s="8">
        <f>RANK(F415,$F$5:$F$1561)</f>
        <v/>
      </c>
      <c r="H415" s="8" t="inlineStr"/>
      <c r="I415" s="9">
        <f>IF(D415="Private",E415,"")</f>
        <v/>
      </c>
      <c r="J415" s="9">
        <f>IF(D415="Private",F415,"")</f>
        <v/>
      </c>
    </row>
    <row r="416">
      <c r="A416" s="8" t="inlineStr">
        <is>
          <t>CUNY City College</t>
        </is>
      </c>
      <c r="B416" s="8" t="inlineStr">
        <is>
          <t>New York</t>
        </is>
      </c>
      <c r="C416" s="8" t="inlineStr">
        <is>
          <t>NY</t>
        </is>
      </c>
      <c r="D416" s="8" t="inlineStr">
        <is>
          <t>Public</t>
        </is>
      </c>
      <c r="E416" s="9" t="n">
        <v>2061</v>
      </c>
      <c r="F416" s="9" t="n">
        <v>58052</v>
      </c>
      <c r="G416" s="8">
        <f>RANK(F416,$F$5:$F$1561)</f>
        <v/>
      </c>
      <c r="H416" s="8" t="inlineStr"/>
      <c r="I416" s="9">
        <f>IF(D416="Private",E416,"")</f>
        <v/>
      </c>
      <c r="J416" s="9">
        <f>IF(D416="Private",F416,"")</f>
        <v/>
      </c>
    </row>
    <row r="417">
      <c r="A417" s="8" t="inlineStr">
        <is>
          <t>Carroll College</t>
        </is>
      </c>
      <c r="B417" s="8" t="inlineStr">
        <is>
          <t>Helena</t>
        </is>
      </c>
      <c r="C417" s="8" t="inlineStr">
        <is>
          <t>MT</t>
        </is>
      </c>
      <c r="D417" s="8" t="inlineStr">
        <is>
          <t>Private</t>
        </is>
      </c>
      <c r="E417" s="9" t="n">
        <v>23992</v>
      </c>
      <c r="F417" s="9" t="n">
        <v>58012</v>
      </c>
      <c r="G417" s="8">
        <f>RANK(F417,$F$5:$F$1561)</f>
        <v/>
      </c>
      <c r="H417" s="8" t="inlineStr"/>
      <c r="I417" s="9">
        <f>IF(D417="Private",E417,"")</f>
        <v/>
      </c>
      <c r="J417" s="9">
        <f>IF(D417="Private",F417,"")</f>
        <v/>
      </c>
    </row>
    <row r="418">
      <c r="A418" s="8" t="inlineStr">
        <is>
          <t>The University of Texas at Arlington</t>
        </is>
      </c>
      <c r="B418" s="8" t="inlineStr">
        <is>
          <t>Arlington</t>
        </is>
      </c>
      <c r="C418" s="8" t="inlineStr">
        <is>
          <t>TX</t>
        </is>
      </c>
      <c r="D418" s="8" t="inlineStr">
        <is>
          <t>Public</t>
        </is>
      </c>
      <c r="E418" s="9" t="n">
        <v>15627</v>
      </c>
      <c r="F418" s="9" t="n">
        <v>57994</v>
      </c>
      <c r="G418" s="8">
        <f>RANK(F418,$F$5:$F$1561)</f>
        <v/>
      </c>
      <c r="H418" s="8" t="inlineStr"/>
      <c r="I418" s="9">
        <f>IF(D418="Private",E418,"")</f>
        <v/>
      </c>
      <c r="J418" s="9">
        <f>IF(D418="Private",F418,"")</f>
        <v/>
      </c>
    </row>
    <row r="419">
      <c r="A419" s="8" t="inlineStr">
        <is>
          <t>Bellevue College</t>
        </is>
      </c>
      <c r="B419" s="8" t="inlineStr">
        <is>
          <t>Bellevue</t>
        </is>
      </c>
      <c r="C419" s="8" t="inlineStr">
        <is>
          <t>WA</t>
        </is>
      </c>
      <c r="D419" s="8" t="inlineStr">
        <is>
          <t>Public</t>
        </is>
      </c>
      <c r="E419" s="9" t="n">
        <v>7929</v>
      </c>
      <c r="F419" s="9" t="n">
        <v>57963</v>
      </c>
      <c r="G419" s="8">
        <f>RANK(F419,$F$5:$F$1561)</f>
        <v/>
      </c>
      <c r="H419" s="8" t="inlineStr"/>
      <c r="I419" s="9">
        <f>IF(D419="Private",E419,"")</f>
        <v/>
      </c>
      <c r="J419" s="9">
        <f>IF(D419="Private",F419,"")</f>
        <v/>
      </c>
    </row>
    <row r="420">
      <c r="A420" s="8" t="inlineStr">
        <is>
          <t>Florida International University</t>
        </is>
      </c>
      <c r="B420" s="8" t="inlineStr">
        <is>
          <t>Miami</t>
        </is>
      </c>
      <c r="C420" s="8" t="inlineStr">
        <is>
          <t>FL</t>
        </is>
      </c>
      <c r="D420" s="8" t="inlineStr">
        <is>
          <t>Public</t>
        </is>
      </c>
      <c r="E420" s="9" t="n">
        <v>6232</v>
      </c>
      <c r="F420" s="9" t="n">
        <v>57946</v>
      </c>
      <c r="G420" s="8">
        <f>RANK(F420,$F$5:$F$1561)</f>
        <v/>
      </c>
      <c r="H420" s="8" t="inlineStr"/>
      <c r="I420" s="9">
        <f>IF(D420="Private",E420,"")</f>
        <v/>
      </c>
      <c r="J420" s="9">
        <f>IF(D420="Private",F420,"")</f>
        <v/>
      </c>
    </row>
    <row r="421">
      <c r="A421" s="8" t="inlineStr">
        <is>
          <t>St. Francis College</t>
        </is>
      </c>
      <c r="B421" s="8" t="inlineStr">
        <is>
          <t>Brooklyn</t>
        </is>
      </c>
      <c r="C421" s="8" t="inlineStr">
        <is>
          <t>NY</t>
        </is>
      </c>
      <c r="D421" s="8" t="inlineStr">
        <is>
          <t>Private</t>
        </is>
      </c>
      <c r="E421" s="9" t="n">
        <v>15171</v>
      </c>
      <c r="F421" s="9" t="n">
        <v>57888</v>
      </c>
      <c r="G421" s="8">
        <f>RANK(F421,$F$5:$F$1561)</f>
        <v/>
      </c>
      <c r="H421" s="8" t="inlineStr"/>
      <c r="I421" s="9">
        <f>IF(D421="Private",E421,"")</f>
        <v/>
      </c>
      <c r="J421" s="9">
        <f>IF(D421="Private",F421,"")</f>
        <v/>
      </c>
    </row>
    <row r="422">
      <c r="A422" s="8" t="inlineStr">
        <is>
          <t>DeSales University</t>
        </is>
      </c>
      <c r="B422" s="8" t="inlineStr">
        <is>
          <t>Center Valley</t>
        </is>
      </c>
      <c r="C422" s="8" t="inlineStr">
        <is>
          <t>PA</t>
        </is>
      </c>
      <c r="D422" s="8" t="inlineStr">
        <is>
          <t>Private</t>
        </is>
      </c>
      <c r="E422" s="9" t="n">
        <v>27678</v>
      </c>
      <c r="F422" s="9" t="n">
        <v>57821</v>
      </c>
      <c r="G422" s="8">
        <f>RANK(F422,$F$5:$F$1561)</f>
        <v/>
      </c>
      <c r="H422" s="8" t="inlineStr"/>
      <c r="I422" s="9">
        <f>IF(D422="Private",E422,"")</f>
        <v/>
      </c>
      <c r="J422" s="9">
        <f>IF(D422="Private",F422,"")</f>
        <v/>
      </c>
    </row>
    <row r="423">
      <c r="A423" s="8" t="inlineStr">
        <is>
          <t>Saint Ambrose University</t>
        </is>
      </c>
      <c r="B423" s="8" t="inlineStr">
        <is>
          <t>Davenport</t>
        </is>
      </c>
      <c r="C423" s="8" t="inlineStr">
        <is>
          <t>IA</t>
        </is>
      </c>
      <c r="D423" s="8" t="inlineStr">
        <is>
          <t>Private</t>
        </is>
      </c>
      <c r="E423" s="9" t="n">
        <v>24786</v>
      </c>
      <c r="F423" s="9" t="n">
        <v>57818</v>
      </c>
      <c r="G423" s="8">
        <f>RANK(F423,$F$5:$F$1561)</f>
        <v/>
      </c>
      <c r="H423" s="8" t="inlineStr"/>
      <c r="I423" s="9">
        <f>IF(D423="Private",E423,"")</f>
        <v/>
      </c>
      <c r="J423" s="9">
        <f>IF(D423="Private",F423,"")</f>
        <v/>
      </c>
    </row>
    <row r="424">
      <c r="A424" s="8" t="inlineStr">
        <is>
          <t>North Central College</t>
        </is>
      </c>
      <c r="B424" s="8" t="inlineStr">
        <is>
          <t>Naperville</t>
        </is>
      </c>
      <c r="C424" s="8" t="inlineStr">
        <is>
          <t>IL</t>
        </is>
      </c>
      <c r="D424" s="8" t="inlineStr">
        <is>
          <t>Private</t>
        </is>
      </c>
      <c r="E424" s="9" t="n">
        <v>25605</v>
      </c>
      <c r="F424" s="9" t="n">
        <v>57787</v>
      </c>
      <c r="G424" s="8">
        <f>RANK(F424,$F$5:$F$1561)</f>
        <v/>
      </c>
      <c r="H424" s="8" t="inlineStr"/>
      <c r="I424" s="9">
        <f>IF(D424="Private",E424,"")</f>
        <v/>
      </c>
      <c r="J424" s="9">
        <f>IF(D424="Private",F424,"")</f>
        <v/>
      </c>
    </row>
    <row r="425">
      <c r="A425" s="8" t="inlineStr">
        <is>
          <t>University of South Carolina-Columbia</t>
        </is>
      </c>
      <c r="B425" s="8" t="inlineStr">
        <is>
          <t>Columbia</t>
        </is>
      </c>
      <c r="C425" s="8" t="inlineStr">
        <is>
          <t>SC</t>
        </is>
      </c>
      <c r="D425" s="8" t="inlineStr">
        <is>
          <t>Public</t>
        </is>
      </c>
      <c r="E425" s="9" t="n">
        <v>20796</v>
      </c>
      <c r="F425" s="9" t="n">
        <v>57734</v>
      </c>
      <c r="G425" s="8">
        <f>RANK(F425,$F$5:$F$1561)</f>
        <v/>
      </c>
      <c r="H425" s="8" t="inlineStr"/>
      <c r="I425" s="9">
        <f>IF(D425="Private",E425,"")</f>
        <v/>
      </c>
      <c r="J425" s="9">
        <f>IF(D425="Private",F425,"")</f>
        <v/>
      </c>
    </row>
    <row r="426">
      <c r="A426" s="8" t="inlineStr">
        <is>
          <t>CUNY Brooklyn College</t>
        </is>
      </c>
      <c r="B426" s="8" t="inlineStr">
        <is>
          <t>Brooklyn</t>
        </is>
      </c>
      <c r="C426" s="8" t="inlineStr">
        <is>
          <t>NY</t>
        </is>
      </c>
      <c r="D426" s="8" t="inlineStr">
        <is>
          <t>Public</t>
        </is>
      </c>
      <c r="E426" s="9" t="n">
        <v>2393</v>
      </c>
      <c r="F426" s="9" t="n">
        <v>57665</v>
      </c>
      <c r="G426" s="8">
        <f>RANK(F426,$F$5:$F$1561)</f>
        <v/>
      </c>
      <c r="H426" s="8" t="inlineStr"/>
      <c r="I426" s="9">
        <f>IF(D426="Private",E426,"")</f>
        <v/>
      </c>
      <c r="J426" s="9">
        <f>IF(D426="Private",F426,"")</f>
        <v/>
      </c>
    </row>
    <row r="427">
      <c r="A427" s="8" t="inlineStr">
        <is>
          <t>McDaniel College</t>
        </is>
      </c>
      <c r="B427" s="8" t="inlineStr">
        <is>
          <t>Westminster</t>
        </is>
      </c>
      <c r="C427" s="8" t="inlineStr">
        <is>
          <t>MD</t>
        </is>
      </c>
      <c r="D427" s="8" t="inlineStr">
        <is>
          <t>Private</t>
        </is>
      </c>
      <c r="E427" s="9" t="n">
        <v>20379</v>
      </c>
      <c r="F427" s="9" t="n">
        <v>57629</v>
      </c>
      <c r="G427" s="8">
        <f>RANK(F427,$F$5:$F$1561)</f>
        <v/>
      </c>
      <c r="H427" s="8" t="inlineStr"/>
      <c r="I427" s="9">
        <f>IF(D427="Private",E427,"")</f>
        <v/>
      </c>
      <c r="J427" s="9">
        <f>IF(D427="Private",F427,"")</f>
        <v/>
      </c>
    </row>
    <row r="428">
      <c r="A428" s="8" t="inlineStr">
        <is>
          <t>Spelman College</t>
        </is>
      </c>
      <c r="B428" s="8" t="inlineStr">
        <is>
          <t>Atlanta</t>
        </is>
      </c>
      <c r="C428" s="8" t="inlineStr">
        <is>
          <t>GA</t>
        </is>
      </c>
      <c r="D428" s="8" t="inlineStr">
        <is>
          <t>Private</t>
        </is>
      </c>
      <c r="E428" s="9" t="n">
        <v>29102</v>
      </c>
      <c r="F428" s="9" t="n">
        <v>57578</v>
      </c>
      <c r="G428" s="8">
        <f>RANK(F428,$F$5:$F$1561)</f>
        <v/>
      </c>
      <c r="H428" s="8" t="inlineStr"/>
      <c r="I428" s="9">
        <f>IF(D428="Private",E428,"")</f>
        <v/>
      </c>
      <c r="J428" s="9">
        <f>IF(D428="Private",F428,"")</f>
        <v/>
      </c>
    </row>
    <row r="429">
      <c r="A429" s="8" t="inlineStr">
        <is>
          <t>York College of Pennsylvania</t>
        </is>
      </c>
      <c r="B429" s="8" t="inlineStr">
        <is>
          <t>York</t>
        </is>
      </c>
      <c r="C429" s="8" t="inlineStr">
        <is>
          <t>PA</t>
        </is>
      </c>
      <c r="D429" s="8" t="inlineStr">
        <is>
          <t>Private</t>
        </is>
      </c>
      <c r="E429" s="9" t="n">
        <v>21615</v>
      </c>
      <c r="F429" s="9" t="n">
        <v>57528</v>
      </c>
      <c r="G429" s="8">
        <f>RANK(F429,$F$5:$F$1561)</f>
        <v/>
      </c>
      <c r="H429" s="8" t="inlineStr"/>
      <c r="I429" s="9">
        <f>IF(D429="Private",E429,"")</f>
        <v/>
      </c>
      <c r="J429" s="9">
        <f>IF(D429="Private",F429,"")</f>
        <v/>
      </c>
    </row>
    <row r="430">
      <c r="A430" s="8" t="inlineStr">
        <is>
          <t>Albion College</t>
        </is>
      </c>
      <c r="B430" s="8" t="inlineStr">
        <is>
          <t>Albion</t>
        </is>
      </c>
      <c r="C430" s="8" t="inlineStr">
        <is>
          <t>MI</t>
        </is>
      </c>
      <c r="D430" s="8" t="inlineStr">
        <is>
          <t>Private</t>
        </is>
      </c>
      <c r="E430" s="9" t="n">
        <v>18036</v>
      </c>
      <c r="F430" s="9" t="n">
        <v>57501</v>
      </c>
      <c r="G430" s="8">
        <f>RANK(F430,$F$5:$F$1561)</f>
        <v/>
      </c>
      <c r="H430" s="8" t="inlineStr"/>
      <c r="I430" s="9">
        <f>IF(D430="Private",E430,"")</f>
        <v/>
      </c>
      <c r="J430" s="9">
        <f>IF(D430="Private",F430,"")</f>
        <v/>
      </c>
    </row>
    <row r="431">
      <c r="A431" s="8" t="inlineStr">
        <is>
          <t>Canisius College</t>
        </is>
      </c>
      <c r="B431" s="8" t="inlineStr">
        <is>
          <t>Buffalo</t>
        </is>
      </c>
      <c r="C431" s="8" t="inlineStr">
        <is>
          <t>NY</t>
        </is>
      </c>
      <c r="D431" s="8" t="inlineStr">
        <is>
          <t>Private</t>
        </is>
      </c>
      <c r="E431" s="9" t="n">
        <v>17907</v>
      </c>
      <c r="F431" s="9" t="n">
        <v>57447</v>
      </c>
      <c r="G431" s="8">
        <f>RANK(F431,$F$5:$F$1561)</f>
        <v/>
      </c>
      <c r="H431" s="8" t="inlineStr"/>
      <c r="I431" s="9">
        <f>IF(D431="Private",E431,"")</f>
        <v/>
      </c>
      <c r="J431" s="9">
        <f>IF(D431="Private",F431,"")</f>
        <v/>
      </c>
    </row>
    <row r="432">
      <c r="A432" s="8" t="inlineStr">
        <is>
          <t>Mills College at Northeastern University</t>
        </is>
      </c>
      <c r="B432" s="8" t="inlineStr">
        <is>
          <t>Oakland</t>
        </is>
      </c>
      <c r="C432" s="8" t="inlineStr">
        <is>
          <t>CA</t>
        </is>
      </c>
      <c r="D432" s="8" t="inlineStr">
        <is>
          <t>Private</t>
        </is>
      </c>
      <c r="E432" s="9" t="n">
        <v>22037</v>
      </c>
      <c r="F432" s="9" t="n">
        <v>57423</v>
      </c>
      <c r="G432" s="8">
        <f>RANK(F432,$F$5:$F$1561)</f>
        <v/>
      </c>
      <c r="H432" s="8" t="inlineStr"/>
      <c r="I432" s="9">
        <f>IF(D432="Private",E432,"")</f>
        <v/>
      </c>
      <c r="J432" s="9">
        <f>IF(D432="Private",F432,"")</f>
        <v/>
      </c>
    </row>
    <row r="433">
      <c r="A433" s="8" t="inlineStr">
        <is>
          <t>Nichols College</t>
        </is>
      </c>
      <c r="B433" s="8" t="inlineStr">
        <is>
          <t>Dudley</t>
        </is>
      </c>
      <c r="C433" s="8" t="inlineStr">
        <is>
          <t>MA</t>
        </is>
      </c>
      <c r="D433" s="8" t="inlineStr">
        <is>
          <t>Private</t>
        </is>
      </c>
      <c r="E433" s="9" t="n">
        <v>26832</v>
      </c>
      <c r="F433" s="9" t="n">
        <v>57385</v>
      </c>
      <c r="G433" s="8">
        <f>RANK(F433,$F$5:$F$1561)</f>
        <v/>
      </c>
      <c r="H433" s="8" t="inlineStr"/>
      <c r="I433" s="9">
        <f>IF(D433="Private",E433,"")</f>
        <v/>
      </c>
      <c r="J433" s="9">
        <f>IF(D433="Private",F433,"")</f>
        <v/>
      </c>
    </row>
    <row r="434">
      <c r="A434" s="8" t="inlineStr">
        <is>
          <t>Christopher Newport University</t>
        </is>
      </c>
      <c r="B434" s="8" t="inlineStr">
        <is>
          <t>Newport News</t>
        </is>
      </c>
      <c r="C434" s="8" t="inlineStr">
        <is>
          <t>VA</t>
        </is>
      </c>
      <c r="D434" s="8" t="inlineStr">
        <is>
          <t>Public</t>
        </is>
      </c>
      <c r="E434" s="9" t="n">
        <v>25031</v>
      </c>
      <c r="F434" s="9" t="n">
        <v>57364</v>
      </c>
      <c r="G434" s="8">
        <f>RANK(F434,$F$5:$F$1561)</f>
        <v/>
      </c>
      <c r="H434" s="8" t="inlineStr"/>
      <c r="I434" s="9">
        <f>IF(D434="Private",E434,"")</f>
        <v/>
      </c>
      <c r="J434" s="9">
        <f>IF(D434="Private",F434,"")</f>
        <v/>
      </c>
    </row>
    <row r="435">
      <c r="A435" s="8" t="inlineStr">
        <is>
          <t>SUNY Cortland</t>
        </is>
      </c>
      <c r="B435" s="8" t="inlineStr">
        <is>
          <t>Cortland</t>
        </is>
      </c>
      <c r="C435" s="8" t="inlineStr">
        <is>
          <t>NY</t>
        </is>
      </c>
      <c r="D435" s="8" t="inlineStr">
        <is>
          <t>Public</t>
        </is>
      </c>
      <c r="E435" s="9" t="n">
        <v>19273</v>
      </c>
      <c r="F435" s="9" t="n">
        <v>57352</v>
      </c>
      <c r="G435" s="8">
        <f>RANK(F435,$F$5:$F$1561)</f>
        <v/>
      </c>
      <c r="H435" s="8" t="inlineStr"/>
      <c r="I435" s="9">
        <f>IF(D435="Private",E435,"")</f>
        <v/>
      </c>
      <c r="J435" s="9">
        <f>IF(D435="Private",F435,"")</f>
        <v/>
      </c>
    </row>
    <row r="436">
      <c r="A436" s="8" t="inlineStr">
        <is>
          <t>The University of Tampa</t>
        </is>
      </c>
      <c r="B436" s="8" t="inlineStr">
        <is>
          <t>Tampa</t>
        </is>
      </c>
      <c r="C436" s="8" t="inlineStr">
        <is>
          <t>FL</t>
        </is>
      </c>
      <c r="D436" s="8" t="inlineStr">
        <is>
          <t>Private</t>
        </is>
      </c>
      <c r="E436" s="9" t="n">
        <v>34866</v>
      </c>
      <c r="F436" s="9" t="n">
        <v>57297</v>
      </c>
      <c r="G436" s="8">
        <f>RANK(F436,$F$5:$F$1561)</f>
        <v/>
      </c>
      <c r="H436" s="8" t="inlineStr"/>
      <c r="I436" s="9">
        <f>IF(D436="Private",E436,"")</f>
        <v/>
      </c>
      <c r="J436" s="9">
        <f>IF(D436="Private",F436,"")</f>
        <v/>
      </c>
    </row>
    <row r="437">
      <c r="A437" s="8" t="inlineStr">
        <is>
          <t>Wittenberg University</t>
        </is>
      </c>
      <c r="B437" s="8" t="inlineStr">
        <is>
          <t>Springfield</t>
        </is>
      </c>
      <c r="C437" s="8" t="inlineStr">
        <is>
          <t>OH</t>
        </is>
      </c>
      <c r="D437" s="8" t="inlineStr">
        <is>
          <t>Private</t>
        </is>
      </c>
      <c r="E437" s="9" t="n">
        <v>21795</v>
      </c>
      <c r="F437" s="9" t="n">
        <v>57280</v>
      </c>
      <c r="G437" s="8">
        <f>RANK(F437,$F$5:$F$1561)</f>
        <v/>
      </c>
      <c r="H437" s="8" t="inlineStr"/>
      <c r="I437" s="9">
        <f>IF(D437="Private",E437,"")</f>
        <v/>
      </c>
      <c r="J437" s="9">
        <f>IF(D437="Private",F437,"")</f>
        <v/>
      </c>
    </row>
    <row r="438">
      <c r="A438" s="8" t="inlineStr">
        <is>
          <t>Jacksonville University</t>
        </is>
      </c>
      <c r="B438" s="8" t="inlineStr">
        <is>
          <t>Jacksonville</t>
        </is>
      </c>
      <c r="C438" s="8" t="inlineStr">
        <is>
          <t>FL</t>
        </is>
      </c>
      <c r="D438" s="8" t="inlineStr">
        <is>
          <t>Private</t>
        </is>
      </c>
      <c r="E438" s="9" t="n">
        <v>24748</v>
      </c>
      <c r="F438" s="9" t="n">
        <v>57255</v>
      </c>
      <c r="G438" s="8">
        <f>RANK(F438,$F$5:$F$1561)</f>
        <v/>
      </c>
      <c r="H438" s="8" t="inlineStr"/>
      <c r="I438" s="9">
        <f>IF(D438="Private",E438,"")</f>
        <v/>
      </c>
      <c r="J438" s="9">
        <f>IF(D438="Private",F438,"")</f>
        <v/>
      </c>
    </row>
    <row r="439">
      <c r="A439" s="8" t="inlineStr">
        <is>
          <t>Wheeling University</t>
        </is>
      </c>
      <c r="B439" s="8" t="inlineStr">
        <is>
          <t>Wheeling</t>
        </is>
      </c>
      <c r="C439" s="8" t="inlineStr">
        <is>
          <t>WV</t>
        </is>
      </c>
      <c r="D439" s="8" t="inlineStr">
        <is>
          <t>Private</t>
        </is>
      </c>
      <c r="E439" s="9" t="n">
        <v>29188</v>
      </c>
      <c r="F439" s="9" t="n">
        <v>57251</v>
      </c>
      <c r="G439" s="8">
        <f>RANK(F439,$F$5:$F$1561)</f>
        <v/>
      </c>
      <c r="H439" s="8" t="inlineStr"/>
      <c r="I439" s="9">
        <f>IF(D439="Private",E439,"")</f>
        <v/>
      </c>
      <c r="J439" s="9">
        <f>IF(D439="Private",F439,"")</f>
        <v/>
      </c>
    </row>
    <row r="440">
      <c r="A440" s="8" t="inlineStr">
        <is>
          <t>Charter Oak State College</t>
        </is>
      </c>
      <c r="B440" s="8" t="inlineStr">
        <is>
          <t>New Britain</t>
        </is>
      </c>
      <c r="C440" s="8" t="inlineStr">
        <is>
          <t>CT</t>
        </is>
      </c>
      <c r="D440" s="8" t="inlineStr">
        <is>
          <t>Public</t>
        </is>
      </c>
      <c r="E440" s="9" t="n">
        <v>13836</v>
      </c>
      <c r="F440" s="9" t="n">
        <v>57234</v>
      </c>
      <c r="G440" s="8">
        <f>RANK(F440,$F$5:$F$1561)</f>
        <v/>
      </c>
      <c r="H440" s="8" t="inlineStr"/>
      <c r="I440" s="9">
        <f>IF(D440="Private",E440,"")</f>
        <v/>
      </c>
      <c r="J440" s="9">
        <f>IF(D440="Private",F440,"")</f>
        <v/>
      </c>
    </row>
    <row r="441">
      <c r="A441" s="8" t="inlineStr">
        <is>
          <t>Whitworth University</t>
        </is>
      </c>
      <c r="B441" s="8" t="inlineStr">
        <is>
          <t>Spokane</t>
        </is>
      </c>
      <c r="C441" s="8" t="inlineStr">
        <is>
          <t>WA</t>
        </is>
      </c>
      <c r="D441" s="8" t="inlineStr">
        <is>
          <t>Private</t>
        </is>
      </c>
      <c r="E441" s="9" t="n">
        <v>25823</v>
      </c>
      <c r="F441" s="9" t="n">
        <v>57211</v>
      </c>
      <c r="G441" s="8">
        <f>RANK(F441,$F$5:$F$1561)</f>
        <v/>
      </c>
      <c r="H441" s="8" t="inlineStr"/>
      <c r="I441" s="9">
        <f>IF(D441="Private",E441,"")</f>
        <v/>
      </c>
      <c r="J441" s="9">
        <f>IF(D441="Private",F441,"")</f>
        <v/>
      </c>
    </row>
    <row r="442">
      <c r="A442" s="8" t="inlineStr">
        <is>
          <t>Hamline University</t>
        </is>
      </c>
      <c r="B442" s="8" t="inlineStr">
        <is>
          <t>Saint Paul</t>
        </is>
      </c>
      <c r="C442" s="8" t="inlineStr">
        <is>
          <t>MN</t>
        </is>
      </c>
      <c r="D442" s="8" t="inlineStr">
        <is>
          <t>Private</t>
        </is>
      </c>
      <c r="E442" s="9" t="n">
        <v>18813</v>
      </c>
      <c r="F442" s="9" t="n">
        <v>57170</v>
      </c>
      <c r="G442" s="8">
        <f>RANK(F442,$F$5:$F$1561)</f>
        <v/>
      </c>
      <c r="H442" s="8" t="inlineStr"/>
      <c r="I442" s="9">
        <f>IF(D442="Private",E442,"")</f>
        <v/>
      </c>
      <c r="J442" s="9">
        <f>IF(D442="Private",F442,"")</f>
        <v/>
      </c>
    </row>
    <row r="443">
      <c r="A443" s="8" t="inlineStr">
        <is>
          <t>University of Oregon</t>
        </is>
      </c>
      <c r="B443" s="8" t="inlineStr">
        <is>
          <t>Eugene</t>
        </is>
      </c>
      <c r="C443" s="8" t="inlineStr">
        <is>
          <t>OR</t>
        </is>
      </c>
      <c r="D443" s="8" t="inlineStr">
        <is>
          <t>Public</t>
        </is>
      </c>
      <c r="E443" s="9" t="n">
        <v>18699</v>
      </c>
      <c r="F443" s="9" t="n">
        <v>57157</v>
      </c>
      <c r="G443" s="8">
        <f>RANK(F443,$F$5:$F$1561)</f>
        <v/>
      </c>
      <c r="H443" s="8" t="inlineStr"/>
      <c r="I443" s="9">
        <f>IF(D443="Private",E443,"")</f>
        <v/>
      </c>
      <c r="J443" s="9">
        <f>IF(D443="Private",F443,"")</f>
        <v/>
      </c>
    </row>
    <row r="444">
      <c r="A444" s="8" t="inlineStr">
        <is>
          <t>University of Wisconsin-La Crosse</t>
        </is>
      </c>
      <c r="B444" s="8" t="inlineStr">
        <is>
          <t>La Crosse</t>
        </is>
      </c>
      <c r="C444" s="8" t="inlineStr">
        <is>
          <t>WI</t>
        </is>
      </c>
      <c r="D444" s="8" t="inlineStr">
        <is>
          <t>Public</t>
        </is>
      </c>
      <c r="E444" s="9" t="n">
        <v>14839</v>
      </c>
      <c r="F444" s="9" t="n">
        <v>57125</v>
      </c>
      <c r="G444" s="8">
        <f>RANK(F444,$F$5:$F$1561)</f>
        <v/>
      </c>
      <c r="H444" s="8" t="inlineStr"/>
      <c r="I444" s="9">
        <f>IF(D444="Private",E444,"")</f>
        <v/>
      </c>
      <c r="J444" s="9">
        <f>IF(D444="Private",F444,"")</f>
        <v/>
      </c>
    </row>
    <row r="445">
      <c r="A445" s="8" t="inlineStr">
        <is>
          <t>Salisbury University</t>
        </is>
      </c>
      <c r="B445" s="8" t="inlineStr">
        <is>
          <t>Salisbury</t>
        </is>
      </c>
      <c r="C445" s="8" t="inlineStr">
        <is>
          <t>MD</t>
        </is>
      </c>
      <c r="D445" s="8" t="inlineStr">
        <is>
          <t>Public</t>
        </is>
      </c>
      <c r="E445" s="9" t="n">
        <v>18706</v>
      </c>
      <c r="F445" s="9" t="n">
        <v>57122</v>
      </c>
      <c r="G445" s="8">
        <f>RANK(F445,$F$5:$F$1561)</f>
        <v/>
      </c>
      <c r="H445" s="8" t="inlineStr"/>
      <c r="I445" s="9">
        <f>IF(D445="Private",E445,"")</f>
        <v/>
      </c>
      <c r="J445" s="9">
        <f>IF(D445="Private",F445,"")</f>
        <v/>
      </c>
    </row>
    <row r="446">
      <c r="A446" s="8" t="inlineStr">
        <is>
          <t>Gannon University</t>
        </is>
      </c>
      <c r="B446" s="8" t="inlineStr">
        <is>
          <t>Erie</t>
        </is>
      </c>
      <c r="C446" s="8" t="inlineStr">
        <is>
          <t>PA</t>
        </is>
      </c>
      <c r="D446" s="8" t="inlineStr">
        <is>
          <t>Private</t>
        </is>
      </c>
      <c r="E446" s="9" t="n">
        <v>21964</v>
      </c>
      <c r="F446" s="9" t="n">
        <v>57091</v>
      </c>
      <c r="G446" s="8">
        <f>RANK(F446,$F$5:$F$1561)</f>
        <v/>
      </c>
      <c r="H446" s="8" t="inlineStr"/>
      <c r="I446" s="9">
        <f>IF(D446="Private",E446,"")</f>
        <v/>
      </c>
      <c r="J446" s="9">
        <f>IF(D446="Private",F446,"")</f>
        <v/>
      </c>
    </row>
    <row r="447">
      <c r="A447" s="8" t="inlineStr">
        <is>
          <t>Fairleigh Dickinson University-Metropolitan Campus</t>
        </is>
      </c>
      <c r="B447" s="8" t="inlineStr">
        <is>
          <t>Teaneck</t>
        </is>
      </c>
      <c r="C447" s="8" t="inlineStr">
        <is>
          <t>NJ</t>
        </is>
      </c>
      <c r="D447" s="8" t="inlineStr">
        <is>
          <t>Private</t>
        </is>
      </c>
      <c r="E447" s="9" t="n">
        <v>10987</v>
      </c>
      <c r="F447" s="9" t="n">
        <v>57054</v>
      </c>
      <c r="G447" s="8">
        <f>RANK(F447,$F$5:$F$1561)</f>
        <v/>
      </c>
      <c r="H447" s="8" t="inlineStr"/>
      <c r="I447" s="9">
        <f>IF(D447="Private",E447,"")</f>
        <v/>
      </c>
      <c r="J447" s="9">
        <f>IF(D447="Private",F447,"")</f>
        <v/>
      </c>
    </row>
    <row r="448">
      <c r="A448" s="8" t="inlineStr">
        <is>
          <t>Fairleigh Dickinson University-Florham Campus</t>
        </is>
      </c>
      <c r="B448" s="8" t="inlineStr">
        <is>
          <t>Madison</t>
        </is>
      </c>
      <c r="C448" s="8" t="inlineStr">
        <is>
          <t>NJ</t>
        </is>
      </c>
      <c r="D448" s="8" t="inlineStr">
        <is>
          <t>Private</t>
        </is>
      </c>
      <c r="E448" s="9" t="n">
        <v>15651</v>
      </c>
      <c r="F448" s="9" t="n">
        <v>57054</v>
      </c>
      <c r="G448" s="8">
        <f>RANK(F448,$F$5:$F$1561)</f>
        <v/>
      </c>
      <c r="H448" s="8" t="inlineStr"/>
      <c r="I448" s="9">
        <f>IF(D448="Private",E448,"")</f>
        <v/>
      </c>
      <c r="J448" s="9">
        <f>IF(D448="Private",F448,"")</f>
        <v/>
      </c>
    </row>
    <row r="449">
      <c r="A449" s="8" t="inlineStr">
        <is>
          <t>Montclair State University</t>
        </is>
      </c>
      <c r="B449" s="8" t="inlineStr">
        <is>
          <t>Montclair</t>
        </is>
      </c>
      <c r="C449" s="8" t="inlineStr">
        <is>
          <t>NJ</t>
        </is>
      </c>
      <c r="D449" s="8" t="inlineStr">
        <is>
          <t>Public</t>
        </is>
      </c>
      <c r="E449" s="9" t="n">
        <v>13705</v>
      </c>
      <c r="F449" s="9" t="n">
        <v>57008</v>
      </c>
      <c r="G449" s="8">
        <f>RANK(F449,$F$5:$F$1561)</f>
        <v/>
      </c>
      <c r="H449" s="8" t="inlineStr"/>
      <c r="I449" s="9">
        <f>IF(D449="Private",E449,"")</f>
        <v/>
      </c>
      <c r="J449" s="9">
        <f>IF(D449="Private",F449,"")</f>
        <v/>
      </c>
    </row>
    <row r="450">
      <c r="A450" s="8" t="inlineStr">
        <is>
          <t>Florida State University</t>
        </is>
      </c>
      <c r="B450" s="8" t="inlineStr">
        <is>
          <t>Tallahassee</t>
        </is>
      </c>
      <c r="C450" s="8" t="inlineStr">
        <is>
          <t>FL</t>
        </is>
      </c>
      <c r="D450" s="8" t="inlineStr">
        <is>
          <t>Public</t>
        </is>
      </c>
      <c r="E450" s="9" t="n">
        <v>9561</v>
      </c>
      <c r="F450" s="9" t="n">
        <v>57007</v>
      </c>
      <c r="G450" s="8">
        <f>RANK(F450,$F$5:$F$1561)</f>
        <v/>
      </c>
      <c r="H450" s="8" t="inlineStr"/>
      <c r="I450" s="9">
        <f>IF(D450="Private",E450,"")</f>
        <v/>
      </c>
      <c r="J450" s="9">
        <f>IF(D450="Private",F450,"")</f>
        <v/>
      </c>
    </row>
    <row r="451">
      <c r="A451" s="8" t="inlineStr">
        <is>
          <t>Western Connecticut State University</t>
        </is>
      </c>
      <c r="B451" s="8" t="inlineStr">
        <is>
          <t>Danbury</t>
        </is>
      </c>
      <c r="C451" s="8" t="inlineStr">
        <is>
          <t>CT</t>
        </is>
      </c>
      <c r="D451" s="8" t="inlineStr">
        <is>
          <t>Public</t>
        </is>
      </c>
      <c r="E451" s="9" t="n">
        <v>16154</v>
      </c>
      <c r="F451" s="9" t="n">
        <v>57005</v>
      </c>
      <c r="G451" s="8">
        <f>RANK(F451,$F$5:$F$1561)</f>
        <v/>
      </c>
      <c r="H451" s="8" t="inlineStr"/>
      <c r="I451" s="9">
        <f>IF(D451="Private",E451,"")</f>
        <v/>
      </c>
      <c r="J451" s="9">
        <f>IF(D451="Private",F451,"")</f>
        <v/>
      </c>
    </row>
    <row r="452">
      <c r="A452" s="8" t="inlineStr">
        <is>
          <t>Daemen University</t>
        </is>
      </c>
      <c r="B452" s="8" t="inlineStr">
        <is>
          <t>Amherst</t>
        </is>
      </c>
      <c r="C452" s="8" t="inlineStr">
        <is>
          <t>NY</t>
        </is>
      </c>
      <c r="D452" s="8" t="inlineStr">
        <is>
          <t>Private</t>
        </is>
      </c>
      <c r="E452" s="9" t="n">
        <v>19883</v>
      </c>
      <c r="F452" s="9" t="n">
        <v>56958</v>
      </c>
      <c r="G452" s="8">
        <f>RANK(F452,$F$5:$F$1561)</f>
        <v/>
      </c>
      <c r="H452" s="8" t="inlineStr"/>
      <c r="I452" s="9">
        <f>IF(D452="Private",E452,"")</f>
        <v/>
      </c>
      <c r="J452" s="9">
        <f>IF(D452="Private",F452,"")</f>
        <v/>
      </c>
    </row>
    <row r="453">
      <c r="A453" s="8" t="inlineStr">
        <is>
          <t>Dominican University</t>
        </is>
      </c>
      <c r="B453" s="8" t="inlineStr">
        <is>
          <t>River Forest</t>
        </is>
      </c>
      <c r="C453" s="8" t="inlineStr">
        <is>
          <t>IL</t>
        </is>
      </c>
      <c r="D453" s="8" t="inlineStr">
        <is>
          <t>Private</t>
        </is>
      </c>
      <c r="E453" s="9" t="n">
        <v>17840</v>
      </c>
      <c r="F453" s="9" t="n">
        <v>56955</v>
      </c>
      <c r="G453" s="8">
        <f>RANK(F453,$F$5:$F$1561)</f>
        <v/>
      </c>
      <c r="H453" s="8" t="inlineStr"/>
      <c r="I453" s="9">
        <f>IF(D453="Private",E453,"")</f>
        <v/>
      </c>
      <c r="J453" s="9">
        <f>IF(D453="Private",F453,"")</f>
        <v/>
      </c>
    </row>
    <row r="454">
      <c r="A454" s="8" t="inlineStr">
        <is>
          <t>Robert Morris University</t>
        </is>
      </c>
      <c r="B454" s="8" t="inlineStr">
        <is>
          <t>Moon Township</t>
        </is>
      </c>
      <c r="C454" s="8" t="inlineStr">
        <is>
          <t>PA</t>
        </is>
      </c>
      <c r="D454" s="8" t="inlineStr">
        <is>
          <t>Private</t>
        </is>
      </c>
      <c r="E454" s="9" t="n">
        <v>24224</v>
      </c>
      <c r="F454" s="9" t="n">
        <v>56943</v>
      </c>
      <c r="G454" s="8">
        <f>RANK(F454,$F$5:$F$1561)</f>
        <v/>
      </c>
      <c r="H454" s="8" t="inlineStr"/>
      <c r="I454" s="9">
        <f>IF(D454="Private",E454,"")</f>
        <v/>
      </c>
      <c r="J454" s="9">
        <f>IF(D454="Private",F454,"")</f>
        <v/>
      </c>
    </row>
    <row r="455">
      <c r="A455" s="8" t="inlineStr">
        <is>
          <t>Notre Dame of Maryland University</t>
        </is>
      </c>
      <c r="B455" s="8" t="inlineStr">
        <is>
          <t>Baltimore</t>
        </is>
      </c>
      <c r="C455" s="8" t="inlineStr">
        <is>
          <t>MD</t>
        </is>
      </c>
      <c r="D455" s="8" t="inlineStr">
        <is>
          <t>Private</t>
        </is>
      </c>
      <c r="E455" s="9" t="n">
        <v>27149</v>
      </c>
      <c r="F455" s="9" t="n">
        <v>56906</v>
      </c>
      <c r="G455" s="8">
        <f>RANK(F455,$F$5:$F$1561)</f>
        <v/>
      </c>
      <c r="H455" s="8" t="inlineStr"/>
      <c r="I455" s="9">
        <f>IF(D455="Private",E455,"")</f>
        <v/>
      </c>
      <c r="J455" s="9">
        <f>IF(D455="Private",F455,"")</f>
        <v/>
      </c>
    </row>
    <row r="456">
      <c r="A456" s="8" t="inlineStr">
        <is>
          <t>University of Alabama in Huntsville</t>
        </is>
      </c>
      <c r="B456" s="8" t="inlineStr">
        <is>
          <t>Huntsville</t>
        </is>
      </c>
      <c r="C456" s="8" t="inlineStr">
        <is>
          <t>AL</t>
        </is>
      </c>
      <c r="D456" s="8" t="inlineStr">
        <is>
          <t>Public</t>
        </is>
      </c>
      <c r="E456" s="9" t="n">
        <v>17250</v>
      </c>
      <c r="F456" s="9" t="n">
        <v>56901</v>
      </c>
      <c r="G456" s="8">
        <f>RANK(F456,$F$5:$F$1561)</f>
        <v/>
      </c>
      <c r="H456" s="8" t="inlineStr"/>
      <c r="I456" s="9">
        <f>IF(D456="Private",E456,"")</f>
        <v/>
      </c>
      <c r="J456" s="9">
        <f>IF(D456="Private",F456,"")</f>
        <v/>
      </c>
    </row>
    <row r="457">
      <c r="A457" s="8" t="inlineStr">
        <is>
          <t>Augsburg University</t>
        </is>
      </c>
      <c r="B457" s="8" t="inlineStr">
        <is>
          <t>Minneapolis</t>
        </is>
      </c>
      <c r="C457" s="8" t="inlineStr">
        <is>
          <t>MN</t>
        </is>
      </c>
      <c r="D457" s="8" t="inlineStr">
        <is>
          <t>Private</t>
        </is>
      </c>
      <c r="E457" s="9" t="n">
        <v>24052</v>
      </c>
      <c r="F457" s="9" t="n">
        <v>56814</v>
      </c>
      <c r="G457" s="8">
        <f>RANK(F457,$F$5:$F$1561)</f>
        <v/>
      </c>
      <c r="H457" s="8" t="inlineStr"/>
      <c r="I457" s="9">
        <f>IF(D457="Private",E457,"")</f>
        <v/>
      </c>
      <c r="J457" s="9">
        <f>IF(D457="Private",F457,"")</f>
        <v/>
      </c>
    </row>
    <row r="458">
      <c r="A458" s="8" t="inlineStr">
        <is>
          <t>Cardinal Stritch University</t>
        </is>
      </c>
      <c r="B458" s="8" t="inlineStr">
        <is>
          <t>Milwaukee</t>
        </is>
      </c>
      <c r="C458" s="8" t="inlineStr">
        <is>
          <t>WI</t>
        </is>
      </c>
      <c r="D458" s="8" t="inlineStr">
        <is>
          <t>Private</t>
        </is>
      </c>
      <c r="E458" s="9" t="n">
        <v>17958</v>
      </c>
      <c r="F458" s="9" t="n">
        <v>56811</v>
      </c>
      <c r="G458" s="8">
        <f>RANK(F458,$F$5:$F$1561)</f>
        <v/>
      </c>
      <c r="H458" s="8" t="inlineStr"/>
      <c r="I458" s="9">
        <f>IF(D458="Private",E458,"")</f>
        <v/>
      </c>
      <c r="J458" s="9">
        <f>IF(D458="Private",F458,"")</f>
        <v/>
      </c>
    </row>
    <row r="459">
      <c r="A459" s="8" t="inlineStr">
        <is>
          <t>Central Connecticut State University</t>
        </is>
      </c>
      <c r="B459" s="8" t="inlineStr">
        <is>
          <t>New Britain</t>
        </is>
      </c>
      <c r="C459" s="8" t="inlineStr">
        <is>
          <t>CT</t>
        </is>
      </c>
      <c r="D459" s="8" t="inlineStr">
        <is>
          <t>Public</t>
        </is>
      </c>
      <c r="E459" s="9" t="n">
        <v>13434</v>
      </c>
      <c r="F459" s="9" t="n">
        <v>56799</v>
      </c>
      <c r="G459" s="8">
        <f>RANK(F459,$F$5:$F$1561)</f>
        <v/>
      </c>
      <c r="H459" s="8" t="inlineStr"/>
      <c r="I459" s="9">
        <f>IF(D459="Private",E459,"")</f>
        <v/>
      </c>
      <c r="J459" s="9">
        <f>IF(D459="Private",F459,"")</f>
        <v/>
      </c>
    </row>
    <row r="460">
      <c r="A460" s="8" t="inlineStr">
        <is>
          <t>University of Tulsa</t>
        </is>
      </c>
      <c r="B460" s="8" t="inlineStr">
        <is>
          <t>Tulsa</t>
        </is>
      </c>
      <c r="C460" s="8" t="inlineStr">
        <is>
          <t>OK</t>
        </is>
      </c>
      <c r="D460" s="8" t="inlineStr">
        <is>
          <t>Private</t>
        </is>
      </c>
      <c r="E460" s="9" t="n">
        <v>26781</v>
      </c>
      <c r="F460" s="9" t="n">
        <v>56788</v>
      </c>
      <c r="G460" s="8">
        <f>RANK(F460,$F$5:$F$1561)</f>
        <v/>
      </c>
      <c r="H460" s="8" t="inlineStr"/>
      <c r="I460" s="9">
        <f>IF(D460="Private",E460,"")</f>
        <v/>
      </c>
      <c r="J460" s="9">
        <f>IF(D460="Private",F460,"")</f>
        <v/>
      </c>
    </row>
    <row r="461">
      <c r="A461" s="8" t="inlineStr">
        <is>
          <t>St. Mary's University</t>
        </is>
      </c>
      <c r="B461" s="8" t="inlineStr">
        <is>
          <t>San Antonio</t>
        </is>
      </c>
      <c r="C461" s="8" t="inlineStr">
        <is>
          <t>TX</t>
        </is>
      </c>
      <c r="D461" s="8" t="inlineStr">
        <is>
          <t>Private</t>
        </is>
      </c>
      <c r="E461" s="9" t="n">
        <v>17120</v>
      </c>
      <c r="F461" s="9" t="n">
        <v>56763</v>
      </c>
      <c r="G461" s="8">
        <f>RANK(F461,$F$5:$F$1561)</f>
        <v/>
      </c>
      <c r="H461" s="8" t="inlineStr"/>
      <c r="I461" s="9">
        <f>IF(D461="Private",E461,"")</f>
        <v/>
      </c>
      <c r="J461" s="9">
        <f>IF(D461="Private",F461,"")</f>
        <v/>
      </c>
    </row>
    <row r="462">
      <c r="A462" s="8" t="inlineStr">
        <is>
          <t>Russell Sage College</t>
        </is>
      </c>
      <c r="B462" s="8" t="inlineStr">
        <is>
          <t>Troy</t>
        </is>
      </c>
      <c r="C462" s="8" t="inlineStr">
        <is>
          <t>NY</t>
        </is>
      </c>
      <c r="D462" s="8" t="inlineStr">
        <is>
          <t>Private</t>
        </is>
      </c>
      <c r="E462" s="9" t="n">
        <v>22595</v>
      </c>
      <c r="F462" s="9" t="n">
        <v>56762</v>
      </c>
      <c r="G462" s="8">
        <f>RANK(F462,$F$5:$F$1561)</f>
        <v/>
      </c>
      <c r="H462" s="8" t="inlineStr"/>
      <c r="I462" s="9">
        <f>IF(D462="Private",E462,"")</f>
        <v/>
      </c>
      <c r="J462" s="9">
        <f>IF(D462="Private",F462,"")</f>
        <v/>
      </c>
    </row>
    <row r="463">
      <c r="A463" s="8" t="inlineStr">
        <is>
          <t>Millsaps College</t>
        </is>
      </c>
      <c r="B463" s="8" t="inlineStr">
        <is>
          <t>Jackson</t>
        </is>
      </c>
      <c r="C463" s="8" t="inlineStr">
        <is>
          <t>MS</t>
        </is>
      </c>
      <c r="D463" s="8" t="inlineStr">
        <is>
          <t>Private</t>
        </is>
      </c>
      <c r="E463" s="9" t="n">
        <v>23691</v>
      </c>
      <c r="F463" s="9" t="n">
        <v>56736</v>
      </c>
      <c r="G463" s="8">
        <f>RANK(F463,$F$5:$F$1561)</f>
        <v/>
      </c>
      <c r="H463" s="8" t="inlineStr"/>
      <c r="I463" s="9">
        <f>IF(D463="Private",E463,"")</f>
        <v/>
      </c>
      <c r="J463" s="9">
        <f>IF(D463="Private",F463,"")</f>
        <v/>
      </c>
    </row>
    <row r="464">
      <c r="A464" s="8" t="inlineStr">
        <is>
          <t>University of Dallas</t>
        </is>
      </c>
      <c r="B464" s="8" t="inlineStr">
        <is>
          <t>Irving</t>
        </is>
      </c>
      <c r="C464" s="8" t="inlineStr">
        <is>
          <t>TX</t>
        </is>
      </c>
      <c r="D464" s="8" t="inlineStr">
        <is>
          <t>Private</t>
        </is>
      </c>
      <c r="E464" s="9" t="n">
        <v>20636</v>
      </c>
      <c r="F464" s="9" t="n">
        <v>56733</v>
      </c>
      <c r="G464" s="8">
        <f>RANK(F464,$F$5:$F$1561)</f>
        <v/>
      </c>
      <c r="H464" s="8" t="inlineStr"/>
      <c r="I464" s="9">
        <f>IF(D464="Private",E464,"")</f>
        <v/>
      </c>
      <c r="J464" s="9">
        <f>IF(D464="Private",F464,"")</f>
        <v/>
      </c>
    </row>
    <row r="465">
      <c r="A465" s="8" t="inlineStr">
        <is>
          <t>Emmanuel College</t>
        </is>
      </c>
      <c r="B465" s="8" t="inlineStr">
        <is>
          <t>Boston</t>
        </is>
      </c>
      <c r="C465" s="8" t="inlineStr">
        <is>
          <t>MA</t>
        </is>
      </c>
      <c r="D465" s="8" t="inlineStr">
        <is>
          <t>Private</t>
        </is>
      </c>
      <c r="E465" s="9" t="n">
        <v>27232</v>
      </c>
      <c r="F465" s="9" t="n">
        <v>56728</v>
      </c>
      <c r="G465" s="8">
        <f>RANK(F465,$F$5:$F$1561)</f>
        <v/>
      </c>
      <c r="H465" s="8" t="inlineStr"/>
      <c r="I465" s="9">
        <f>IF(D465="Private",E465,"")</f>
        <v/>
      </c>
      <c r="J465" s="9">
        <f>IF(D465="Private",F465,"")</f>
        <v/>
      </c>
    </row>
    <row r="466">
      <c r="A466" s="8" t="inlineStr">
        <is>
          <t>Walla Walla University</t>
        </is>
      </c>
      <c r="B466" s="8" t="inlineStr">
        <is>
          <t>College Place</t>
        </is>
      </c>
      <c r="C466" s="8" t="inlineStr">
        <is>
          <t>WA</t>
        </is>
      </c>
      <c r="D466" s="8" t="inlineStr">
        <is>
          <t>Private</t>
        </is>
      </c>
      <c r="E466" s="9" t="n">
        <v>23216</v>
      </c>
      <c r="F466" s="9" t="n">
        <v>56658</v>
      </c>
      <c r="G466" s="8">
        <f>RANK(F466,$F$5:$F$1561)</f>
        <v/>
      </c>
      <c r="H466" s="8" t="inlineStr"/>
      <c r="I466" s="9">
        <f>IF(D466="Private",E466,"")</f>
        <v/>
      </c>
      <c r="J466" s="9">
        <f>IF(D466="Private",F466,"")</f>
        <v/>
      </c>
    </row>
    <row r="467">
      <c r="A467" s="8" t="inlineStr">
        <is>
          <t>The University of Tennessee-Knoxville</t>
        </is>
      </c>
      <c r="B467" s="8" t="inlineStr">
        <is>
          <t>Knoxville</t>
        </is>
      </c>
      <c r="C467" s="8" t="inlineStr">
        <is>
          <t>TN</t>
        </is>
      </c>
      <c r="D467" s="8" t="inlineStr">
        <is>
          <t>Public</t>
        </is>
      </c>
      <c r="E467" s="9" t="n">
        <v>18853</v>
      </c>
      <c r="F467" s="9" t="n">
        <v>56615</v>
      </c>
      <c r="G467" s="8">
        <f>RANK(F467,$F$5:$F$1561)</f>
        <v/>
      </c>
      <c r="H467" s="8" t="inlineStr"/>
      <c r="I467" s="9">
        <f>IF(D467="Private",E467,"")</f>
        <v/>
      </c>
      <c r="J467" s="9">
        <f>IF(D467="Private",F467,"")</f>
        <v/>
      </c>
    </row>
    <row r="468">
      <c r="A468" s="8" t="inlineStr">
        <is>
          <t>West Chester University of Pennsylvania</t>
        </is>
      </c>
      <c r="B468" s="8" t="inlineStr">
        <is>
          <t>West Chester</t>
        </is>
      </c>
      <c r="C468" s="8" t="inlineStr">
        <is>
          <t>PA</t>
        </is>
      </c>
      <c r="D468" s="8" t="inlineStr">
        <is>
          <t>Public</t>
        </is>
      </c>
      <c r="E468" s="9" t="n">
        <v>13183</v>
      </c>
      <c r="F468" s="9" t="n">
        <v>56602</v>
      </c>
      <c r="G468" s="8">
        <f>RANK(F468,$F$5:$F$1561)</f>
        <v/>
      </c>
      <c r="H468" s="8" t="inlineStr"/>
      <c r="I468" s="9">
        <f>IF(D468="Private",E468,"")</f>
        <v/>
      </c>
      <c r="J468" s="9">
        <f>IF(D468="Private",F468,"")</f>
        <v/>
      </c>
    </row>
    <row r="469">
      <c r="A469" s="8" t="inlineStr">
        <is>
          <t>Anna Maria College</t>
        </is>
      </c>
      <c r="B469" s="8" t="inlineStr">
        <is>
          <t>Paxton</t>
        </is>
      </c>
      <c r="C469" s="8" t="inlineStr">
        <is>
          <t>MA</t>
        </is>
      </c>
      <c r="D469" s="8" t="inlineStr">
        <is>
          <t>Private</t>
        </is>
      </c>
      <c r="E469" s="9" t="n">
        <v>24185</v>
      </c>
      <c r="F469" s="9" t="n">
        <v>56566</v>
      </c>
      <c r="G469" s="8">
        <f>RANK(F469,$F$5:$F$1561)</f>
        <v/>
      </c>
      <c r="H469" s="8" t="inlineStr"/>
      <c r="I469" s="9">
        <f>IF(D469="Private",E469,"")</f>
        <v/>
      </c>
      <c r="J469" s="9">
        <f>IF(D469="Private",F469,"")</f>
        <v/>
      </c>
    </row>
    <row r="470">
      <c r="A470" s="8" t="inlineStr">
        <is>
          <t>University of Wisconsin-Stout</t>
        </is>
      </c>
      <c r="B470" s="8" t="inlineStr">
        <is>
          <t>Menomonie</t>
        </is>
      </c>
      <c r="C470" s="8" t="inlineStr">
        <is>
          <t>WI</t>
        </is>
      </c>
      <c r="D470" s="8" t="inlineStr">
        <is>
          <t>Public</t>
        </is>
      </c>
      <c r="E470" s="9" t="n">
        <v>16456</v>
      </c>
      <c r="F470" s="9" t="n">
        <v>56554</v>
      </c>
      <c r="G470" s="8">
        <f>RANK(F470,$F$5:$F$1561)</f>
        <v/>
      </c>
      <c r="H470" s="8" t="inlineStr"/>
      <c r="I470" s="9">
        <f>IF(D470="Private",E470,"")</f>
        <v/>
      </c>
      <c r="J470" s="9">
        <f>IF(D470="Private",F470,"")</f>
        <v/>
      </c>
    </row>
    <row r="471">
      <c r="A471" s="8" t="inlineStr">
        <is>
          <t>Rollins College</t>
        </is>
      </c>
      <c r="B471" s="8" t="inlineStr">
        <is>
          <t>Winter Park</t>
        </is>
      </c>
      <c r="C471" s="8" t="inlineStr">
        <is>
          <t>FL</t>
        </is>
      </c>
      <c r="D471" s="8" t="inlineStr">
        <is>
          <t>Private</t>
        </is>
      </c>
      <c r="E471" s="9" t="n">
        <v>23885</v>
      </c>
      <c r="F471" s="9" t="n">
        <v>56485</v>
      </c>
      <c r="G471" s="8">
        <f>RANK(F471,$F$5:$F$1561)</f>
        <v/>
      </c>
      <c r="H471" s="8" t="inlineStr"/>
      <c r="I471" s="9">
        <f>IF(D471="Private",E471,"")</f>
        <v/>
      </c>
      <c r="J471" s="9">
        <f>IF(D471="Private",F471,"")</f>
        <v/>
      </c>
    </row>
    <row r="472">
      <c r="A472" s="8" t="inlineStr">
        <is>
          <t>Saint Edward's University</t>
        </is>
      </c>
      <c r="B472" s="8" t="inlineStr">
        <is>
          <t>Austin</t>
        </is>
      </c>
      <c r="C472" s="8" t="inlineStr">
        <is>
          <t>TX</t>
        </is>
      </c>
      <c r="D472" s="8" t="inlineStr">
        <is>
          <t>Private</t>
        </is>
      </c>
      <c r="E472" s="9" t="n">
        <v>21232</v>
      </c>
      <c r="F472" s="9" t="n">
        <v>56465</v>
      </c>
      <c r="G472" s="8">
        <f>RANK(F472,$F$5:$F$1561)</f>
        <v/>
      </c>
      <c r="H472" s="8" t="inlineStr"/>
      <c r="I472" s="9">
        <f>IF(D472="Private",E472,"")</f>
        <v/>
      </c>
      <c r="J472" s="9">
        <f>IF(D472="Private",F472,"")</f>
        <v/>
      </c>
    </row>
    <row r="473">
      <c r="A473" s="8" t="inlineStr">
        <is>
          <t>Carthage College</t>
        </is>
      </c>
      <c r="B473" s="8" t="inlineStr">
        <is>
          <t>Kenosha</t>
        </is>
      </c>
      <c r="C473" s="8" t="inlineStr">
        <is>
          <t>WI</t>
        </is>
      </c>
      <c r="D473" s="8" t="inlineStr">
        <is>
          <t>Private</t>
        </is>
      </c>
      <c r="E473" s="9" t="n">
        <v>26778</v>
      </c>
      <c r="F473" s="9" t="n">
        <v>56427</v>
      </c>
      <c r="G473" s="8">
        <f>RANK(F473,$F$5:$F$1561)</f>
        <v/>
      </c>
      <c r="H473" s="8" t="inlineStr"/>
      <c r="I473" s="9">
        <f>IF(D473="Private",E473,"")</f>
        <v/>
      </c>
      <c r="J473" s="9">
        <f>IF(D473="Private",F473,"")</f>
        <v/>
      </c>
    </row>
    <row r="474">
      <c r="A474" s="8" t="inlineStr">
        <is>
          <t>Concordia University-Saint Paul</t>
        </is>
      </c>
      <c r="B474" s="8" t="inlineStr">
        <is>
          <t>Saint Paul</t>
        </is>
      </c>
      <c r="C474" s="8" t="inlineStr">
        <is>
          <t>MN</t>
        </is>
      </c>
      <c r="D474" s="8" t="inlineStr">
        <is>
          <t>Private</t>
        </is>
      </c>
      <c r="E474" s="9" t="n">
        <v>15862</v>
      </c>
      <c r="F474" s="9" t="n">
        <v>56424</v>
      </c>
      <c r="G474" s="8">
        <f>RANK(F474,$F$5:$F$1561)</f>
        <v/>
      </c>
      <c r="H474" s="8" t="inlineStr"/>
      <c r="I474" s="9">
        <f>IF(D474="Private",E474,"")</f>
        <v/>
      </c>
      <c r="J474" s="9">
        <f>IF(D474="Private",F474,"")</f>
        <v/>
      </c>
    </row>
    <row r="475">
      <c r="A475" s="8" t="inlineStr">
        <is>
          <t>SUNY College at Old Westbury</t>
        </is>
      </c>
      <c r="B475" s="8" t="inlineStr">
        <is>
          <t>Old Westbury</t>
        </is>
      </c>
      <c r="C475" s="8" t="inlineStr">
        <is>
          <t>NY</t>
        </is>
      </c>
      <c r="D475" s="8" t="inlineStr">
        <is>
          <t>Public</t>
        </is>
      </c>
      <c r="E475" s="9" t="n">
        <v>6352</v>
      </c>
      <c r="F475" s="9" t="n">
        <v>56415</v>
      </c>
      <c r="G475" s="8">
        <f>RANK(F475,$F$5:$F$1561)</f>
        <v/>
      </c>
      <c r="H475" s="8" t="inlineStr"/>
      <c r="I475" s="9">
        <f>IF(D475="Private",E475,"")</f>
        <v/>
      </c>
      <c r="J475" s="9">
        <f>IF(D475="Private",F475,"")</f>
        <v/>
      </c>
    </row>
    <row r="476">
      <c r="A476" s="8" t="inlineStr">
        <is>
          <t>California State University-Northridge</t>
        </is>
      </c>
      <c r="B476" s="8" t="inlineStr">
        <is>
          <t>Northridge</t>
        </is>
      </c>
      <c r="C476" s="8" t="inlineStr">
        <is>
          <t>CA</t>
        </is>
      </c>
      <c r="D476" s="8" t="inlineStr">
        <is>
          <t>Public</t>
        </is>
      </c>
      <c r="E476" s="9" t="n">
        <v>7944</v>
      </c>
      <c r="F476" s="9" t="n">
        <v>56375</v>
      </c>
      <c r="G476" s="8">
        <f>RANK(F476,$F$5:$F$1561)</f>
        <v/>
      </c>
      <c r="H476" s="8" t="inlineStr"/>
      <c r="I476" s="9">
        <f>IF(D476="Private",E476,"")</f>
        <v/>
      </c>
      <c r="J476" s="9">
        <f>IF(D476="Private",F476,"")</f>
        <v/>
      </c>
    </row>
    <row r="477">
      <c r="A477" s="8" t="inlineStr">
        <is>
          <t>Lebanon Valley College</t>
        </is>
      </c>
      <c r="B477" s="8" t="inlineStr">
        <is>
          <t>Annville</t>
        </is>
      </c>
      <c r="C477" s="8" t="inlineStr">
        <is>
          <t>PA</t>
        </is>
      </c>
      <c r="D477" s="8" t="inlineStr">
        <is>
          <t>Private</t>
        </is>
      </c>
      <c r="E477" s="9" t="n">
        <v>26714</v>
      </c>
      <c r="F477" s="9" t="n">
        <v>56367</v>
      </c>
      <c r="G477" s="8">
        <f>RANK(F477,$F$5:$F$1561)</f>
        <v/>
      </c>
      <c r="H477" s="8" t="inlineStr"/>
      <c r="I477" s="9">
        <f>IF(D477="Private",E477,"")</f>
        <v/>
      </c>
      <c r="J477" s="9">
        <f>IF(D477="Private",F477,"")</f>
        <v/>
      </c>
    </row>
    <row r="478">
      <c r="A478" s="8" t="inlineStr">
        <is>
          <t>Pacific University</t>
        </is>
      </c>
      <c r="B478" s="8" t="inlineStr">
        <is>
          <t>Forest Grove</t>
        </is>
      </c>
      <c r="C478" s="8" t="inlineStr">
        <is>
          <t>OR</t>
        </is>
      </c>
      <c r="D478" s="8" t="inlineStr">
        <is>
          <t>Private</t>
        </is>
      </c>
      <c r="E478" s="9" t="n">
        <v>34063</v>
      </c>
      <c r="F478" s="9" t="n">
        <v>56365</v>
      </c>
      <c r="G478" s="8">
        <f>RANK(F478,$F$5:$F$1561)</f>
        <v/>
      </c>
      <c r="H478" s="8" t="inlineStr"/>
      <c r="I478" s="9">
        <f>IF(D478="Private",E478,"")</f>
        <v/>
      </c>
      <c r="J478" s="9">
        <f>IF(D478="Private",F478,"")</f>
        <v/>
      </c>
    </row>
    <row r="479">
      <c r="A479" s="8" t="inlineStr">
        <is>
          <t>Bellarmine University</t>
        </is>
      </c>
      <c r="B479" s="8" t="inlineStr">
        <is>
          <t>Louisville</t>
        </is>
      </c>
      <c r="C479" s="8" t="inlineStr">
        <is>
          <t>KY</t>
        </is>
      </c>
      <c r="D479" s="8" t="inlineStr">
        <is>
          <t>Private</t>
        </is>
      </c>
      <c r="E479" s="9" t="n">
        <v>23443</v>
      </c>
      <c r="F479" s="9" t="n">
        <v>56346</v>
      </c>
      <c r="G479" s="8">
        <f>RANK(F479,$F$5:$F$1561)</f>
        <v/>
      </c>
      <c r="H479" s="8" t="inlineStr"/>
      <c r="I479" s="9">
        <f>IF(D479="Private",E479,"")</f>
        <v/>
      </c>
      <c r="J479" s="9">
        <f>IF(D479="Private",F479,"")</f>
        <v/>
      </c>
    </row>
    <row r="480">
      <c r="A480" s="8" t="inlineStr">
        <is>
          <t>Hope College</t>
        </is>
      </c>
      <c r="B480" s="8" t="inlineStr">
        <is>
          <t>Holland</t>
        </is>
      </c>
      <c r="C480" s="8" t="inlineStr">
        <is>
          <t>MI</t>
        </is>
      </c>
      <c r="D480" s="8" t="inlineStr">
        <is>
          <t>Private</t>
        </is>
      </c>
      <c r="E480" s="9" t="n">
        <v>26700</v>
      </c>
      <c r="F480" s="9" t="n">
        <v>56309</v>
      </c>
      <c r="G480" s="8">
        <f>RANK(F480,$F$5:$F$1561)</f>
        <v/>
      </c>
      <c r="H480" s="8" t="inlineStr"/>
      <c r="I480" s="9">
        <f>IF(D480="Private",E480,"")</f>
        <v/>
      </c>
      <c r="J480" s="9">
        <f>IF(D480="Private",F480,"")</f>
        <v/>
      </c>
    </row>
    <row r="481">
      <c r="A481" s="8" t="inlineStr">
        <is>
          <t>Utica University</t>
        </is>
      </c>
      <c r="B481" s="8" t="inlineStr">
        <is>
          <t>Utica</t>
        </is>
      </c>
      <c r="C481" s="8" t="inlineStr">
        <is>
          <t>NY</t>
        </is>
      </c>
      <c r="D481" s="8" t="inlineStr">
        <is>
          <t>Private</t>
        </is>
      </c>
      <c r="E481" s="9" t="n">
        <v>21756</v>
      </c>
      <c r="F481" s="9" t="n">
        <v>56291</v>
      </c>
      <c r="G481" s="8">
        <f>RANK(F481,$F$5:$F$1561)</f>
        <v/>
      </c>
      <c r="H481" s="8" t="inlineStr"/>
      <c r="I481" s="9">
        <f>IF(D481="Private",E481,"")</f>
        <v/>
      </c>
      <c r="J481" s="9">
        <f>IF(D481="Private",F481,"")</f>
        <v/>
      </c>
    </row>
    <row r="482">
      <c r="A482" s="8" t="inlineStr">
        <is>
          <t>Ursuline College</t>
        </is>
      </c>
      <c r="B482" s="8" t="inlineStr">
        <is>
          <t>Pepper Pike</t>
        </is>
      </c>
      <c r="C482" s="8" t="inlineStr">
        <is>
          <t>OH</t>
        </is>
      </c>
      <c r="D482" s="8" t="inlineStr">
        <is>
          <t>Private</t>
        </is>
      </c>
      <c r="E482" s="9" t="n">
        <v>16690</v>
      </c>
      <c r="F482" s="9" t="n">
        <v>56285</v>
      </c>
      <c r="G482" s="8">
        <f>RANK(F482,$F$5:$F$1561)</f>
        <v/>
      </c>
      <c r="H482" s="8" t="inlineStr"/>
      <c r="I482" s="9">
        <f>IF(D482="Private",E482,"")</f>
        <v/>
      </c>
      <c r="J482" s="9">
        <f>IF(D482="Private",F482,"")</f>
        <v/>
      </c>
    </row>
    <row r="483">
      <c r="A483" s="8" t="inlineStr">
        <is>
          <t>College of Mount Saint Vincent</t>
        </is>
      </c>
      <c r="B483" s="8" t="inlineStr">
        <is>
          <t>Bronx</t>
        </is>
      </c>
      <c r="C483" s="8" t="inlineStr">
        <is>
          <t>NY</t>
        </is>
      </c>
      <c r="D483" s="8" t="inlineStr">
        <is>
          <t>Private</t>
        </is>
      </c>
      <c r="E483" s="9" t="n">
        <v>21066</v>
      </c>
      <c r="F483" s="9" t="n">
        <v>56282</v>
      </c>
      <c r="G483" s="8">
        <f>RANK(F483,$F$5:$F$1561)</f>
        <v/>
      </c>
      <c r="H483" s="8" t="inlineStr"/>
      <c r="I483" s="9">
        <f>IF(D483="Private",E483,"")</f>
        <v/>
      </c>
      <c r="J483" s="9">
        <f>IF(D483="Private",F483,"")</f>
        <v/>
      </c>
    </row>
    <row r="484">
      <c r="A484" s="8" t="inlineStr">
        <is>
          <t>California Baptist University</t>
        </is>
      </c>
      <c r="B484" s="8" t="inlineStr">
        <is>
          <t>Riverside</t>
        </is>
      </c>
      <c r="C484" s="8" t="inlineStr">
        <is>
          <t>CA</t>
        </is>
      </c>
      <c r="D484" s="8" t="inlineStr">
        <is>
          <t>Private</t>
        </is>
      </c>
      <c r="E484" s="9" t="n">
        <v>21812</v>
      </c>
      <c r="F484" s="9" t="n">
        <v>56253</v>
      </c>
      <c r="G484" s="8">
        <f>RANK(F484,$F$5:$F$1561)</f>
        <v/>
      </c>
      <c r="H484" s="8" t="inlineStr"/>
      <c r="I484" s="9">
        <f>IF(D484="Private",E484,"")</f>
        <v/>
      </c>
      <c r="J484" s="9">
        <f>IF(D484="Private",F484,"")</f>
        <v/>
      </c>
    </row>
    <row r="485">
      <c r="A485" s="8" t="inlineStr">
        <is>
          <t>Dunwoody College of Technology</t>
        </is>
      </c>
      <c r="B485" s="8" t="inlineStr">
        <is>
          <t>Minneapolis</t>
        </is>
      </c>
      <c r="C485" s="8" t="inlineStr">
        <is>
          <t>MN</t>
        </is>
      </c>
      <c r="D485" s="8" t="inlineStr">
        <is>
          <t>Private</t>
        </is>
      </c>
      <c r="E485" s="9" t="n">
        <v>25867</v>
      </c>
      <c r="F485" s="9" t="n">
        <v>56185</v>
      </c>
      <c r="G485" s="8">
        <f>RANK(F485,$F$5:$F$1561)</f>
        <v/>
      </c>
      <c r="H485" s="8" t="inlineStr"/>
      <c r="I485" s="9">
        <f>IF(D485="Private",E485,"")</f>
        <v/>
      </c>
      <c r="J485" s="9">
        <f>IF(D485="Private",F485,"")</f>
        <v/>
      </c>
    </row>
    <row r="486">
      <c r="A486" s="8" t="inlineStr">
        <is>
          <t>Lycoming College</t>
        </is>
      </c>
      <c r="B486" s="8" t="inlineStr">
        <is>
          <t>Williamsport</t>
        </is>
      </c>
      <c r="C486" s="8" t="inlineStr">
        <is>
          <t>PA</t>
        </is>
      </c>
      <c r="D486" s="8" t="inlineStr">
        <is>
          <t>Private</t>
        </is>
      </c>
      <c r="E486" s="9" t="n">
        <v>18253</v>
      </c>
      <c r="F486" s="9" t="n">
        <v>56167</v>
      </c>
      <c r="G486" s="8">
        <f>RANK(F486,$F$5:$F$1561)</f>
        <v/>
      </c>
      <c r="H486" s="8" t="inlineStr"/>
      <c r="I486" s="9">
        <f>IF(D486="Private",E486,"")</f>
        <v/>
      </c>
      <c r="J486" s="9">
        <f>IF(D486="Private",F486,"")</f>
        <v/>
      </c>
    </row>
    <row r="487">
      <c r="A487" s="8" t="inlineStr">
        <is>
          <t>Marian University</t>
        </is>
      </c>
      <c r="B487" s="8" t="inlineStr">
        <is>
          <t>Indianapolis</t>
        </is>
      </c>
      <c r="C487" s="8" t="inlineStr">
        <is>
          <t>IN</t>
        </is>
      </c>
      <c r="D487" s="8" t="inlineStr">
        <is>
          <t>Private</t>
        </is>
      </c>
      <c r="E487" s="9" t="n">
        <v>21765</v>
      </c>
      <c r="F487" s="9" t="n">
        <v>56132</v>
      </c>
      <c r="G487" s="8">
        <f>RANK(F487,$F$5:$F$1561)</f>
        <v/>
      </c>
      <c r="H487" s="8" t="inlineStr"/>
      <c r="I487" s="9">
        <f>IF(D487="Private",E487,"")</f>
        <v/>
      </c>
      <c r="J487" s="9">
        <f>IF(D487="Private",F487,"")</f>
        <v/>
      </c>
    </row>
    <row r="488">
      <c r="A488" s="8" t="inlineStr">
        <is>
          <t>The University of Alabama</t>
        </is>
      </c>
      <c r="B488" s="8" t="inlineStr">
        <is>
          <t>Tuscaloosa</t>
        </is>
      </c>
      <c r="C488" s="8" t="inlineStr">
        <is>
          <t>AL</t>
        </is>
      </c>
      <c r="D488" s="8" t="inlineStr">
        <is>
          <t>Public</t>
        </is>
      </c>
      <c r="E488" s="9" t="n">
        <v>21534</v>
      </c>
      <c r="F488" s="9" t="n">
        <v>56118</v>
      </c>
      <c r="G488" s="8">
        <f>RANK(F488,$F$5:$F$1561)</f>
        <v/>
      </c>
      <c r="H488" s="8" t="inlineStr"/>
      <c r="I488" s="9">
        <f>IF(D488="Private",E488,"")</f>
        <v/>
      </c>
      <c r="J488" s="9">
        <f>IF(D488="Private",F488,"")</f>
        <v/>
      </c>
    </row>
    <row r="489">
      <c r="A489" s="8" t="inlineStr">
        <is>
          <t>Rowan University</t>
        </is>
      </c>
      <c r="B489" s="8" t="inlineStr">
        <is>
          <t>Glassboro</t>
        </is>
      </c>
      <c r="C489" s="8" t="inlineStr">
        <is>
          <t>NJ</t>
        </is>
      </c>
      <c r="D489" s="8" t="inlineStr">
        <is>
          <t>Public</t>
        </is>
      </c>
      <c r="E489" s="9" t="n">
        <v>22978</v>
      </c>
      <c r="F489" s="9" t="n">
        <v>56115</v>
      </c>
      <c r="G489" s="8">
        <f>RANK(F489,$F$5:$F$1561)</f>
        <v/>
      </c>
      <c r="H489" s="8" t="inlineStr"/>
      <c r="I489" s="9">
        <f>IF(D489="Private",E489,"")</f>
        <v/>
      </c>
      <c r="J489" s="9">
        <f>IF(D489="Private",F489,"")</f>
        <v/>
      </c>
    </row>
    <row r="490">
      <c r="A490" s="8" t="inlineStr">
        <is>
          <t>Nova Southeastern University</t>
        </is>
      </c>
      <c r="B490" s="8" t="inlineStr">
        <is>
          <t>Fort Lauderdale</t>
        </is>
      </c>
      <c r="C490" s="8" t="inlineStr">
        <is>
          <t>FL</t>
        </is>
      </c>
      <c r="D490" s="8" t="inlineStr">
        <is>
          <t>Private</t>
        </is>
      </c>
      <c r="E490" s="9" t="n">
        <v>25737</v>
      </c>
      <c r="F490" s="9" t="n">
        <v>56055</v>
      </c>
      <c r="G490" s="8">
        <f>RANK(F490,$F$5:$F$1561)</f>
        <v/>
      </c>
      <c r="H490" s="8" t="inlineStr"/>
      <c r="I490" s="9">
        <f>IF(D490="Private",E490,"")</f>
        <v/>
      </c>
      <c r="J490" s="9">
        <f>IF(D490="Private",F490,"")</f>
        <v/>
      </c>
    </row>
    <row r="491">
      <c r="A491" s="8" t="inlineStr">
        <is>
          <t>University of Hawaii at Manoa</t>
        </is>
      </c>
      <c r="B491" s="8" t="inlineStr">
        <is>
          <t>Honolulu</t>
        </is>
      </c>
      <c r="C491" s="8" t="inlineStr">
        <is>
          <t>HI</t>
        </is>
      </c>
      <c r="D491" s="8" t="inlineStr">
        <is>
          <t>Public</t>
        </is>
      </c>
      <c r="E491" s="9" t="n">
        <v>13430</v>
      </c>
      <c r="F491" s="9" t="n">
        <v>56055</v>
      </c>
      <c r="G491" s="8">
        <f>RANK(F491,$F$5:$F$1561)</f>
        <v/>
      </c>
      <c r="H491" s="8" t="inlineStr"/>
      <c r="I491" s="9">
        <f>IF(D491="Private",E491,"")</f>
        <v/>
      </c>
      <c r="J491" s="9">
        <f>IF(D491="Private",F491,"")</f>
        <v/>
      </c>
    </row>
    <row r="492">
      <c r="A492" s="8" t="inlineStr">
        <is>
          <t>Regis College</t>
        </is>
      </c>
      <c r="B492" s="8" t="inlineStr">
        <is>
          <t>Weston</t>
        </is>
      </c>
      <c r="C492" s="8" t="inlineStr">
        <is>
          <t>MA</t>
        </is>
      </c>
      <c r="D492" s="8" t="inlineStr">
        <is>
          <t>Private</t>
        </is>
      </c>
      <c r="E492" s="9" t="n">
        <v>29424</v>
      </c>
      <c r="F492" s="9" t="n">
        <v>56022</v>
      </c>
      <c r="G492" s="8">
        <f>RANK(F492,$F$5:$F$1561)</f>
        <v/>
      </c>
      <c r="H492" s="8" t="inlineStr"/>
      <c r="I492" s="9">
        <f>IF(D492="Private",E492,"")</f>
        <v/>
      </c>
      <c r="J492" s="9">
        <f>IF(D492="Private",F492,"")</f>
        <v/>
      </c>
    </row>
    <row r="493">
      <c r="A493" s="8" t="inlineStr">
        <is>
          <t>Felician University</t>
        </is>
      </c>
      <c r="B493" s="8" t="inlineStr">
        <is>
          <t>Lodi</t>
        </is>
      </c>
      <c r="C493" s="8" t="inlineStr">
        <is>
          <t>NJ</t>
        </is>
      </c>
      <c r="D493" s="8" t="inlineStr">
        <is>
          <t>Private</t>
        </is>
      </c>
      <c r="E493" s="9" t="n">
        <v>17166</v>
      </c>
      <c r="F493" s="9" t="n">
        <v>55992</v>
      </c>
      <c r="G493" s="8">
        <f>RANK(F493,$F$5:$F$1561)</f>
        <v/>
      </c>
      <c r="H493" s="8" t="inlineStr"/>
      <c r="I493" s="9">
        <f>IF(D493="Private",E493,"")</f>
        <v/>
      </c>
      <c r="J493" s="9">
        <f>IF(D493="Private",F493,"")</f>
        <v/>
      </c>
    </row>
    <row r="494">
      <c r="A494" s="8" t="inlineStr">
        <is>
          <t>Clark University</t>
        </is>
      </c>
      <c r="B494" s="8" t="inlineStr">
        <is>
          <t>Worcester</t>
        </is>
      </c>
      <c r="C494" s="8" t="inlineStr">
        <is>
          <t>MA</t>
        </is>
      </c>
      <c r="D494" s="8" t="inlineStr">
        <is>
          <t>Private</t>
        </is>
      </c>
      <c r="E494" s="9" t="n">
        <v>28102</v>
      </c>
      <c r="F494" s="9" t="n">
        <v>55982</v>
      </c>
      <c r="G494" s="8">
        <f>RANK(F494,$F$5:$F$1561)</f>
        <v/>
      </c>
      <c r="H494" s="8" t="inlineStr"/>
      <c r="I494" s="9">
        <f>IF(D494="Private",E494,"")</f>
        <v/>
      </c>
      <c r="J494" s="9">
        <f>IF(D494="Private",F494,"")</f>
        <v/>
      </c>
    </row>
    <row r="495">
      <c r="A495" s="8" t="inlineStr">
        <is>
          <t>Maryville University of Saint Louis</t>
        </is>
      </c>
      <c r="B495" s="8" t="inlineStr">
        <is>
          <t>Saint Louis</t>
        </is>
      </c>
      <c r="C495" s="8" t="inlineStr">
        <is>
          <t>MO</t>
        </is>
      </c>
      <c r="D495" s="8" t="inlineStr">
        <is>
          <t>Private</t>
        </is>
      </c>
      <c r="E495" s="9" t="n">
        <v>24450</v>
      </c>
      <c r="F495" s="9" t="n">
        <v>55969</v>
      </c>
      <c r="G495" s="8">
        <f>RANK(F495,$F$5:$F$1561)</f>
        <v/>
      </c>
      <c r="H495" s="8" t="inlineStr"/>
      <c r="I495" s="9">
        <f>IF(D495="Private",E495,"")</f>
        <v/>
      </c>
      <c r="J495" s="9">
        <f>IF(D495="Private",F495,"")</f>
        <v/>
      </c>
    </row>
    <row r="496">
      <c r="A496" s="8" t="inlineStr">
        <is>
          <t>University of Houston-Clear Lake</t>
        </is>
      </c>
      <c r="B496" s="8" t="inlineStr">
        <is>
          <t>Houston</t>
        </is>
      </c>
      <c r="C496" s="8" t="inlineStr">
        <is>
          <t>TX</t>
        </is>
      </c>
      <c r="D496" s="8" t="inlineStr">
        <is>
          <t>Public</t>
        </is>
      </c>
      <c r="E496" s="9" t="n">
        <v>15502</v>
      </c>
      <c r="F496" s="9" t="n">
        <v>55946</v>
      </c>
      <c r="G496" s="8">
        <f>RANK(F496,$F$5:$F$1561)</f>
        <v/>
      </c>
      <c r="H496" s="8" t="inlineStr"/>
      <c r="I496" s="9">
        <f>IF(D496="Private",E496,"")</f>
        <v/>
      </c>
      <c r="J496" s="9">
        <f>IF(D496="Private",F496,"")</f>
        <v/>
      </c>
    </row>
    <row r="497">
      <c r="A497" s="8" t="inlineStr">
        <is>
          <t>California State University-Channel Islands</t>
        </is>
      </c>
      <c r="B497" s="8" t="inlineStr">
        <is>
          <t>Camarillo</t>
        </is>
      </c>
      <c r="C497" s="8" t="inlineStr">
        <is>
          <t>CA</t>
        </is>
      </c>
      <c r="D497" s="8" t="inlineStr">
        <is>
          <t>Public</t>
        </is>
      </c>
      <c r="E497" s="9" t="n">
        <v>13560</v>
      </c>
      <c r="F497" s="9" t="n">
        <v>55921</v>
      </c>
      <c r="G497" s="8">
        <f>RANK(F497,$F$5:$F$1561)</f>
        <v/>
      </c>
      <c r="H497" s="8" t="inlineStr"/>
      <c r="I497" s="9">
        <f>IF(D497="Private",E497,"")</f>
        <v/>
      </c>
      <c r="J497" s="9">
        <f>IF(D497="Private",F497,"")</f>
        <v/>
      </c>
    </row>
    <row r="498">
      <c r="A498" s="8" t="inlineStr">
        <is>
          <t>Drew University</t>
        </is>
      </c>
      <c r="B498" s="8" t="inlineStr">
        <is>
          <t>Madison</t>
        </is>
      </c>
      <c r="C498" s="8" t="inlineStr">
        <is>
          <t>NJ</t>
        </is>
      </c>
      <c r="D498" s="8" t="inlineStr">
        <is>
          <t>Private</t>
        </is>
      </c>
      <c r="E498" s="9" t="n">
        <v>15336</v>
      </c>
      <c r="F498" s="9" t="n">
        <v>55906</v>
      </c>
      <c r="G498" s="8">
        <f>RANK(F498,$F$5:$F$1561)</f>
        <v/>
      </c>
      <c r="H498" s="8" t="inlineStr"/>
      <c r="I498" s="9">
        <f>IF(D498="Private",E498,"")</f>
        <v/>
      </c>
      <c r="J498" s="9">
        <f>IF(D498="Private",F498,"")</f>
        <v/>
      </c>
    </row>
    <row r="499">
      <c r="A499" s="8" t="inlineStr">
        <is>
          <t>Nebraska Wesleyan University</t>
        </is>
      </c>
      <c r="B499" s="8" t="inlineStr">
        <is>
          <t>Lincoln</t>
        </is>
      </c>
      <c r="C499" s="8" t="inlineStr">
        <is>
          <t>NE</t>
        </is>
      </c>
      <c r="D499" s="8" t="inlineStr">
        <is>
          <t>Private</t>
        </is>
      </c>
      <c r="E499" s="9" t="n">
        <v>24817</v>
      </c>
      <c r="F499" s="9" t="n">
        <v>55906</v>
      </c>
      <c r="G499" s="8">
        <f>RANK(F499,$F$5:$F$1561)</f>
        <v/>
      </c>
      <c r="H499" s="8" t="inlineStr"/>
      <c r="I499" s="9">
        <f>IF(D499="Private",E499,"")</f>
        <v/>
      </c>
      <c r="J499" s="9">
        <f>IF(D499="Private",F499,"")</f>
        <v/>
      </c>
    </row>
    <row r="500">
      <c r="A500" s="8" t="inlineStr">
        <is>
          <t>University of Kentucky</t>
        </is>
      </c>
      <c r="B500" s="8" t="inlineStr">
        <is>
          <t>Lexington</t>
        </is>
      </c>
      <c r="C500" s="8" t="inlineStr">
        <is>
          <t>KY</t>
        </is>
      </c>
      <c r="D500" s="8" t="inlineStr">
        <is>
          <t>Public</t>
        </is>
      </c>
      <c r="E500" s="9" t="n">
        <v>18268</v>
      </c>
      <c r="F500" s="9" t="n">
        <v>55890</v>
      </c>
      <c r="G500" s="8">
        <f>RANK(F500,$F$5:$F$1561)</f>
        <v/>
      </c>
      <c r="H500" s="8" t="inlineStr"/>
      <c r="I500" s="9">
        <f>IF(D500="Private",E500,"")</f>
        <v/>
      </c>
      <c r="J500" s="9">
        <f>IF(D500="Private",F500,"")</f>
        <v/>
      </c>
    </row>
    <row r="501">
      <c r="A501" s="8" t="inlineStr">
        <is>
          <t>Walsh University</t>
        </is>
      </c>
      <c r="B501" s="8" t="inlineStr">
        <is>
          <t>North Canton</t>
        </is>
      </c>
      <c r="C501" s="8" t="inlineStr">
        <is>
          <t>OH</t>
        </is>
      </c>
      <c r="D501" s="8" t="inlineStr">
        <is>
          <t>Private</t>
        </is>
      </c>
      <c r="E501" s="9" t="n">
        <v>16745</v>
      </c>
      <c r="F501" s="9" t="n">
        <v>55799</v>
      </c>
      <c r="G501" s="8">
        <f>RANK(F501,$F$5:$F$1561)</f>
        <v/>
      </c>
      <c r="H501" s="8" t="inlineStr"/>
      <c r="I501" s="9">
        <f>IF(D501="Private",E501,"")</f>
        <v/>
      </c>
      <c r="J501" s="9">
        <f>IF(D501="Private",F501,"")</f>
        <v/>
      </c>
    </row>
    <row r="502">
      <c r="A502" s="8" t="inlineStr">
        <is>
          <t>University of Missouri-Kansas City</t>
        </is>
      </c>
      <c r="B502" s="8" t="inlineStr">
        <is>
          <t>Kansas City</t>
        </is>
      </c>
      <c r="C502" s="8" t="inlineStr">
        <is>
          <t>MO</t>
        </is>
      </c>
      <c r="D502" s="8" t="inlineStr">
        <is>
          <t>Public</t>
        </is>
      </c>
      <c r="E502" s="9" t="n">
        <v>13296</v>
      </c>
      <c r="F502" s="9" t="n">
        <v>55775</v>
      </c>
      <c r="G502" s="8">
        <f>RANK(F502,$F$5:$F$1561)</f>
        <v/>
      </c>
      <c r="H502" s="8" t="inlineStr"/>
      <c r="I502" s="9">
        <f>IF(D502="Private",E502,"")</f>
        <v/>
      </c>
      <c r="J502" s="9">
        <f>IF(D502="Private",F502,"")</f>
        <v/>
      </c>
    </row>
    <row r="503">
      <c r="A503" s="8" t="inlineStr">
        <is>
          <t>Indiana Wesleyan University-National &amp; Global</t>
        </is>
      </c>
      <c r="B503" s="8" t="inlineStr">
        <is>
          <t>Marion</t>
        </is>
      </c>
      <c r="C503" s="8" t="inlineStr">
        <is>
          <t>IN</t>
        </is>
      </c>
      <c r="D503" s="8" t="inlineStr">
        <is>
          <t>Private</t>
        </is>
      </c>
      <c r="E503" s="9" t="n">
        <v>19222</v>
      </c>
      <c r="F503" s="9" t="n">
        <v>55759</v>
      </c>
      <c r="G503" s="8">
        <f>RANK(F503,$F$5:$F$1561)</f>
        <v/>
      </c>
      <c r="H503" s="8" t="inlineStr"/>
      <c r="I503" s="9">
        <f>IF(D503="Private",E503,"")</f>
        <v/>
      </c>
      <c r="J503" s="9">
        <f>IF(D503="Private",F503,"")</f>
        <v/>
      </c>
    </row>
    <row r="504">
      <c r="A504" s="8" t="inlineStr">
        <is>
          <t>Indiana Wesleyan University-Marion</t>
        </is>
      </c>
      <c r="B504" s="8" t="inlineStr">
        <is>
          <t>Marion</t>
        </is>
      </c>
      <c r="C504" s="8" t="inlineStr">
        <is>
          <t>IN</t>
        </is>
      </c>
      <c r="D504" s="8" t="inlineStr">
        <is>
          <t>Private</t>
        </is>
      </c>
      <c r="E504" s="9" t="n">
        <v>21077</v>
      </c>
      <c r="F504" s="9" t="n">
        <v>55759</v>
      </c>
      <c r="G504" s="8">
        <f>RANK(F504,$F$5:$F$1561)</f>
        <v/>
      </c>
      <c r="H504" s="8" t="inlineStr"/>
      <c r="I504" s="9">
        <f>IF(D504="Private",E504,"")</f>
        <v/>
      </c>
      <c r="J504" s="9">
        <f>IF(D504="Private",F504,"")</f>
        <v/>
      </c>
    </row>
    <row r="505">
      <c r="A505" s="8" t="inlineStr">
        <is>
          <t>Waynesburg University</t>
        </is>
      </c>
      <c r="B505" s="8" t="inlineStr">
        <is>
          <t>Waynesburg</t>
        </is>
      </c>
      <c r="C505" s="8" t="inlineStr">
        <is>
          <t>PA</t>
        </is>
      </c>
      <c r="D505" s="8" t="inlineStr">
        <is>
          <t>Private</t>
        </is>
      </c>
      <c r="E505" s="9" t="n">
        <v>21556</v>
      </c>
      <c r="F505" s="9" t="n">
        <v>55757</v>
      </c>
      <c r="G505" s="8">
        <f>RANK(F505,$F$5:$F$1561)</f>
        <v/>
      </c>
      <c r="H505" s="8" t="inlineStr"/>
      <c r="I505" s="9">
        <f>IF(D505="Private",E505,"")</f>
        <v/>
      </c>
      <c r="J505" s="9">
        <f>IF(D505="Private",F505,"")</f>
        <v/>
      </c>
    </row>
    <row r="506">
      <c r="A506" s="8" t="inlineStr">
        <is>
          <t>Edgewood College</t>
        </is>
      </c>
      <c r="B506" s="8" t="inlineStr">
        <is>
          <t>Madison</t>
        </is>
      </c>
      <c r="C506" s="8" t="inlineStr">
        <is>
          <t>WI</t>
        </is>
      </c>
      <c r="D506" s="8" t="inlineStr">
        <is>
          <t>Private</t>
        </is>
      </c>
      <c r="E506" s="9" t="n">
        <v>26700</v>
      </c>
      <c r="F506" s="9" t="n">
        <v>55742</v>
      </c>
      <c r="G506" s="8">
        <f>RANK(F506,$F$5:$F$1561)</f>
        <v/>
      </c>
      <c r="H506" s="8" t="inlineStr"/>
      <c r="I506" s="9">
        <f>IF(D506="Private",E506,"")</f>
        <v/>
      </c>
      <c r="J506" s="9">
        <f>IF(D506="Private",F506,"")</f>
        <v/>
      </c>
    </row>
    <row r="507">
      <c r="A507" s="8" t="inlineStr">
        <is>
          <t>MidAmerica Nazarene University</t>
        </is>
      </c>
      <c r="B507" s="8" t="inlineStr">
        <is>
          <t>Olathe</t>
        </is>
      </c>
      <c r="C507" s="8" t="inlineStr">
        <is>
          <t>KS</t>
        </is>
      </c>
      <c r="D507" s="8" t="inlineStr">
        <is>
          <t>Private</t>
        </is>
      </c>
      <c r="E507" s="9" t="n">
        <v>28337</v>
      </c>
      <c r="F507" s="9" t="n">
        <v>55725</v>
      </c>
      <c r="G507" s="8">
        <f>RANK(F507,$F$5:$F$1561)</f>
        <v/>
      </c>
      <c r="H507" s="8" t="inlineStr"/>
      <c r="I507" s="9">
        <f>IF(D507="Private",E507,"")</f>
        <v/>
      </c>
      <c r="J507" s="9">
        <f>IF(D507="Private",F507,"")</f>
        <v/>
      </c>
    </row>
    <row r="508">
      <c r="A508" s="8" t="inlineStr">
        <is>
          <t>University of Wisconsin-Platteville</t>
        </is>
      </c>
      <c r="B508" s="8" t="inlineStr">
        <is>
          <t>Platteville</t>
        </is>
      </c>
      <c r="C508" s="8" t="inlineStr">
        <is>
          <t>WI</t>
        </is>
      </c>
      <c r="D508" s="8" t="inlineStr">
        <is>
          <t>Public</t>
        </is>
      </c>
      <c r="E508" s="9" t="n">
        <v>14585</v>
      </c>
      <c r="F508" s="9" t="n">
        <v>55720</v>
      </c>
      <c r="G508" s="8">
        <f>RANK(F508,$F$5:$F$1561)</f>
        <v/>
      </c>
      <c r="H508" s="8" t="inlineStr"/>
      <c r="I508" s="9">
        <f>IF(D508="Private",E508,"")</f>
        <v/>
      </c>
      <c r="J508" s="9">
        <f>IF(D508="Private",F508,"")</f>
        <v/>
      </c>
    </row>
    <row r="509">
      <c r="A509" s="8" t="inlineStr">
        <is>
          <t>University of Nebraska-Lincoln</t>
        </is>
      </c>
      <c r="B509" s="8" t="inlineStr">
        <is>
          <t>Lincoln</t>
        </is>
      </c>
      <c r="C509" s="8" t="inlineStr">
        <is>
          <t>NE</t>
        </is>
      </c>
      <c r="D509" s="8" t="inlineStr">
        <is>
          <t>Public</t>
        </is>
      </c>
      <c r="E509" s="9" t="n">
        <v>16764</v>
      </c>
      <c r="F509" s="9" t="n">
        <v>55689</v>
      </c>
      <c r="G509" s="8">
        <f>RANK(F509,$F$5:$F$1561)</f>
        <v/>
      </c>
      <c r="H509" s="8" t="inlineStr"/>
      <c r="I509" s="9">
        <f>IF(D509="Private",E509,"")</f>
        <v/>
      </c>
      <c r="J509" s="9">
        <f>IF(D509="Private",F509,"")</f>
        <v/>
      </c>
    </row>
    <row r="510">
      <c r="A510" s="8" t="inlineStr">
        <is>
          <t>Southern Connecticut State University</t>
        </is>
      </c>
      <c r="B510" s="8" t="inlineStr">
        <is>
          <t>New Haven</t>
        </is>
      </c>
      <c r="C510" s="8" t="inlineStr">
        <is>
          <t>CT</t>
        </is>
      </c>
      <c r="D510" s="8" t="inlineStr">
        <is>
          <t>Public</t>
        </is>
      </c>
      <c r="E510" s="9" t="n">
        <v>18231</v>
      </c>
      <c r="F510" s="9" t="n">
        <v>55682</v>
      </c>
      <c r="G510" s="8">
        <f>RANK(F510,$F$5:$F$1561)</f>
        <v/>
      </c>
      <c r="H510" s="8" t="inlineStr"/>
      <c r="I510" s="9">
        <f>IF(D510="Private",E510,"")</f>
        <v/>
      </c>
      <c r="J510" s="9">
        <f>IF(D510="Private",F510,"")</f>
        <v/>
      </c>
    </row>
    <row r="511">
      <c r="A511" s="8" t="inlineStr">
        <is>
          <t>Wartburg College</t>
        </is>
      </c>
      <c r="B511" s="8" t="inlineStr">
        <is>
          <t>Waverly</t>
        </is>
      </c>
      <c r="C511" s="8" t="inlineStr">
        <is>
          <t>IA</t>
        </is>
      </c>
      <c r="D511" s="8" t="inlineStr">
        <is>
          <t>Private</t>
        </is>
      </c>
      <c r="E511" s="9" t="n">
        <v>22177</v>
      </c>
      <c r="F511" s="9" t="n">
        <v>55659</v>
      </c>
      <c r="G511" s="8">
        <f>RANK(F511,$F$5:$F$1561)</f>
        <v/>
      </c>
      <c r="H511" s="8" t="inlineStr"/>
      <c r="I511" s="9">
        <f>IF(D511="Private",E511,"")</f>
        <v/>
      </c>
      <c r="J511" s="9">
        <f>IF(D511="Private",F511,"")</f>
        <v/>
      </c>
    </row>
    <row r="512">
      <c r="A512" s="8" t="inlineStr">
        <is>
          <t>College of Our Lady of the Elms</t>
        </is>
      </c>
      <c r="B512" s="8" t="inlineStr">
        <is>
          <t>Chicopee</t>
        </is>
      </c>
      <c r="C512" s="8" t="inlineStr">
        <is>
          <t>MA</t>
        </is>
      </c>
      <c r="D512" s="8" t="inlineStr">
        <is>
          <t>Private</t>
        </is>
      </c>
      <c r="E512" s="9" t="n">
        <v>21655</v>
      </c>
      <c r="F512" s="9" t="n">
        <v>55648</v>
      </c>
      <c r="G512" s="8">
        <f>RANK(F512,$F$5:$F$1561)</f>
        <v/>
      </c>
      <c r="H512" s="8" t="inlineStr"/>
      <c r="I512" s="9">
        <f>IF(D512="Private",E512,"")</f>
        <v/>
      </c>
      <c r="J512" s="9">
        <f>IF(D512="Private",F512,"")</f>
        <v/>
      </c>
    </row>
    <row r="513">
      <c r="A513" s="8" t="inlineStr">
        <is>
          <t>Oakland University</t>
        </is>
      </c>
      <c r="B513" s="8" t="inlineStr">
        <is>
          <t>Rochester Hills</t>
        </is>
      </c>
      <c r="C513" s="8" t="inlineStr">
        <is>
          <t>MI</t>
        </is>
      </c>
      <c r="D513" s="8" t="inlineStr">
        <is>
          <t>Public</t>
        </is>
      </c>
      <c r="E513" s="9" t="n">
        <v>12729</v>
      </c>
      <c r="F513" s="9" t="n">
        <v>55645</v>
      </c>
      <c r="G513" s="8">
        <f>RANK(F513,$F$5:$F$1561)</f>
        <v/>
      </c>
      <c r="H513" s="8" t="inlineStr"/>
      <c r="I513" s="9">
        <f>IF(D513="Private",E513,"")</f>
        <v/>
      </c>
      <c r="J513" s="9">
        <f>IF(D513="Private",F513,"")</f>
        <v/>
      </c>
    </row>
    <row r="514">
      <c r="A514" s="8" t="inlineStr">
        <is>
          <t>University of Wisconsin-Eau Claire</t>
        </is>
      </c>
      <c r="B514" s="8" t="inlineStr">
        <is>
          <t>Eau Claire</t>
        </is>
      </c>
      <c r="C514" s="8" t="inlineStr">
        <is>
          <t>WI</t>
        </is>
      </c>
      <c r="D514" s="8" t="inlineStr">
        <is>
          <t>Public</t>
        </is>
      </c>
      <c r="E514" s="9" t="n">
        <v>16884</v>
      </c>
      <c r="F514" s="9" t="n">
        <v>55619</v>
      </c>
      <c r="G514" s="8">
        <f>RANK(F514,$F$5:$F$1561)</f>
        <v/>
      </c>
      <c r="H514" s="8" t="inlineStr"/>
      <c r="I514" s="9">
        <f>IF(D514="Private",E514,"")</f>
        <v/>
      </c>
      <c r="J514" s="9">
        <f>IF(D514="Private",F514,"")</f>
        <v/>
      </c>
    </row>
    <row r="515">
      <c r="A515" s="8" t="inlineStr">
        <is>
          <t>Hampton University</t>
        </is>
      </c>
      <c r="B515" s="8" t="inlineStr">
        <is>
          <t>Hampton</t>
        </is>
      </c>
      <c r="C515" s="8" t="inlineStr">
        <is>
          <t>VA</t>
        </is>
      </c>
      <c r="D515" s="8" t="inlineStr">
        <is>
          <t>Private</t>
        </is>
      </c>
      <c r="E515" s="9" t="n">
        <v>40395</v>
      </c>
      <c r="F515" s="9" t="n">
        <v>55618</v>
      </c>
      <c r="G515" s="8">
        <f>RANK(F515,$F$5:$F$1561)</f>
        <v/>
      </c>
      <c r="H515" s="8" t="inlineStr"/>
      <c r="I515" s="9">
        <f>IF(D515="Private",E515,"")</f>
        <v/>
      </c>
      <c r="J515" s="9">
        <f>IF(D515="Private",F515,"")</f>
        <v/>
      </c>
    </row>
    <row r="516">
      <c r="A516" s="8" t="inlineStr">
        <is>
          <t>Miami University-Hamilton</t>
        </is>
      </c>
      <c r="B516" s="8" t="inlineStr">
        <is>
          <t>Hamilton</t>
        </is>
      </c>
      <c r="C516" s="8" t="inlineStr">
        <is>
          <t>OH</t>
        </is>
      </c>
      <c r="D516" s="8" t="inlineStr">
        <is>
          <t>Public</t>
        </is>
      </c>
      <c r="E516" s="9" t="n">
        <v>13034</v>
      </c>
      <c r="F516" s="9" t="n">
        <v>55590</v>
      </c>
      <c r="G516" s="8">
        <f>RANK(F516,$F$5:$F$1561)</f>
        <v/>
      </c>
      <c r="H516" s="8" t="inlineStr"/>
      <c r="I516" s="9">
        <f>IF(D516="Private",E516,"")</f>
        <v/>
      </c>
      <c r="J516" s="9">
        <f>IF(D516="Private",F516,"")</f>
        <v/>
      </c>
    </row>
    <row r="517">
      <c r="A517" s="8" t="inlineStr">
        <is>
          <t>Miami University-Oxford</t>
        </is>
      </c>
      <c r="B517" s="8" t="inlineStr">
        <is>
          <t>Oxford</t>
        </is>
      </c>
      <c r="C517" s="8" t="inlineStr">
        <is>
          <t>OH</t>
        </is>
      </c>
      <c r="D517" s="8" t="inlineStr">
        <is>
          <t>Public</t>
        </is>
      </c>
      <c r="E517" s="9" t="n">
        <v>24592</v>
      </c>
      <c r="F517" s="9" t="n">
        <v>55590</v>
      </c>
      <c r="G517" s="8">
        <f>RANK(F517,$F$5:$F$1561)</f>
        <v/>
      </c>
      <c r="H517" s="8" t="inlineStr"/>
      <c r="I517" s="9">
        <f>IF(D517="Private",E517,"")</f>
        <v/>
      </c>
      <c r="J517" s="9">
        <f>IF(D517="Private",F517,"")</f>
        <v/>
      </c>
    </row>
    <row r="518">
      <c r="A518" s="8" t="inlineStr">
        <is>
          <t>Miami University-Middletown</t>
        </is>
      </c>
      <c r="B518" s="8" t="inlineStr">
        <is>
          <t>Middletown</t>
        </is>
      </c>
      <c r="C518" s="8" t="inlineStr">
        <is>
          <t>OH</t>
        </is>
      </c>
      <c r="D518" s="8" t="inlineStr">
        <is>
          <t>Public</t>
        </is>
      </c>
      <c r="E518" s="9" t="n">
        <v>12624</v>
      </c>
      <c r="F518" s="9" t="n">
        <v>55590</v>
      </c>
      <c r="G518" s="8">
        <f>RANK(F518,$F$5:$F$1561)</f>
        <v/>
      </c>
      <c r="H518" s="8" t="inlineStr"/>
      <c r="I518" s="9">
        <f>IF(D518="Private",E518,"")</f>
        <v/>
      </c>
      <c r="J518" s="9">
        <f>IF(D518="Private",F518,"")</f>
        <v/>
      </c>
    </row>
    <row r="519">
      <c r="A519" s="8" t="inlineStr">
        <is>
          <t>Albright College</t>
        </is>
      </c>
      <c r="B519" s="8" t="inlineStr">
        <is>
          <t>Reading</t>
        </is>
      </c>
      <c r="C519" s="8" t="inlineStr">
        <is>
          <t>PA</t>
        </is>
      </c>
      <c r="D519" s="8" t="inlineStr">
        <is>
          <t>Private</t>
        </is>
      </c>
      <c r="E519" s="9" t="n">
        <v>20028</v>
      </c>
      <c r="F519" s="9" t="n">
        <v>55578</v>
      </c>
      <c r="G519" s="8">
        <f>RANK(F519,$F$5:$F$1561)</f>
        <v/>
      </c>
      <c r="H519" s="8" t="inlineStr"/>
      <c r="I519" s="9">
        <f>IF(D519="Private",E519,"")</f>
        <v/>
      </c>
      <c r="J519" s="9">
        <f>IF(D519="Private",F519,"")</f>
        <v/>
      </c>
    </row>
    <row r="520">
      <c r="A520" s="8" t="inlineStr">
        <is>
          <t>Saint Xavier University</t>
        </is>
      </c>
      <c r="B520" s="8" t="inlineStr">
        <is>
          <t>Chicago</t>
        </is>
      </c>
      <c r="C520" s="8" t="inlineStr">
        <is>
          <t>IL</t>
        </is>
      </c>
      <c r="D520" s="8" t="inlineStr">
        <is>
          <t>Private</t>
        </is>
      </c>
      <c r="E520" s="9" t="n">
        <v>13326</v>
      </c>
      <c r="F520" s="9" t="n">
        <v>55564</v>
      </c>
      <c r="G520" s="8">
        <f>RANK(F520,$F$5:$F$1561)</f>
        <v/>
      </c>
      <c r="H520" s="8" t="inlineStr"/>
      <c r="I520" s="9">
        <f>IF(D520="Private",E520,"")</f>
        <v/>
      </c>
      <c r="J520" s="9">
        <f>IF(D520="Private",F520,"")</f>
        <v/>
      </c>
    </row>
    <row r="521">
      <c r="A521" s="8" t="inlineStr">
        <is>
          <t>LeTourneau University</t>
        </is>
      </c>
      <c r="B521" s="8" t="inlineStr">
        <is>
          <t>Longview</t>
        </is>
      </c>
      <c r="C521" s="8" t="inlineStr">
        <is>
          <t>TX</t>
        </is>
      </c>
      <c r="D521" s="8" t="inlineStr">
        <is>
          <t>Private</t>
        </is>
      </c>
      <c r="E521" s="9" t="n">
        <v>23991</v>
      </c>
      <c r="F521" s="9" t="n">
        <v>55560</v>
      </c>
      <c r="G521" s="8">
        <f>RANK(F521,$F$5:$F$1561)</f>
        <v/>
      </c>
      <c r="H521" s="8" t="inlineStr"/>
      <c r="I521" s="9">
        <f>IF(D521="Private",E521,"")</f>
        <v/>
      </c>
      <c r="J521" s="9">
        <f>IF(D521="Private",F521,"")</f>
        <v/>
      </c>
    </row>
    <row r="522">
      <c r="A522" s="8" t="inlineStr">
        <is>
          <t>California State University-Fresno</t>
        </is>
      </c>
      <c r="B522" s="8" t="inlineStr">
        <is>
          <t>Fresno</t>
        </is>
      </c>
      <c r="C522" s="8" t="inlineStr">
        <is>
          <t>CA</t>
        </is>
      </c>
      <c r="D522" s="8" t="inlineStr">
        <is>
          <t>Public</t>
        </is>
      </c>
      <c r="E522" s="9" t="n">
        <v>5640</v>
      </c>
      <c r="F522" s="9" t="n">
        <v>55534</v>
      </c>
      <c r="G522" s="8">
        <f>RANK(F522,$F$5:$F$1561)</f>
        <v/>
      </c>
      <c r="H522" s="8" t="inlineStr"/>
      <c r="I522" s="9">
        <f>IF(D522="Private",E522,"")</f>
        <v/>
      </c>
      <c r="J522" s="9">
        <f>IF(D522="Private",F522,"")</f>
        <v/>
      </c>
    </row>
    <row r="523">
      <c r="A523" s="8" t="inlineStr">
        <is>
          <t>California State University-Bakersfield</t>
        </is>
      </c>
      <c r="B523" s="8" t="inlineStr">
        <is>
          <t>Bakersfield</t>
        </is>
      </c>
      <c r="C523" s="8" t="inlineStr">
        <is>
          <t>CA</t>
        </is>
      </c>
      <c r="D523" s="8" t="inlineStr">
        <is>
          <t>Public</t>
        </is>
      </c>
      <c r="E523" s="9" t="n">
        <v>6821</v>
      </c>
      <c r="F523" s="9" t="n">
        <v>55530</v>
      </c>
      <c r="G523" s="8">
        <f>RANK(F523,$F$5:$F$1561)</f>
        <v/>
      </c>
      <c r="H523" s="8" t="inlineStr"/>
      <c r="I523" s="9">
        <f>IF(D523="Private",E523,"")</f>
        <v/>
      </c>
      <c r="J523" s="9">
        <f>IF(D523="Private",F523,"")</f>
        <v/>
      </c>
    </row>
    <row r="524">
      <c r="A524" s="8" t="inlineStr">
        <is>
          <t>Luther College</t>
        </is>
      </c>
      <c r="B524" s="8" t="inlineStr">
        <is>
          <t>Decorah</t>
        </is>
      </c>
      <c r="C524" s="8" t="inlineStr">
        <is>
          <t>IA</t>
        </is>
      </c>
      <c r="D524" s="8" t="inlineStr">
        <is>
          <t>Private</t>
        </is>
      </c>
      <c r="E524" s="9" t="n">
        <v>25291</v>
      </c>
      <c r="F524" s="9" t="n">
        <v>55451</v>
      </c>
      <c r="G524" s="8">
        <f>RANK(F524,$F$5:$F$1561)</f>
        <v/>
      </c>
      <c r="H524" s="8" t="inlineStr"/>
      <c r="I524" s="9">
        <f>IF(D524="Private",E524,"")</f>
        <v/>
      </c>
      <c r="J524" s="9">
        <f>IF(D524="Private",F524,"")</f>
        <v/>
      </c>
    </row>
    <row r="525">
      <c r="A525" s="8" t="inlineStr">
        <is>
          <t>Niagara University</t>
        </is>
      </c>
      <c r="B525" s="8" t="inlineStr">
        <is>
          <t>Niagara University</t>
        </is>
      </c>
      <c r="C525" s="8" t="inlineStr">
        <is>
          <t>NY</t>
        </is>
      </c>
      <c r="D525" s="8" t="inlineStr">
        <is>
          <t>Private</t>
        </is>
      </c>
      <c r="E525" s="9" t="n">
        <v>18902</v>
      </c>
      <c r="F525" s="9" t="n">
        <v>55429</v>
      </c>
      <c r="G525" s="8">
        <f>RANK(F525,$F$5:$F$1561)</f>
        <v/>
      </c>
      <c r="H525" s="8" t="inlineStr"/>
      <c r="I525" s="9">
        <f>IF(D525="Private",E525,"")</f>
        <v/>
      </c>
      <c r="J525" s="9">
        <f>IF(D525="Private",F525,"")</f>
        <v/>
      </c>
    </row>
    <row r="526">
      <c r="A526" s="8" t="inlineStr">
        <is>
          <t>Roanoke College</t>
        </is>
      </c>
      <c r="B526" s="8" t="inlineStr">
        <is>
          <t>Salem</t>
        </is>
      </c>
      <c r="C526" s="8" t="inlineStr">
        <is>
          <t>VA</t>
        </is>
      </c>
      <c r="D526" s="8" t="inlineStr">
        <is>
          <t>Private</t>
        </is>
      </c>
      <c r="E526" s="9" t="n">
        <v>27541</v>
      </c>
      <c r="F526" s="9" t="n">
        <v>55411</v>
      </c>
      <c r="G526" s="8">
        <f>RANK(F526,$F$5:$F$1561)</f>
        <v/>
      </c>
      <c r="H526" s="8" t="inlineStr"/>
      <c r="I526" s="9">
        <f>IF(D526="Private",E526,"")</f>
        <v/>
      </c>
      <c r="J526" s="9">
        <f>IF(D526="Private",F526,"")</f>
        <v/>
      </c>
    </row>
    <row r="527">
      <c r="A527" s="8" t="inlineStr">
        <is>
          <t>Winona State University</t>
        </is>
      </c>
      <c r="B527" s="8" t="inlineStr">
        <is>
          <t>Winona</t>
        </is>
      </c>
      <c r="C527" s="8" t="inlineStr">
        <is>
          <t>MN</t>
        </is>
      </c>
      <c r="D527" s="8" t="inlineStr">
        <is>
          <t>Public</t>
        </is>
      </c>
      <c r="E527" s="9" t="n">
        <v>17546</v>
      </c>
      <c r="F527" s="9" t="n">
        <v>55391</v>
      </c>
      <c r="G527" s="8">
        <f>RANK(F527,$F$5:$F$1561)</f>
        <v/>
      </c>
      <c r="H527" s="8" t="inlineStr"/>
      <c r="I527" s="9">
        <f>IF(D527="Private",E527,"")</f>
        <v/>
      </c>
      <c r="J527" s="9">
        <f>IF(D527="Private",F527,"")</f>
        <v/>
      </c>
    </row>
    <row r="528">
      <c r="A528" s="8" t="inlineStr">
        <is>
          <t>St. Thomas University</t>
        </is>
      </c>
      <c r="B528" s="8" t="inlineStr">
        <is>
          <t>Miami Gardens</t>
        </is>
      </c>
      <c r="C528" s="8" t="inlineStr">
        <is>
          <t>FL</t>
        </is>
      </c>
      <c r="D528" s="8" t="inlineStr">
        <is>
          <t>Private</t>
        </is>
      </c>
      <c r="E528" s="9" t="n">
        <v>27150</v>
      </c>
      <c r="F528" s="9" t="n">
        <v>55391</v>
      </c>
      <c r="G528" s="8">
        <f>RANK(F528,$F$5:$F$1561)</f>
        <v/>
      </c>
      <c r="H528" s="8" t="inlineStr"/>
      <c r="I528" s="9">
        <f>IF(D528="Private",E528,"")</f>
        <v/>
      </c>
      <c r="J528" s="9">
        <f>IF(D528="Private",F528,"")</f>
        <v/>
      </c>
    </row>
    <row r="529">
      <c r="A529" s="8" t="inlineStr">
        <is>
          <t>Northern Illinois University</t>
        </is>
      </c>
      <c r="B529" s="8" t="inlineStr">
        <is>
          <t>Dekalb</t>
        </is>
      </c>
      <c r="C529" s="8" t="inlineStr">
        <is>
          <t>IL</t>
        </is>
      </c>
      <c r="D529" s="8" t="inlineStr">
        <is>
          <t>Public</t>
        </is>
      </c>
      <c r="E529" s="9" t="n">
        <v>14266</v>
      </c>
      <c r="F529" s="9" t="n">
        <v>55380</v>
      </c>
      <c r="G529" s="8">
        <f>RANK(F529,$F$5:$F$1561)</f>
        <v/>
      </c>
      <c r="H529" s="8" t="inlineStr"/>
      <c r="I529" s="9">
        <f>IF(D529="Private",E529,"")</f>
        <v/>
      </c>
      <c r="J529" s="9">
        <f>IF(D529="Private",F529,"")</f>
        <v/>
      </c>
    </row>
    <row r="530">
      <c r="A530" s="8" t="inlineStr">
        <is>
          <t>University of Saint Mary</t>
        </is>
      </c>
      <c r="B530" s="8" t="inlineStr">
        <is>
          <t>Leavenworth</t>
        </is>
      </c>
      <c r="C530" s="8" t="inlineStr">
        <is>
          <t>KS</t>
        </is>
      </c>
      <c r="D530" s="8" t="inlineStr">
        <is>
          <t>Private</t>
        </is>
      </c>
      <c r="E530" s="9" t="n">
        <v>23619</v>
      </c>
      <c r="F530" s="9" t="n">
        <v>55362</v>
      </c>
      <c r="G530" s="8">
        <f>RANK(F530,$F$5:$F$1561)</f>
        <v/>
      </c>
      <c r="H530" s="8" t="inlineStr"/>
      <c r="I530" s="9">
        <f>IF(D530="Private",E530,"")</f>
        <v/>
      </c>
      <c r="J530" s="9">
        <f>IF(D530="Private",F530,"")</f>
        <v/>
      </c>
    </row>
    <row r="531">
      <c r="A531" s="8" t="inlineStr">
        <is>
          <t>Truman State University</t>
        </is>
      </c>
      <c r="B531" s="8" t="inlineStr">
        <is>
          <t>Kirksville</t>
        </is>
      </c>
      <c r="C531" s="8" t="inlineStr">
        <is>
          <t>MO</t>
        </is>
      </c>
      <c r="D531" s="8" t="inlineStr">
        <is>
          <t>Public</t>
        </is>
      </c>
      <c r="E531" s="9" t="n">
        <v>11216</v>
      </c>
      <c r="F531" s="9" t="n">
        <v>55351</v>
      </c>
      <c r="G531" s="8">
        <f>RANK(F531,$F$5:$F$1561)</f>
        <v/>
      </c>
      <c r="H531" s="8" t="inlineStr"/>
      <c r="I531" s="9">
        <f>IF(D531="Private",E531,"")</f>
        <v/>
      </c>
      <c r="J531" s="9">
        <f>IF(D531="Private",F531,"")</f>
        <v/>
      </c>
    </row>
    <row r="532">
      <c r="A532" s="8" t="inlineStr">
        <is>
          <t>Hawaii Pacific University</t>
        </is>
      </c>
      <c r="B532" s="8" t="inlineStr">
        <is>
          <t>Honolulu</t>
        </is>
      </c>
      <c r="C532" s="8" t="inlineStr">
        <is>
          <t>HI</t>
        </is>
      </c>
      <c r="D532" s="8" t="inlineStr">
        <is>
          <t>Private</t>
        </is>
      </c>
      <c r="E532" s="9" t="n">
        <v>27434</v>
      </c>
      <c r="F532" s="9" t="n">
        <v>55349</v>
      </c>
      <c r="G532" s="8">
        <f>RANK(F532,$F$5:$F$1561)</f>
        <v/>
      </c>
      <c r="H532" s="8" t="inlineStr"/>
      <c r="I532" s="9">
        <f>IF(D532="Private",E532,"")</f>
        <v/>
      </c>
      <c r="J532" s="9">
        <f>IF(D532="Private",F532,"")</f>
        <v/>
      </c>
    </row>
    <row r="533">
      <c r="A533" s="8" t="inlineStr">
        <is>
          <t>The New School</t>
        </is>
      </c>
      <c r="B533" s="8" t="inlineStr">
        <is>
          <t>New York</t>
        </is>
      </c>
      <c r="C533" s="8" t="inlineStr">
        <is>
          <t>NY</t>
        </is>
      </c>
      <c r="D533" s="8" t="inlineStr">
        <is>
          <t>Private</t>
        </is>
      </c>
      <c r="E533" s="9" t="n">
        <v>29648</v>
      </c>
      <c r="F533" s="9" t="n">
        <v>55333</v>
      </c>
      <c r="G533" s="8">
        <f>RANK(F533,$F$5:$F$1561)</f>
        <v/>
      </c>
      <c r="H533" s="8" t="inlineStr"/>
      <c r="I533" s="9">
        <f>IF(D533="Private",E533,"")</f>
        <v/>
      </c>
      <c r="J533" s="9">
        <f>IF(D533="Private",F533,"")</f>
        <v/>
      </c>
    </row>
    <row r="534">
      <c r="A534" s="8" t="inlineStr">
        <is>
          <t>California State University-San Bernardino</t>
        </is>
      </c>
      <c r="B534" s="8" t="inlineStr">
        <is>
          <t>San Bernardino</t>
        </is>
      </c>
      <c r="C534" s="8" t="inlineStr">
        <is>
          <t>CA</t>
        </is>
      </c>
      <c r="D534" s="8" t="inlineStr">
        <is>
          <t>Public</t>
        </is>
      </c>
      <c r="E534" s="9" t="n">
        <v>2232</v>
      </c>
      <c r="F534" s="9" t="n">
        <v>55258</v>
      </c>
      <c r="G534" s="8">
        <f>RANK(F534,$F$5:$F$1561)</f>
        <v/>
      </c>
      <c r="H534" s="8" t="inlineStr"/>
      <c r="I534" s="9">
        <f>IF(D534="Private",E534,"")</f>
        <v/>
      </c>
      <c r="J534" s="9">
        <f>IF(D534="Private",F534,"")</f>
        <v/>
      </c>
    </row>
    <row r="535">
      <c r="A535" s="8" t="inlineStr">
        <is>
          <t>North Park University</t>
        </is>
      </c>
      <c r="B535" s="8" t="inlineStr">
        <is>
          <t>Chicago</t>
        </is>
      </c>
      <c r="C535" s="8" t="inlineStr">
        <is>
          <t>IL</t>
        </is>
      </c>
      <c r="D535" s="8" t="inlineStr">
        <is>
          <t>Private</t>
        </is>
      </c>
      <c r="E535" s="9" t="n">
        <v>18956</v>
      </c>
      <c r="F535" s="9" t="n">
        <v>55242</v>
      </c>
      <c r="G535" s="8">
        <f>RANK(F535,$F$5:$F$1561)</f>
        <v/>
      </c>
      <c r="H535" s="8" t="inlineStr"/>
      <c r="I535" s="9">
        <f>IF(D535="Private",E535,"")</f>
        <v/>
      </c>
      <c r="J535" s="9">
        <f>IF(D535="Private",F535,"")</f>
        <v/>
      </c>
    </row>
    <row r="536">
      <c r="A536" s="8" t="inlineStr">
        <is>
          <t>Birmingham-Southern College</t>
        </is>
      </c>
      <c r="B536" s="8" t="inlineStr">
        <is>
          <t>Birmingham</t>
        </is>
      </c>
      <c r="C536" s="8" t="inlineStr">
        <is>
          <t>AL</t>
        </is>
      </c>
      <c r="D536" s="8" t="inlineStr">
        <is>
          <t>Private</t>
        </is>
      </c>
      <c r="E536" s="9" t="n">
        <v>21098</v>
      </c>
      <c r="F536" s="9" t="n">
        <v>55236</v>
      </c>
      <c r="G536" s="8">
        <f>RANK(F536,$F$5:$F$1561)</f>
        <v/>
      </c>
      <c r="H536" s="8" t="inlineStr"/>
      <c r="I536" s="9">
        <f>IF(D536="Private",E536,"")</f>
        <v/>
      </c>
      <c r="J536" s="9">
        <f>IF(D536="Private",F536,"")</f>
        <v/>
      </c>
    </row>
    <row r="537">
      <c r="A537" s="8" t="inlineStr">
        <is>
          <t>Shenandoah University</t>
        </is>
      </c>
      <c r="B537" s="8" t="inlineStr">
        <is>
          <t>Winchester</t>
        </is>
      </c>
      <c r="C537" s="8" t="inlineStr">
        <is>
          <t>VA</t>
        </is>
      </c>
      <c r="D537" s="8" t="inlineStr">
        <is>
          <t>Private</t>
        </is>
      </c>
      <c r="E537" s="9" t="n">
        <v>29380</v>
      </c>
      <c r="F537" s="9" t="n">
        <v>55196</v>
      </c>
      <c r="G537" s="8">
        <f>RANK(F537,$F$5:$F$1561)</f>
        <v/>
      </c>
      <c r="H537" s="8" t="inlineStr"/>
      <c r="I537" s="9">
        <f>IF(D537="Private",E537,"")</f>
        <v/>
      </c>
      <c r="J537" s="9">
        <f>IF(D537="Private",F537,"")</f>
        <v/>
      </c>
    </row>
    <row r="538">
      <c r="A538" s="8" t="inlineStr">
        <is>
          <t>Eastern Washington University</t>
        </is>
      </c>
      <c r="B538" s="8" t="inlineStr">
        <is>
          <t>Cheney</t>
        </is>
      </c>
      <c r="C538" s="8" t="inlineStr">
        <is>
          <t>WA</t>
        </is>
      </c>
      <c r="D538" s="8" t="inlineStr">
        <is>
          <t>Public</t>
        </is>
      </c>
      <c r="E538" s="9" t="n">
        <v>12801</v>
      </c>
      <c r="F538" s="9" t="n">
        <v>55189</v>
      </c>
      <c r="G538" s="8">
        <f>RANK(F538,$F$5:$F$1561)</f>
        <v/>
      </c>
      <c r="H538" s="8" t="inlineStr"/>
      <c r="I538" s="9">
        <f>IF(D538="Private",E538,"")</f>
        <v/>
      </c>
      <c r="J538" s="9">
        <f>IF(D538="Private",F538,"")</f>
        <v/>
      </c>
    </row>
    <row r="539">
      <c r="A539" s="8" t="inlineStr">
        <is>
          <t>University of Massachusetts-Dartmouth</t>
        </is>
      </c>
      <c r="B539" s="8" t="inlineStr">
        <is>
          <t>North Dartmouth</t>
        </is>
      </c>
      <c r="C539" s="8" t="inlineStr">
        <is>
          <t>MA</t>
        </is>
      </c>
      <c r="D539" s="8" t="inlineStr">
        <is>
          <t>Public</t>
        </is>
      </c>
      <c r="E539" s="9" t="n">
        <v>20910</v>
      </c>
      <c r="F539" s="9" t="n">
        <v>55113</v>
      </c>
      <c r="G539" s="8">
        <f>RANK(F539,$F$5:$F$1561)</f>
        <v/>
      </c>
      <c r="H539" s="8" t="inlineStr"/>
      <c r="I539" s="9">
        <f>IF(D539="Private",E539,"")</f>
        <v/>
      </c>
      <c r="J539" s="9">
        <f>IF(D539="Private",F539,"")</f>
        <v/>
      </c>
    </row>
    <row r="540">
      <c r="A540" s="8" t="inlineStr">
        <is>
          <t>West Virginia University</t>
        </is>
      </c>
      <c r="B540" s="8" t="inlineStr">
        <is>
          <t>Morgantown</t>
        </is>
      </c>
      <c r="C540" s="8" t="inlineStr">
        <is>
          <t>WV</t>
        </is>
      </c>
      <c r="D540" s="8" t="inlineStr">
        <is>
          <t>Public</t>
        </is>
      </c>
      <c r="E540" s="9" t="n">
        <v>13380</v>
      </c>
      <c r="F540" s="9" t="n">
        <v>55073</v>
      </c>
      <c r="G540" s="8">
        <f>RANK(F540,$F$5:$F$1561)</f>
        <v/>
      </c>
      <c r="H540" s="8" t="inlineStr"/>
      <c r="I540" s="9">
        <f>IF(D540="Private",E540,"")</f>
        <v/>
      </c>
      <c r="J540" s="9">
        <f>IF(D540="Private",F540,"")</f>
        <v/>
      </c>
    </row>
    <row r="541">
      <c r="A541" s="8" t="inlineStr">
        <is>
          <t>Potomac State College of West Virginia University</t>
        </is>
      </c>
      <c r="B541" s="8" t="inlineStr">
        <is>
          <t>Keyser</t>
        </is>
      </c>
      <c r="C541" s="8" t="inlineStr">
        <is>
          <t>WV</t>
        </is>
      </c>
      <c r="D541" s="8" t="inlineStr">
        <is>
          <t>Public</t>
        </is>
      </c>
      <c r="E541" s="9" t="n">
        <v>8295</v>
      </c>
      <c r="F541" s="9" t="n">
        <v>55073</v>
      </c>
      <c r="G541" s="8">
        <f>RANK(F541,$F$5:$F$1561)</f>
        <v/>
      </c>
      <c r="H541" s="8" t="inlineStr"/>
      <c r="I541" s="9">
        <f>IF(D541="Private",E541,"")</f>
        <v/>
      </c>
      <c r="J541" s="9">
        <f>IF(D541="Private",F541,"")</f>
        <v/>
      </c>
    </row>
    <row r="542">
      <c r="A542" s="8" t="inlineStr">
        <is>
          <t>West Virginia University Institute of Technology</t>
        </is>
      </c>
      <c r="B542" s="8" t="inlineStr">
        <is>
          <t>Beckley</t>
        </is>
      </c>
      <c r="C542" s="8" t="inlineStr">
        <is>
          <t>WV</t>
        </is>
      </c>
      <c r="D542" s="8" t="inlineStr">
        <is>
          <t>Public</t>
        </is>
      </c>
      <c r="E542" s="9" t="n">
        <v>11124</v>
      </c>
      <c r="F542" s="9" t="n">
        <v>55073</v>
      </c>
      <c r="G542" s="8">
        <f>RANK(F542,$F$5:$F$1561)</f>
        <v/>
      </c>
      <c r="H542" s="8" t="inlineStr"/>
      <c r="I542" s="9">
        <f>IF(D542="Private",E542,"")</f>
        <v/>
      </c>
      <c r="J542" s="9">
        <f>IF(D542="Private",F542,"")</f>
        <v/>
      </c>
    </row>
    <row r="543">
      <c r="A543" s="8" t="inlineStr">
        <is>
          <t>Cedar Crest College</t>
        </is>
      </c>
      <c r="B543" s="8" t="inlineStr">
        <is>
          <t>Allentown</t>
        </is>
      </c>
      <c r="C543" s="8" t="inlineStr">
        <is>
          <t>PA</t>
        </is>
      </c>
      <c r="D543" s="8" t="inlineStr">
        <is>
          <t>Private</t>
        </is>
      </c>
      <c r="E543" s="9" t="n">
        <v>23005</v>
      </c>
      <c r="F543" s="9" t="n">
        <v>55062</v>
      </c>
      <c r="G543" s="8">
        <f>RANK(F543,$F$5:$F$1561)</f>
        <v/>
      </c>
      <c r="H543" s="8" t="inlineStr"/>
      <c r="I543" s="9">
        <f>IF(D543="Private",E543,"")</f>
        <v/>
      </c>
      <c r="J543" s="9">
        <f>IF(D543="Private",F543,"")</f>
        <v/>
      </c>
    </row>
    <row r="544">
      <c r="A544" s="8" t="inlineStr">
        <is>
          <t>Concordia College at Moorhead</t>
        </is>
      </c>
      <c r="B544" s="8" t="inlineStr">
        <is>
          <t>Moorhead</t>
        </is>
      </c>
      <c r="C544" s="8" t="inlineStr">
        <is>
          <t>MN</t>
        </is>
      </c>
      <c r="D544" s="8" t="inlineStr">
        <is>
          <t>Private</t>
        </is>
      </c>
      <c r="E544" s="9" t="n">
        <v>23366</v>
      </c>
      <c r="F544" s="9" t="n">
        <v>55054</v>
      </c>
      <c r="G544" s="8">
        <f>RANK(F544,$F$5:$F$1561)</f>
        <v/>
      </c>
      <c r="H544" s="8" t="inlineStr"/>
      <c r="I544" s="9">
        <f>IF(D544="Private",E544,"")</f>
        <v/>
      </c>
      <c r="J544" s="9">
        <f>IF(D544="Private",F544,"")</f>
        <v/>
      </c>
    </row>
    <row r="545">
      <c r="A545" s="8" t="inlineStr">
        <is>
          <t>Fresno Pacific University</t>
        </is>
      </c>
      <c r="B545" s="8" t="inlineStr">
        <is>
          <t>Fresno</t>
        </is>
      </c>
      <c r="C545" s="8" t="inlineStr">
        <is>
          <t>CA</t>
        </is>
      </c>
      <c r="D545" s="8" t="inlineStr">
        <is>
          <t>Private</t>
        </is>
      </c>
      <c r="E545" s="9" t="n">
        <v>11531</v>
      </c>
      <c r="F545" s="9" t="n">
        <v>55044</v>
      </c>
      <c r="G545" s="8">
        <f>RANK(F545,$F$5:$F$1561)</f>
        <v/>
      </c>
      <c r="H545" s="8" t="inlineStr"/>
      <c r="I545" s="9">
        <f>IF(D545="Private",E545,"")</f>
        <v/>
      </c>
      <c r="J545" s="9">
        <f>IF(D545="Private",F545,"")</f>
        <v/>
      </c>
    </row>
    <row r="546">
      <c r="A546" s="8" t="inlineStr">
        <is>
          <t>Minnesota State University-Mankato</t>
        </is>
      </c>
      <c r="B546" s="8" t="inlineStr">
        <is>
          <t>Mankato</t>
        </is>
      </c>
      <c r="C546" s="8" t="inlineStr">
        <is>
          <t>MN</t>
        </is>
      </c>
      <c r="D546" s="8" t="inlineStr">
        <is>
          <t>Public</t>
        </is>
      </c>
      <c r="E546" s="9" t="n">
        <v>17488</v>
      </c>
      <c r="F546" s="9" t="n">
        <v>55008</v>
      </c>
      <c r="G546" s="8">
        <f>RANK(F546,$F$5:$F$1561)</f>
        <v/>
      </c>
      <c r="H546" s="8" t="inlineStr"/>
      <c r="I546" s="9">
        <f>IF(D546="Private",E546,"")</f>
        <v/>
      </c>
      <c r="J546" s="9">
        <f>IF(D546="Private",F546,"")</f>
        <v/>
      </c>
    </row>
    <row r="547">
      <c r="A547" s="8" t="inlineStr">
        <is>
          <t>Weber State University</t>
        </is>
      </c>
      <c r="B547" s="8" t="inlineStr">
        <is>
          <t>Ogden</t>
        </is>
      </c>
      <c r="C547" s="8" t="inlineStr">
        <is>
          <t>UT</t>
        </is>
      </c>
      <c r="D547" s="8" t="inlineStr">
        <is>
          <t>Public</t>
        </is>
      </c>
      <c r="E547" s="9" t="n">
        <v>10289</v>
      </c>
      <c r="F547" s="9" t="n">
        <v>54989</v>
      </c>
      <c r="G547" s="8">
        <f>RANK(F547,$F$5:$F$1561)</f>
        <v/>
      </c>
      <c r="H547" s="8" t="inlineStr"/>
      <c r="I547" s="9">
        <f>IF(D547="Private",E547,"")</f>
        <v/>
      </c>
      <c r="J547" s="9">
        <f>IF(D547="Private",F547,"")</f>
        <v/>
      </c>
    </row>
    <row r="548">
      <c r="A548" s="8" t="inlineStr">
        <is>
          <t>State University of New York at New Paltz</t>
        </is>
      </c>
      <c r="B548" s="8" t="inlineStr">
        <is>
          <t>New Paltz</t>
        </is>
      </c>
      <c r="C548" s="8" t="inlineStr">
        <is>
          <t>NY</t>
        </is>
      </c>
      <c r="D548" s="8" t="inlineStr">
        <is>
          <t>Public</t>
        </is>
      </c>
      <c r="E548" s="9" t="n">
        <v>16664</v>
      </c>
      <c r="F548" s="9" t="n">
        <v>54978</v>
      </c>
      <c r="G548" s="8">
        <f>RANK(F548,$F$5:$F$1561)</f>
        <v/>
      </c>
      <c r="H548" s="8" t="inlineStr"/>
      <c r="I548" s="9">
        <f>IF(D548="Private",E548,"")</f>
        <v/>
      </c>
      <c r="J548" s="9">
        <f>IF(D548="Private",F548,"")</f>
        <v/>
      </c>
    </row>
    <row r="549">
      <c r="A549" s="8" t="inlineStr">
        <is>
          <t>The University of Texas Permian Basin</t>
        </is>
      </c>
      <c r="B549" s="8" t="inlineStr">
        <is>
          <t>Odessa</t>
        </is>
      </c>
      <c r="C549" s="8" t="inlineStr">
        <is>
          <t>TX</t>
        </is>
      </c>
      <c r="D549" s="8" t="inlineStr">
        <is>
          <t>Public</t>
        </is>
      </c>
      <c r="E549" s="9" t="n">
        <v>8106</v>
      </c>
      <c r="F549" s="9" t="n">
        <v>54965</v>
      </c>
      <c r="G549" s="8">
        <f>RANK(F549,$F$5:$F$1561)</f>
        <v/>
      </c>
      <c r="H549" s="8" t="inlineStr"/>
      <c r="I549" s="9">
        <f>IF(D549="Private",E549,"")</f>
        <v/>
      </c>
      <c r="J549" s="9">
        <f>IF(D549="Private",F549,"")</f>
        <v/>
      </c>
    </row>
    <row r="550">
      <c r="A550" s="8" t="inlineStr">
        <is>
          <t>John Brown University</t>
        </is>
      </c>
      <c r="B550" s="8" t="inlineStr">
        <is>
          <t>Siloam Springs</t>
        </is>
      </c>
      <c r="C550" s="8" t="inlineStr">
        <is>
          <t>AR</t>
        </is>
      </c>
      <c r="D550" s="8" t="inlineStr">
        <is>
          <t>Private</t>
        </is>
      </c>
      <c r="E550" s="9" t="n">
        <v>18641</v>
      </c>
      <c r="F550" s="9" t="n">
        <v>54964</v>
      </c>
      <c r="G550" s="8">
        <f>RANK(F550,$F$5:$F$1561)</f>
        <v/>
      </c>
      <c r="H550" s="8" t="inlineStr"/>
      <c r="I550" s="9">
        <f>IF(D550="Private",E550,"")</f>
        <v/>
      </c>
      <c r="J550" s="9">
        <f>IF(D550="Private",F550,"")</f>
        <v/>
      </c>
    </row>
    <row r="551">
      <c r="A551" s="8" t="inlineStr">
        <is>
          <t>High Point University</t>
        </is>
      </c>
      <c r="B551" s="8" t="inlineStr">
        <is>
          <t>High Point</t>
        </is>
      </c>
      <c r="C551" s="8" t="inlineStr">
        <is>
          <t>NC</t>
        </is>
      </c>
      <c r="D551" s="8" t="inlineStr">
        <is>
          <t>Private</t>
        </is>
      </c>
      <c r="E551" s="9" t="n">
        <v>39317</v>
      </c>
      <c r="F551" s="9" t="n">
        <v>54945</v>
      </c>
      <c r="G551" s="8">
        <f>RANK(F551,$F$5:$F$1561)</f>
        <v/>
      </c>
      <c r="H551" s="8" t="inlineStr"/>
      <c r="I551" s="9">
        <f>IF(D551="Private",E551,"")</f>
        <v/>
      </c>
      <c r="J551" s="9">
        <f>IF(D551="Private",F551,"")</f>
        <v/>
      </c>
    </row>
    <row r="552">
      <c r="A552" s="8" t="inlineStr">
        <is>
          <t>Long Island University</t>
        </is>
      </c>
      <c r="B552" s="8" t="inlineStr">
        <is>
          <t>Brookville</t>
        </is>
      </c>
      <c r="C552" s="8" t="inlineStr">
        <is>
          <t>NY</t>
        </is>
      </c>
      <c r="D552" s="8" t="inlineStr">
        <is>
          <t>Private</t>
        </is>
      </c>
      <c r="E552" s="9" t="n">
        <v>23460</v>
      </c>
      <c r="F552" s="9" t="n">
        <v>54935</v>
      </c>
      <c r="G552" s="8">
        <f>RANK(F552,$F$5:$F$1561)</f>
        <v/>
      </c>
      <c r="H552" s="8" t="inlineStr"/>
      <c r="I552" s="9">
        <f>IF(D552="Private",E552,"")</f>
        <v/>
      </c>
      <c r="J552" s="9">
        <f>IF(D552="Private",F552,"")</f>
        <v/>
      </c>
    </row>
    <row r="553">
      <c r="A553" s="8" t="inlineStr">
        <is>
          <t>Utah Valley University</t>
        </is>
      </c>
      <c r="B553" s="8" t="inlineStr">
        <is>
          <t>Orem</t>
        </is>
      </c>
      <c r="C553" s="8" t="inlineStr">
        <is>
          <t>UT</t>
        </is>
      </c>
      <c r="D553" s="8" t="inlineStr">
        <is>
          <t>Public</t>
        </is>
      </c>
      <c r="E553" s="9" t="n">
        <v>9464</v>
      </c>
      <c r="F553" s="9" t="n">
        <v>54882</v>
      </c>
      <c r="G553" s="8">
        <f>RANK(F553,$F$5:$F$1561)</f>
        <v/>
      </c>
      <c r="H553" s="8" t="inlineStr"/>
      <c r="I553" s="9">
        <f>IF(D553="Private",E553,"")</f>
        <v/>
      </c>
      <c r="J553" s="9">
        <f>IF(D553="Private",F553,"")</f>
        <v/>
      </c>
    </row>
    <row r="554">
      <c r="A554" s="8" t="inlineStr">
        <is>
          <t>The University of Findlay</t>
        </is>
      </c>
      <c r="B554" s="8" t="inlineStr">
        <is>
          <t>Findlay</t>
        </is>
      </c>
      <c r="C554" s="8" t="inlineStr">
        <is>
          <t>OH</t>
        </is>
      </c>
      <c r="D554" s="8" t="inlineStr">
        <is>
          <t>Private</t>
        </is>
      </c>
      <c r="E554" s="9" t="n">
        <v>22625</v>
      </c>
      <c r="F554" s="9" t="n">
        <v>54862</v>
      </c>
      <c r="G554" s="8">
        <f>RANK(F554,$F$5:$F$1561)</f>
        <v/>
      </c>
      <c r="H554" s="8" t="inlineStr"/>
      <c r="I554" s="9">
        <f>IF(D554="Private",E554,"")</f>
        <v/>
      </c>
      <c r="J554" s="9">
        <f>IF(D554="Private",F554,"")</f>
        <v/>
      </c>
    </row>
    <row r="555">
      <c r="A555" s="8" t="inlineStr">
        <is>
          <t>University of Central Florida</t>
        </is>
      </c>
      <c r="B555" s="8" t="inlineStr">
        <is>
          <t>Orlando</t>
        </is>
      </c>
      <c r="C555" s="8" t="inlineStr">
        <is>
          <t>FL</t>
        </is>
      </c>
      <c r="D555" s="8" t="inlineStr">
        <is>
          <t>Public</t>
        </is>
      </c>
      <c r="E555" s="9" t="n">
        <v>9217</v>
      </c>
      <c r="F555" s="9" t="n">
        <v>54850</v>
      </c>
      <c r="G555" s="8">
        <f>RANK(F555,$F$5:$F$1561)</f>
        <v/>
      </c>
      <c r="H555" s="8" t="inlineStr"/>
      <c r="I555" s="9">
        <f>IF(D555="Private",E555,"")</f>
        <v/>
      </c>
      <c r="J555" s="9">
        <f>IF(D555="Private",F555,"")</f>
        <v/>
      </c>
    </row>
    <row r="556">
      <c r="A556" s="8" t="inlineStr">
        <is>
          <t>St Catherine University</t>
        </is>
      </c>
      <c r="B556" s="8" t="inlineStr">
        <is>
          <t>Saint Paul</t>
        </is>
      </c>
      <c r="C556" s="8" t="inlineStr">
        <is>
          <t>MN</t>
        </is>
      </c>
      <c r="D556" s="8" t="inlineStr">
        <is>
          <t>Private</t>
        </is>
      </c>
      <c r="E556" s="9" t="n">
        <v>19206</v>
      </c>
      <c r="F556" s="9" t="n">
        <v>54838</v>
      </c>
      <c r="G556" s="8">
        <f>RANK(F556,$F$5:$F$1561)</f>
        <v/>
      </c>
      <c r="H556" s="8" t="inlineStr"/>
      <c r="I556" s="9">
        <f>IF(D556="Private",E556,"")</f>
        <v/>
      </c>
      <c r="J556" s="9">
        <f>IF(D556="Private",F556,"")</f>
        <v/>
      </c>
    </row>
    <row r="557">
      <c r="A557" s="8" t="inlineStr">
        <is>
          <t>Marietta College</t>
        </is>
      </c>
      <c r="B557" s="8" t="inlineStr">
        <is>
          <t>Marietta</t>
        </is>
      </c>
      <c r="C557" s="8" t="inlineStr">
        <is>
          <t>OH</t>
        </is>
      </c>
      <c r="D557" s="8" t="inlineStr">
        <is>
          <t>Private</t>
        </is>
      </c>
      <c r="E557" s="9" t="n">
        <v>19568</v>
      </c>
      <c r="F557" s="9" t="n">
        <v>54790</v>
      </c>
      <c r="G557" s="8">
        <f>RANK(F557,$F$5:$F$1561)</f>
        <v/>
      </c>
      <c r="H557" s="8" t="inlineStr"/>
      <c r="I557" s="9">
        <f>IF(D557="Private",E557,"")</f>
        <v/>
      </c>
      <c r="J557" s="9">
        <f>IF(D557="Private",F557,"")</f>
        <v/>
      </c>
    </row>
    <row r="558">
      <c r="A558" s="8" t="inlineStr">
        <is>
          <t>Bridgewater State University</t>
        </is>
      </c>
      <c r="B558" s="8" t="inlineStr">
        <is>
          <t>Bridgewater</t>
        </is>
      </c>
      <c r="C558" s="8" t="inlineStr">
        <is>
          <t>MA</t>
        </is>
      </c>
      <c r="D558" s="8" t="inlineStr">
        <is>
          <t>Public</t>
        </is>
      </c>
      <c r="E558" s="9" t="n">
        <v>14071</v>
      </c>
      <c r="F558" s="9" t="n">
        <v>54750</v>
      </c>
      <c r="G558" s="8">
        <f>RANK(F558,$F$5:$F$1561)</f>
        <v/>
      </c>
      <c r="H558" s="8" t="inlineStr"/>
      <c r="I558" s="9">
        <f>IF(D558="Private",E558,"")</f>
        <v/>
      </c>
      <c r="J558" s="9">
        <f>IF(D558="Private",F558,"")</f>
        <v/>
      </c>
    </row>
    <row r="559">
      <c r="A559" s="8" t="inlineStr">
        <is>
          <t>Centenary University</t>
        </is>
      </c>
      <c r="B559" s="8" t="inlineStr">
        <is>
          <t>Hackettstown</t>
        </is>
      </c>
      <c r="C559" s="8" t="inlineStr">
        <is>
          <t>NJ</t>
        </is>
      </c>
      <c r="D559" s="8" t="inlineStr">
        <is>
          <t>Private</t>
        </is>
      </c>
      <c r="E559" s="9" t="n">
        <v>23763</v>
      </c>
      <c r="F559" s="9" t="n">
        <v>54748</v>
      </c>
      <c r="G559" s="8">
        <f>RANK(F559,$F$5:$F$1561)</f>
        <v/>
      </c>
      <c r="H559" s="8" t="inlineStr"/>
      <c r="I559" s="9">
        <f>IF(D559="Private",E559,"")</f>
        <v/>
      </c>
      <c r="J559" s="9">
        <f>IF(D559="Private",F559,"")</f>
        <v/>
      </c>
    </row>
    <row r="560">
      <c r="A560" s="8" t="inlineStr">
        <is>
          <t>Samford University</t>
        </is>
      </c>
      <c r="B560" s="8" t="inlineStr">
        <is>
          <t>Birmingham</t>
        </is>
      </c>
      <c r="C560" s="8" t="inlineStr">
        <is>
          <t>AL</t>
        </is>
      </c>
      <c r="D560" s="8" t="inlineStr">
        <is>
          <t>Private</t>
        </is>
      </c>
      <c r="E560" s="9" t="n">
        <v>30716</v>
      </c>
      <c r="F560" s="9" t="n">
        <v>54742</v>
      </c>
      <c r="G560" s="8">
        <f>RANK(F560,$F$5:$F$1561)</f>
        <v/>
      </c>
      <c r="H560" s="8" t="inlineStr"/>
      <c r="I560" s="9">
        <f>IF(D560="Private",E560,"")</f>
        <v/>
      </c>
      <c r="J560" s="9">
        <f>IF(D560="Private",F560,"")</f>
        <v/>
      </c>
    </row>
    <row r="561">
      <c r="A561" s="8" t="inlineStr">
        <is>
          <t>Trine University-Regional/Non-Traditional Campuses</t>
        </is>
      </c>
      <c r="B561" s="8" t="inlineStr">
        <is>
          <t>Angola</t>
        </is>
      </c>
      <c r="C561" s="8" t="inlineStr">
        <is>
          <t>IN</t>
        </is>
      </c>
      <c r="D561" s="8" t="inlineStr">
        <is>
          <t>Private</t>
        </is>
      </c>
      <c r="E561" s="9" t="n">
        <v>12839</v>
      </c>
      <c r="F561" s="9" t="n">
        <v>54719</v>
      </c>
      <c r="G561" s="8">
        <f>RANK(F561,$F$5:$F$1561)</f>
        <v/>
      </c>
      <c r="H561" s="8" t="inlineStr"/>
      <c r="I561" s="9">
        <f>IF(D561="Private",E561,"")</f>
        <v/>
      </c>
      <c r="J561" s="9">
        <f>IF(D561="Private",F561,"")</f>
        <v/>
      </c>
    </row>
    <row r="562">
      <c r="A562" s="8" t="inlineStr">
        <is>
          <t>Trine University</t>
        </is>
      </c>
      <c r="B562" s="8" t="inlineStr">
        <is>
          <t>Angola</t>
        </is>
      </c>
      <c r="C562" s="8" t="inlineStr">
        <is>
          <t>IN</t>
        </is>
      </c>
      <c r="D562" s="8" t="inlineStr">
        <is>
          <t>Private</t>
        </is>
      </c>
      <c r="E562" s="9" t="n">
        <v>25144</v>
      </c>
      <c r="F562" s="9" t="n">
        <v>54719</v>
      </c>
      <c r="G562" s="8">
        <f>RANK(F562,$F$5:$F$1561)</f>
        <v/>
      </c>
      <c r="H562" s="8" t="inlineStr"/>
      <c r="I562" s="9">
        <f>IF(D562="Private",E562,"")</f>
        <v/>
      </c>
      <c r="J562" s="9">
        <f>IF(D562="Private",F562,"")</f>
        <v/>
      </c>
    </row>
    <row r="563">
      <c r="A563" s="8" t="inlineStr">
        <is>
          <t>Salem State University</t>
        </is>
      </c>
      <c r="B563" s="8" t="inlineStr">
        <is>
          <t>Salem</t>
        </is>
      </c>
      <c r="C563" s="8" t="inlineStr">
        <is>
          <t>MA</t>
        </is>
      </c>
      <c r="D563" s="8" t="inlineStr">
        <is>
          <t>Public</t>
        </is>
      </c>
      <c r="E563" s="9" t="n">
        <v>17497</v>
      </c>
      <c r="F563" s="9" t="n">
        <v>54581</v>
      </c>
      <c r="G563" s="8">
        <f>RANK(F563,$F$5:$F$1561)</f>
        <v/>
      </c>
      <c r="H563" s="8" t="inlineStr"/>
      <c r="I563" s="9">
        <f>IF(D563="Private",E563,"")</f>
        <v/>
      </c>
      <c r="J563" s="9">
        <f>IF(D563="Private",F563,"")</f>
        <v/>
      </c>
    </row>
    <row r="564">
      <c r="A564" s="8" t="inlineStr">
        <is>
          <t>University of North Carolina at Charlotte</t>
        </is>
      </c>
      <c r="B564" s="8" t="inlineStr">
        <is>
          <t>Charlotte</t>
        </is>
      </c>
      <c r="C564" s="8" t="inlineStr">
        <is>
          <t>NC</t>
        </is>
      </c>
      <c r="D564" s="8" t="inlineStr">
        <is>
          <t>Public</t>
        </is>
      </c>
      <c r="E564" s="9" t="n">
        <v>16873</v>
      </c>
      <c r="F564" s="9" t="n">
        <v>54580</v>
      </c>
      <c r="G564" s="8">
        <f>RANK(F564,$F$5:$F$1561)</f>
        <v/>
      </c>
      <c r="H564" s="8" t="inlineStr"/>
      <c r="I564" s="9">
        <f>IF(D564="Private",E564,"")</f>
        <v/>
      </c>
      <c r="J564" s="9">
        <f>IF(D564="Private",F564,"")</f>
        <v/>
      </c>
    </row>
    <row r="565">
      <c r="A565" s="8" t="inlineStr">
        <is>
          <t>Portland State University</t>
        </is>
      </c>
      <c r="B565" s="8" t="inlineStr">
        <is>
          <t>Portland</t>
        </is>
      </c>
      <c r="C565" s="8" t="inlineStr">
        <is>
          <t>OR</t>
        </is>
      </c>
      <c r="D565" s="8" t="inlineStr">
        <is>
          <t>Public</t>
        </is>
      </c>
      <c r="E565" s="9" t="n">
        <v>13334</v>
      </c>
      <c r="F565" s="9" t="n">
        <v>54567</v>
      </c>
      <c r="G565" s="8">
        <f>RANK(F565,$F$5:$F$1561)</f>
        <v/>
      </c>
      <c r="H565" s="8" t="inlineStr"/>
      <c r="I565" s="9">
        <f>IF(D565="Private",E565,"")</f>
        <v/>
      </c>
      <c r="J565" s="9">
        <f>IF(D565="Private",F565,"")</f>
        <v/>
      </c>
    </row>
    <row r="566">
      <c r="A566" s="8" t="inlineStr">
        <is>
          <t>Gordon College</t>
        </is>
      </c>
      <c r="B566" s="8" t="inlineStr">
        <is>
          <t>Wenham</t>
        </is>
      </c>
      <c r="C566" s="8" t="inlineStr">
        <is>
          <t>MA</t>
        </is>
      </c>
      <c r="D566" s="8" t="inlineStr">
        <is>
          <t>Private</t>
        </is>
      </c>
      <c r="E566" s="9" t="n">
        <v>21840</v>
      </c>
      <c r="F566" s="9" t="n">
        <v>54542</v>
      </c>
      <c r="G566" s="8">
        <f>RANK(F566,$F$5:$F$1561)</f>
        <v/>
      </c>
      <c r="H566" s="8" t="inlineStr"/>
      <c r="I566" s="9">
        <f>IF(D566="Private",E566,"")</f>
        <v/>
      </c>
      <c r="J566" s="9">
        <f>IF(D566="Private",F566,"")</f>
        <v/>
      </c>
    </row>
    <row r="567">
      <c r="A567" s="8" t="inlineStr">
        <is>
          <t>Messiah University</t>
        </is>
      </c>
      <c r="B567" s="8" t="inlineStr">
        <is>
          <t>Mechanicsburg</t>
        </is>
      </c>
      <c r="C567" s="8" t="inlineStr">
        <is>
          <t>PA</t>
        </is>
      </c>
      <c r="D567" s="8" t="inlineStr">
        <is>
          <t>Private</t>
        </is>
      </c>
      <c r="E567" s="9" t="n">
        <v>23560</v>
      </c>
      <c r="F567" s="9" t="n">
        <v>54532</v>
      </c>
      <c r="G567" s="8">
        <f>RANK(F567,$F$5:$F$1561)</f>
        <v/>
      </c>
      <c r="H567" s="8" t="inlineStr"/>
      <c r="I567" s="9">
        <f>IF(D567="Private",E567,"")</f>
        <v/>
      </c>
      <c r="J567" s="9">
        <f>IF(D567="Private",F567,"")</f>
        <v/>
      </c>
    </row>
    <row r="568">
      <c r="A568" s="8" t="inlineStr">
        <is>
          <t>The College of Wooster</t>
        </is>
      </c>
      <c r="B568" s="8" t="inlineStr">
        <is>
          <t>Wooster</t>
        </is>
      </c>
      <c r="C568" s="8" t="inlineStr">
        <is>
          <t>OH</t>
        </is>
      </c>
      <c r="D568" s="8" t="inlineStr">
        <is>
          <t>Private</t>
        </is>
      </c>
      <c r="E568" s="9" t="n">
        <v>22852</v>
      </c>
      <c r="F568" s="9" t="n">
        <v>54485</v>
      </c>
      <c r="G568" s="8">
        <f>RANK(F568,$F$5:$F$1561)</f>
        <v/>
      </c>
      <c r="H568" s="8" t="inlineStr"/>
      <c r="I568" s="9">
        <f>IF(D568="Private",E568,"")</f>
        <v/>
      </c>
      <c r="J568" s="9">
        <f>IF(D568="Private",F568,"")</f>
        <v/>
      </c>
    </row>
    <row r="569">
      <c r="A569" s="8" t="inlineStr">
        <is>
          <t>Kansas State University</t>
        </is>
      </c>
      <c r="B569" s="8" t="inlineStr">
        <is>
          <t>Manhattan</t>
        </is>
      </c>
      <c r="C569" s="8" t="inlineStr">
        <is>
          <t>KS</t>
        </is>
      </c>
      <c r="D569" s="8" t="inlineStr">
        <is>
          <t>Public</t>
        </is>
      </c>
      <c r="E569" s="9" t="n">
        <v>18902</v>
      </c>
      <c r="F569" s="9" t="n">
        <v>54472</v>
      </c>
      <c r="G569" s="8">
        <f>RANK(F569,$F$5:$F$1561)</f>
        <v/>
      </c>
      <c r="H569" s="8" t="inlineStr"/>
      <c r="I569" s="9">
        <f>IF(D569="Private",E569,"")</f>
        <v/>
      </c>
      <c r="J569" s="9">
        <f>IF(D569="Private",F569,"")</f>
        <v/>
      </c>
    </row>
    <row r="570">
      <c r="A570" s="8" t="inlineStr">
        <is>
          <t>California State University-Monterey Bay</t>
        </is>
      </c>
      <c r="B570" s="8" t="inlineStr">
        <is>
          <t>Seaside</t>
        </is>
      </c>
      <c r="C570" s="8" t="inlineStr">
        <is>
          <t>CA</t>
        </is>
      </c>
      <c r="D570" s="8" t="inlineStr">
        <is>
          <t>Public</t>
        </is>
      </c>
      <c r="E570" s="9" t="n">
        <v>5553</v>
      </c>
      <c r="F570" s="9" t="n">
        <v>54470</v>
      </c>
      <c r="G570" s="8">
        <f>RANK(F570,$F$5:$F$1561)</f>
        <v/>
      </c>
      <c r="H570" s="8" t="inlineStr"/>
      <c r="I570" s="9">
        <f>IF(D570="Private",E570,"")</f>
        <v/>
      </c>
      <c r="J570" s="9">
        <f>IF(D570="Private",F570,"")</f>
        <v/>
      </c>
    </row>
    <row r="571">
      <c r="A571" s="8" t="inlineStr">
        <is>
          <t>Arcadia University</t>
        </is>
      </c>
      <c r="B571" s="8" t="inlineStr">
        <is>
          <t>Glenside</t>
        </is>
      </c>
      <c r="C571" s="8" t="inlineStr">
        <is>
          <t>PA</t>
        </is>
      </c>
      <c r="D571" s="8" t="inlineStr">
        <is>
          <t>Private</t>
        </is>
      </c>
      <c r="E571" s="9" t="n">
        <v>26188</v>
      </c>
      <c r="F571" s="9" t="n">
        <v>54467</v>
      </c>
      <c r="G571" s="8">
        <f>RANK(F571,$F$5:$F$1561)</f>
        <v/>
      </c>
      <c r="H571" s="8" t="inlineStr"/>
      <c r="I571" s="9">
        <f>IF(D571="Private",E571,"")</f>
        <v/>
      </c>
      <c r="J571" s="9">
        <f>IF(D571="Private",F571,"")</f>
        <v/>
      </c>
    </row>
    <row r="572">
      <c r="A572" s="8" t="inlineStr">
        <is>
          <t>Manhattanville College</t>
        </is>
      </c>
      <c r="B572" s="8" t="inlineStr">
        <is>
          <t>Purchase</t>
        </is>
      </c>
      <c r="C572" s="8" t="inlineStr">
        <is>
          <t>NY</t>
        </is>
      </c>
      <c r="D572" s="8" t="inlineStr">
        <is>
          <t>Private</t>
        </is>
      </c>
      <c r="E572" s="9" t="n">
        <v>20200</v>
      </c>
      <c r="F572" s="9" t="n">
        <v>54461</v>
      </c>
      <c r="G572" s="8">
        <f>RANK(F572,$F$5:$F$1561)</f>
        <v/>
      </c>
      <c r="H572" s="8" t="inlineStr"/>
      <c r="I572" s="9">
        <f>IF(D572="Private",E572,"")</f>
        <v/>
      </c>
      <c r="J572" s="9">
        <f>IF(D572="Private",F572,"")</f>
        <v/>
      </c>
    </row>
    <row r="573">
      <c r="A573" s="8" t="inlineStr">
        <is>
          <t>University of Saint Joseph</t>
        </is>
      </c>
      <c r="B573" s="8" t="inlineStr">
        <is>
          <t>West Hartford</t>
        </is>
      </c>
      <c r="C573" s="8" t="inlineStr">
        <is>
          <t>CT</t>
        </is>
      </c>
      <c r="D573" s="8" t="inlineStr">
        <is>
          <t>Private</t>
        </is>
      </c>
      <c r="E573" s="9" t="n">
        <v>25776</v>
      </c>
      <c r="F573" s="9" t="n">
        <v>54455</v>
      </c>
      <c r="G573" s="8">
        <f>RANK(F573,$F$5:$F$1561)</f>
        <v/>
      </c>
      <c r="H573" s="8" t="inlineStr"/>
      <c r="I573" s="9">
        <f>IF(D573="Private",E573,"")</f>
        <v/>
      </c>
      <c r="J573" s="9">
        <f>IF(D573="Private",F573,"")</f>
        <v/>
      </c>
    </row>
    <row r="574">
      <c r="A574" s="8" t="inlineStr">
        <is>
          <t>Texas Lutheran University</t>
        </is>
      </c>
      <c r="B574" s="8" t="inlineStr">
        <is>
          <t>Seguin</t>
        </is>
      </c>
      <c r="C574" s="8" t="inlineStr">
        <is>
          <t>TX</t>
        </is>
      </c>
      <c r="D574" s="8" t="inlineStr">
        <is>
          <t>Private</t>
        </is>
      </c>
      <c r="E574" s="9" t="n">
        <v>19069</v>
      </c>
      <c r="F574" s="9" t="n">
        <v>54428</v>
      </c>
      <c r="G574" s="8">
        <f>RANK(F574,$F$5:$F$1561)</f>
        <v/>
      </c>
      <c r="H574" s="8" t="inlineStr"/>
      <c r="I574" s="9">
        <f>IF(D574="Private",E574,"")</f>
        <v/>
      </c>
      <c r="J574" s="9">
        <f>IF(D574="Private",F574,"")</f>
        <v/>
      </c>
    </row>
    <row r="575">
      <c r="A575" s="8" t="inlineStr">
        <is>
          <t>University of Arkansas</t>
        </is>
      </c>
      <c r="B575" s="8" t="inlineStr">
        <is>
          <t>Fayetteville</t>
        </is>
      </c>
      <c r="C575" s="8" t="inlineStr">
        <is>
          <t>AR</t>
        </is>
      </c>
      <c r="D575" s="8" t="inlineStr">
        <is>
          <t>Public</t>
        </is>
      </c>
      <c r="E575" s="9" t="n">
        <v>14998</v>
      </c>
      <c r="F575" s="9" t="n">
        <v>54417</v>
      </c>
      <c r="G575" s="8">
        <f>RANK(F575,$F$5:$F$1561)</f>
        <v/>
      </c>
      <c r="H575" s="8" t="inlineStr"/>
      <c r="I575" s="9">
        <f>IF(D575="Private",E575,"")</f>
        <v/>
      </c>
      <c r="J575" s="9">
        <f>IF(D575="Private",F575,"")</f>
        <v/>
      </c>
    </row>
    <row r="576">
      <c r="A576" s="8" t="inlineStr">
        <is>
          <t>Mount Holyoke College</t>
        </is>
      </c>
      <c r="B576" s="8" t="inlineStr">
        <is>
          <t>South Hadley</t>
        </is>
      </c>
      <c r="C576" s="8" t="inlineStr">
        <is>
          <t>MA</t>
        </is>
      </c>
      <c r="D576" s="8" t="inlineStr">
        <is>
          <t>Private</t>
        </is>
      </c>
      <c r="E576" s="9" t="n">
        <v>16731</v>
      </c>
      <c r="F576" s="9" t="n">
        <v>54415</v>
      </c>
      <c r="G576" s="8">
        <f>RANK(F576,$F$5:$F$1561)</f>
        <v/>
      </c>
      <c r="H576" s="8" t="inlineStr"/>
      <c r="I576" s="9">
        <f>IF(D576="Private",E576,"")</f>
        <v/>
      </c>
      <c r="J576" s="9">
        <f>IF(D576="Private",F576,"")</f>
        <v/>
      </c>
    </row>
    <row r="577">
      <c r="A577" s="8" t="inlineStr">
        <is>
          <t>Concordia University Texas</t>
        </is>
      </c>
      <c r="B577" s="8" t="inlineStr">
        <is>
          <t>Austin</t>
        </is>
      </c>
      <c r="C577" s="8" t="inlineStr">
        <is>
          <t>TX</t>
        </is>
      </c>
      <c r="D577" s="8" t="inlineStr">
        <is>
          <t>Private</t>
        </is>
      </c>
      <c r="E577" s="9" t="n">
        <v>25673</v>
      </c>
      <c r="F577" s="9" t="n">
        <v>54410</v>
      </c>
      <c r="G577" s="8">
        <f>RANK(F577,$F$5:$F$1561)</f>
        <v/>
      </c>
      <c r="H577" s="8" t="inlineStr"/>
      <c r="I577" s="9">
        <f>IF(D577="Private",E577,"")</f>
        <v/>
      </c>
      <c r="J577" s="9">
        <f>IF(D577="Private",F577,"")</f>
        <v/>
      </c>
    </row>
    <row r="578">
      <c r="A578" s="8" t="inlineStr">
        <is>
          <t>Madonna University</t>
        </is>
      </c>
      <c r="B578" s="8" t="inlineStr">
        <is>
          <t>Livonia</t>
        </is>
      </c>
      <c r="C578" s="8" t="inlineStr">
        <is>
          <t>MI</t>
        </is>
      </c>
      <c r="D578" s="8" t="inlineStr">
        <is>
          <t>Private</t>
        </is>
      </c>
      <c r="E578" s="9" t="n">
        <v>18789</v>
      </c>
      <c r="F578" s="9" t="n">
        <v>54408</v>
      </c>
      <c r="G578" s="8">
        <f>RANK(F578,$F$5:$F$1561)</f>
        <v/>
      </c>
      <c r="H578" s="8" t="inlineStr"/>
      <c r="I578" s="9">
        <f>IF(D578="Private",E578,"")</f>
        <v/>
      </c>
      <c r="J578" s="9">
        <f>IF(D578="Private",F578,"")</f>
        <v/>
      </c>
    </row>
    <row r="579">
      <c r="A579" s="8" t="inlineStr">
        <is>
          <t>Stockton University</t>
        </is>
      </c>
      <c r="B579" s="8" t="inlineStr">
        <is>
          <t>Galloway</t>
        </is>
      </c>
      <c r="C579" s="8" t="inlineStr">
        <is>
          <t>NJ</t>
        </is>
      </c>
      <c r="D579" s="8" t="inlineStr">
        <is>
          <t>Public</t>
        </is>
      </c>
      <c r="E579" s="9" t="n">
        <v>18724</v>
      </c>
      <c r="F579" s="9" t="n">
        <v>54393</v>
      </c>
      <c r="G579" s="8">
        <f>RANK(F579,$F$5:$F$1561)</f>
        <v/>
      </c>
      <c r="H579" s="8" t="inlineStr"/>
      <c r="I579" s="9">
        <f>IF(D579="Private",E579,"")</f>
        <v/>
      </c>
      <c r="J579" s="9">
        <f>IF(D579="Private",F579,"")</f>
        <v/>
      </c>
    </row>
    <row r="580">
      <c r="A580" s="8" t="inlineStr">
        <is>
          <t>Transylvania University</t>
        </is>
      </c>
      <c r="B580" s="8" t="inlineStr">
        <is>
          <t>Lexington</t>
        </is>
      </c>
      <c r="C580" s="8" t="inlineStr">
        <is>
          <t>KY</t>
        </is>
      </c>
      <c r="D580" s="8" t="inlineStr">
        <is>
          <t>Private</t>
        </is>
      </c>
      <c r="E580" s="9" t="n">
        <v>24489</v>
      </c>
      <c r="F580" s="9" t="n">
        <v>54373</v>
      </c>
      <c r="G580" s="8">
        <f>RANK(F580,$F$5:$F$1561)</f>
        <v/>
      </c>
      <c r="H580" s="8" t="inlineStr"/>
      <c r="I580" s="9">
        <f>IF(D580="Private",E580,"")</f>
        <v/>
      </c>
      <c r="J580" s="9">
        <f>IF(D580="Private",F580,"")</f>
        <v/>
      </c>
    </row>
    <row r="581">
      <c r="A581" s="8" t="inlineStr">
        <is>
          <t>University of South Florida</t>
        </is>
      </c>
      <c r="B581" s="8" t="inlineStr">
        <is>
          <t>Tampa</t>
        </is>
      </c>
      <c r="C581" s="8" t="inlineStr">
        <is>
          <t>FL</t>
        </is>
      </c>
      <c r="D581" s="8" t="inlineStr">
        <is>
          <t>Public</t>
        </is>
      </c>
      <c r="E581" s="9" t="n">
        <v>8318</v>
      </c>
      <c r="F581" s="9" t="n">
        <v>54364</v>
      </c>
      <c r="G581" s="8">
        <f>RANK(F581,$F$5:$F$1561)</f>
        <v/>
      </c>
      <c r="H581" s="8" t="inlineStr"/>
      <c r="I581" s="9">
        <f>IF(D581="Private",E581,"")</f>
        <v/>
      </c>
      <c r="J581" s="9">
        <f>IF(D581="Private",F581,"")</f>
        <v/>
      </c>
    </row>
    <row r="582">
      <c r="A582" s="8" t="inlineStr">
        <is>
          <t>Oklahoma Wesleyan University</t>
        </is>
      </c>
      <c r="B582" s="8" t="inlineStr">
        <is>
          <t>Bartlesville</t>
        </is>
      </c>
      <c r="C582" s="8" t="inlineStr">
        <is>
          <t>OK</t>
        </is>
      </c>
      <c r="D582" s="8" t="inlineStr">
        <is>
          <t>Private</t>
        </is>
      </c>
      <c r="E582" s="9" t="n">
        <v>21939</v>
      </c>
      <c r="F582" s="9" t="n">
        <v>54357</v>
      </c>
      <c r="G582" s="8">
        <f>RANK(F582,$F$5:$F$1561)</f>
        <v/>
      </c>
      <c r="H582" s="8" t="inlineStr"/>
      <c r="I582" s="9">
        <f>IF(D582="Private",E582,"")</f>
        <v/>
      </c>
      <c r="J582" s="9">
        <f>IF(D582="Private",F582,"")</f>
        <v/>
      </c>
    </row>
    <row r="583">
      <c r="A583" s="8" t="inlineStr">
        <is>
          <t>University of St Thomas</t>
        </is>
      </c>
      <c r="B583" s="8" t="inlineStr">
        <is>
          <t>Houston</t>
        </is>
      </c>
      <c r="C583" s="8" t="inlineStr">
        <is>
          <t>TX</t>
        </is>
      </c>
      <c r="D583" s="8" t="inlineStr">
        <is>
          <t>Private</t>
        </is>
      </c>
      <c r="E583" s="9" t="n">
        <v>18241</v>
      </c>
      <c r="F583" s="9" t="n">
        <v>54322</v>
      </c>
      <c r="G583" s="8">
        <f>RANK(F583,$F$5:$F$1561)</f>
        <v/>
      </c>
      <c r="H583" s="8" t="inlineStr"/>
      <c r="I583" s="9">
        <f>IF(D583="Private",E583,"")</f>
        <v/>
      </c>
      <c r="J583" s="9">
        <f>IF(D583="Private",F583,"")</f>
        <v/>
      </c>
    </row>
    <row r="584">
      <c r="A584" s="8" t="inlineStr">
        <is>
          <t>Kennesaw State University</t>
        </is>
      </c>
      <c r="B584" s="8" t="inlineStr">
        <is>
          <t>Kennesaw</t>
        </is>
      </c>
      <c r="C584" s="8" t="inlineStr">
        <is>
          <t>GA</t>
        </is>
      </c>
      <c r="D584" s="8" t="inlineStr">
        <is>
          <t>Public</t>
        </is>
      </c>
      <c r="E584" s="9" t="n">
        <v>18212</v>
      </c>
      <c r="F584" s="9" t="n">
        <v>54321</v>
      </c>
      <c r="G584" s="8">
        <f>RANK(F584,$F$5:$F$1561)</f>
        <v/>
      </c>
      <c r="H584" s="8" t="inlineStr"/>
      <c r="I584" s="9">
        <f>IF(D584="Private",E584,"")</f>
        <v/>
      </c>
      <c r="J584" s="9">
        <f>IF(D584="Private",F584,"")</f>
        <v/>
      </c>
    </row>
    <row r="585">
      <c r="A585" s="8" t="inlineStr">
        <is>
          <t>Virginia Commonwealth University</t>
        </is>
      </c>
      <c r="B585" s="8" t="inlineStr">
        <is>
          <t>Richmond</t>
        </is>
      </c>
      <c r="C585" s="8" t="inlineStr">
        <is>
          <t>VA</t>
        </is>
      </c>
      <c r="D585" s="8" t="inlineStr">
        <is>
          <t>Public</t>
        </is>
      </c>
      <c r="E585" s="9" t="n">
        <v>18904</v>
      </c>
      <c r="F585" s="9" t="n">
        <v>54300</v>
      </c>
      <c r="G585" s="8">
        <f>RANK(F585,$F$5:$F$1561)</f>
        <v/>
      </c>
      <c r="H585" s="8" t="inlineStr"/>
      <c r="I585" s="9">
        <f>IF(D585="Private",E585,"")</f>
        <v/>
      </c>
      <c r="J585" s="9">
        <f>IF(D585="Private",F585,"")</f>
        <v/>
      </c>
    </row>
    <row r="586">
      <c r="A586" s="8" t="inlineStr">
        <is>
          <t>Southern Illinois University-Edwardsville</t>
        </is>
      </c>
      <c r="B586" s="8" t="inlineStr">
        <is>
          <t>Edwardsville</t>
        </is>
      </c>
      <c r="C586" s="8" t="inlineStr">
        <is>
          <t>IL</t>
        </is>
      </c>
      <c r="D586" s="8" t="inlineStr">
        <is>
          <t>Public</t>
        </is>
      </c>
      <c r="E586" s="9" t="n">
        <v>14331</v>
      </c>
      <c r="F586" s="9" t="n">
        <v>54293</v>
      </c>
      <c r="G586" s="8">
        <f>RANK(F586,$F$5:$F$1561)</f>
        <v/>
      </c>
      <c r="H586" s="8" t="inlineStr"/>
      <c r="I586" s="9">
        <f>IF(D586="Private",E586,"")</f>
        <v/>
      </c>
      <c r="J586" s="9">
        <f>IF(D586="Private",F586,"")</f>
        <v/>
      </c>
    </row>
    <row r="587">
      <c r="A587" s="8" t="inlineStr">
        <is>
          <t>Mount Mercy University</t>
        </is>
      </c>
      <c r="B587" s="8" t="inlineStr">
        <is>
          <t>Cedar Rapids</t>
        </is>
      </c>
      <c r="C587" s="8" t="inlineStr">
        <is>
          <t>IA</t>
        </is>
      </c>
      <c r="D587" s="8" t="inlineStr">
        <is>
          <t>Private</t>
        </is>
      </c>
      <c r="E587" s="9" t="n">
        <v>22187</v>
      </c>
      <c r="F587" s="9" t="n">
        <v>54291</v>
      </c>
      <c r="G587" s="8">
        <f>RANK(F587,$F$5:$F$1561)</f>
        <v/>
      </c>
      <c r="H587" s="8" t="inlineStr"/>
      <c r="I587" s="9">
        <f>IF(D587="Private",E587,"")</f>
        <v/>
      </c>
      <c r="J587" s="9">
        <f>IF(D587="Private",F587,"")</f>
        <v/>
      </c>
    </row>
    <row r="588">
      <c r="A588" s="8" t="inlineStr">
        <is>
          <t>Georgia College &amp; State University</t>
        </is>
      </c>
      <c r="B588" s="8" t="inlineStr">
        <is>
          <t>Milledgeville</t>
        </is>
      </c>
      <c r="C588" s="8" t="inlineStr">
        <is>
          <t>GA</t>
        </is>
      </c>
      <c r="D588" s="8" t="inlineStr">
        <is>
          <t>Public</t>
        </is>
      </c>
      <c r="E588" s="9" t="n">
        <v>19827</v>
      </c>
      <c r="F588" s="9" t="n">
        <v>54288</v>
      </c>
      <c r="G588" s="8">
        <f>RANK(F588,$F$5:$F$1561)</f>
        <v/>
      </c>
      <c r="H588" s="8" t="inlineStr"/>
      <c r="I588" s="9">
        <f>IF(D588="Private",E588,"")</f>
        <v/>
      </c>
      <c r="J588" s="9">
        <f>IF(D588="Private",F588,"")</f>
        <v/>
      </c>
    </row>
    <row r="589">
      <c r="A589" s="8" t="inlineStr">
        <is>
          <t>George Fox University</t>
        </is>
      </c>
      <c r="B589" s="8" t="inlineStr">
        <is>
          <t>Newberg</t>
        </is>
      </c>
      <c r="C589" s="8" t="inlineStr">
        <is>
          <t>OR</t>
        </is>
      </c>
      <c r="D589" s="8" t="inlineStr">
        <is>
          <t>Private</t>
        </is>
      </c>
      <c r="E589" s="9" t="n">
        <v>30927</v>
      </c>
      <c r="F589" s="9" t="n">
        <v>54279</v>
      </c>
      <c r="G589" s="8">
        <f>RANK(F589,$F$5:$F$1561)</f>
        <v/>
      </c>
      <c r="H589" s="8" t="inlineStr"/>
      <c r="I589" s="9">
        <f>IF(D589="Private",E589,"")</f>
        <v/>
      </c>
      <c r="J589" s="9">
        <f>IF(D589="Private",F589,"")</f>
        <v/>
      </c>
    </row>
    <row r="590">
      <c r="A590" s="8" t="inlineStr">
        <is>
          <t>Framingham State University</t>
        </is>
      </c>
      <c r="B590" s="8" t="inlineStr">
        <is>
          <t>Framingham</t>
        </is>
      </c>
      <c r="C590" s="8" t="inlineStr">
        <is>
          <t>MA</t>
        </is>
      </c>
      <c r="D590" s="8" t="inlineStr">
        <is>
          <t>Public</t>
        </is>
      </c>
      <c r="E590" s="9" t="n">
        <v>16513</v>
      </c>
      <c r="F590" s="9" t="n">
        <v>54242</v>
      </c>
      <c r="G590" s="8">
        <f>RANK(F590,$F$5:$F$1561)</f>
        <v/>
      </c>
      <c r="H590" s="8" t="inlineStr"/>
      <c r="I590" s="9">
        <f>IF(D590="Private",E590,"")</f>
        <v/>
      </c>
      <c r="J590" s="9">
        <f>IF(D590="Private",F590,"")</f>
        <v/>
      </c>
    </row>
    <row r="591">
      <c r="A591" s="8" t="inlineStr">
        <is>
          <t>Saint Norbert College</t>
        </is>
      </c>
      <c r="B591" s="8" t="inlineStr">
        <is>
          <t>De Pere</t>
        </is>
      </c>
      <c r="C591" s="8" t="inlineStr">
        <is>
          <t>WI</t>
        </is>
      </c>
      <c r="D591" s="8" t="inlineStr">
        <is>
          <t>Private</t>
        </is>
      </c>
      <c r="E591" s="9" t="n">
        <v>25859</v>
      </c>
      <c r="F591" s="9" t="n">
        <v>54223</v>
      </c>
      <c r="G591" s="8">
        <f>RANK(F591,$F$5:$F$1561)</f>
        <v/>
      </c>
      <c r="H591" s="8" t="inlineStr"/>
      <c r="I591" s="9">
        <f>IF(D591="Private",E591,"")</f>
        <v/>
      </c>
      <c r="J591" s="9">
        <f>IF(D591="Private",F591,"")</f>
        <v/>
      </c>
    </row>
    <row r="592">
      <c r="A592" s="8" t="inlineStr">
        <is>
          <t>California State University-Los Angeles</t>
        </is>
      </c>
      <c r="B592" s="8" t="inlineStr">
        <is>
          <t>Los Angeles</t>
        </is>
      </c>
      <c r="C592" s="8" t="inlineStr">
        <is>
          <t>CA</t>
        </is>
      </c>
      <c r="D592" s="8" t="inlineStr">
        <is>
          <t>Public</t>
        </is>
      </c>
      <c r="E592" s="9" t="n">
        <v>2037</v>
      </c>
      <c r="F592" s="9" t="n">
        <v>54219</v>
      </c>
      <c r="G592" s="8">
        <f>RANK(F592,$F$5:$F$1561)</f>
        <v/>
      </c>
      <c r="H592" s="8" t="inlineStr"/>
      <c r="I592" s="9">
        <f>IF(D592="Private",E592,"")</f>
        <v/>
      </c>
      <c r="J592" s="9">
        <f>IF(D592="Private",F592,"")</f>
        <v/>
      </c>
    </row>
    <row r="593">
      <c r="A593" s="8" t="inlineStr">
        <is>
          <t>Cabrini University</t>
        </is>
      </c>
      <c r="B593" s="8" t="inlineStr">
        <is>
          <t>Radnor</t>
        </is>
      </c>
      <c r="C593" s="8" t="inlineStr">
        <is>
          <t>PA</t>
        </is>
      </c>
      <c r="D593" s="8" t="inlineStr">
        <is>
          <t>Private</t>
        </is>
      </c>
      <c r="E593" s="9" t="n">
        <v>19978</v>
      </c>
      <c r="F593" s="9" t="n">
        <v>54218</v>
      </c>
      <c r="G593" s="8">
        <f>RANK(F593,$F$5:$F$1561)</f>
        <v/>
      </c>
      <c r="H593" s="8" t="inlineStr"/>
      <c r="I593" s="9">
        <f>IF(D593="Private",E593,"")</f>
        <v/>
      </c>
      <c r="J593" s="9">
        <f>IF(D593="Private",F593,"")</f>
        <v/>
      </c>
    </row>
    <row r="594">
      <c r="A594" s="8" t="inlineStr">
        <is>
          <t>CUNY John Jay College of Criminal Justice</t>
        </is>
      </c>
      <c r="B594" s="8" t="inlineStr">
        <is>
          <t>New York</t>
        </is>
      </c>
      <c r="C594" s="8" t="inlineStr">
        <is>
          <t>NY</t>
        </is>
      </c>
      <c r="D594" s="8" t="inlineStr">
        <is>
          <t>Public</t>
        </is>
      </c>
      <c r="E594" s="9" t="n">
        <v>2254</v>
      </c>
      <c r="F594" s="9" t="n">
        <v>54207</v>
      </c>
      <c r="G594" s="8">
        <f>RANK(F594,$F$5:$F$1561)</f>
        <v/>
      </c>
      <c r="H594" s="8" t="inlineStr"/>
      <c r="I594" s="9">
        <f>IF(D594="Private",E594,"")</f>
        <v/>
      </c>
      <c r="J594" s="9">
        <f>IF(D594="Private",F594,"")</f>
        <v/>
      </c>
    </row>
    <row r="595">
      <c r="A595" s="8" t="inlineStr">
        <is>
          <t>Barry University</t>
        </is>
      </c>
      <c r="B595" s="8" t="inlineStr">
        <is>
          <t>Miami</t>
        </is>
      </c>
      <c r="C595" s="8" t="inlineStr">
        <is>
          <t>FL</t>
        </is>
      </c>
      <c r="D595" s="8" t="inlineStr">
        <is>
          <t>Private</t>
        </is>
      </c>
      <c r="E595" s="9" t="n">
        <v>16942</v>
      </c>
      <c r="F595" s="9" t="n">
        <v>54203</v>
      </c>
      <c r="G595" s="8">
        <f>RANK(F595,$F$5:$F$1561)</f>
        <v/>
      </c>
      <c r="H595" s="8" t="inlineStr"/>
      <c r="I595" s="9">
        <f>IF(D595="Private",E595,"")</f>
        <v/>
      </c>
      <c r="J595" s="9">
        <f>IF(D595="Private",F595,"")</f>
        <v/>
      </c>
    </row>
    <row r="596">
      <c r="A596" s="8" t="inlineStr">
        <is>
          <t>Neumann University</t>
        </is>
      </c>
      <c r="B596" s="8" t="inlineStr">
        <is>
          <t>Aston</t>
        </is>
      </c>
      <c r="C596" s="8" t="inlineStr">
        <is>
          <t>PA</t>
        </is>
      </c>
      <c r="D596" s="8" t="inlineStr">
        <is>
          <t>Private</t>
        </is>
      </c>
      <c r="E596" s="9" t="n">
        <v>27241</v>
      </c>
      <c r="F596" s="9" t="n">
        <v>54198</v>
      </c>
      <c r="G596" s="8">
        <f>RANK(F596,$F$5:$F$1561)</f>
        <v/>
      </c>
      <c r="H596" s="8" t="inlineStr"/>
      <c r="I596" s="9">
        <f>IF(D596="Private",E596,"")</f>
        <v/>
      </c>
      <c r="J596" s="9">
        <f>IF(D596="Private",F596,"")</f>
        <v/>
      </c>
    </row>
    <row r="597">
      <c r="A597" s="8" t="inlineStr">
        <is>
          <t>Calvin University</t>
        </is>
      </c>
      <c r="B597" s="8" t="inlineStr">
        <is>
          <t>Grand Rapids</t>
        </is>
      </c>
      <c r="C597" s="8" t="inlineStr">
        <is>
          <t>MI</t>
        </is>
      </c>
      <c r="D597" s="8" t="inlineStr">
        <is>
          <t>Private</t>
        </is>
      </c>
      <c r="E597" s="9" t="n">
        <v>26281</v>
      </c>
      <c r="F597" s="9" t="n">
        <v>54153</v>
      </c>
      <c r="G597" s="8">
        <f>RANK(F597,$F$5:$F$1561)</f>
        <v/>
      </c>
      <c r="H597" s="8" t="inlineStr"/>
      <c r="I597" s="9">
        <f>IF(D597="Private",E597,"")</f>
        <v/>
      </c>
      <c r="J597" s="9">
        <f>IF(D597="Private",F597,"")</f>
        <v/>
      </c>
    </row>
    <row r="598">
      <c r="A598" s="8" t="inlineStr">
        <is>
          <t>Morningside University</t>
        </is>
      </c>
      <c r="B598" s="8" t="inlineStr">
        <is>
          <t>Sioux City</t>
        </is>
      </c>
      <c r="C598" s="8" t="inlineStr">
        <is>
          <t>IA</t>
        </is>
      </c>
      <c r="D598" s="8" t="inlineStr">
        <is>
          <t>Private</t>
        </is>
      </c>
      <c r="E598" s="9" t="n">
        <v>23807</v>
      </c>
      <c r="F598" s="9" t="n">
        <v>54118</v>
      </c>
      <c r="G598" s="8">
        <f>RANK(F598,$F$5:$F$1561)</f>
        <v/>
      </c>
      <c r="H598" s="8" t="inlineStr"/>
      <c r="I598" s="9">
        <f>IF(D598="Private",E598,"")</f>
        <v/>
      </c>
      <c r="J598" s="9">
        <f>IF(D598="Private",F598,"")</f>
        <v/>
      </c>
    </row>
    <row r="599">
      <c r="A599" s="8" t="inlineStr">
        <is>
          <t>The University of Texas at San Antonio</t>
        </is>
      </c>
      <c r="B599" s="8" t="inlineStr">
        <is>
          <t>San Antonio</t>
        </is>
      </c>
      <c r="C599" s="8" t="inlineStr">
        <is>
          <t>TX</t>
        </is>
      </c>
      <c r="D599" s="8" t="inlineStr">
        <is>
          <t>Public</t>
        </is>
      </c>
      <c r="E599" s="9" t="n">
        <v>10489</v>
      </c>
      <c r="F599" s="9" t="n">
        <v>54117</v>
      </c>
      <c r="G599" s="8">
        <f>RANK(F599,$F$5:$F$1561)</f>
        <v/>
      </c>
      <c r="H599" s="8" t="inlineStr"/>
      <c r="I599" s="9">
        <f>IF(D599="Private",E599,"")</f>
        <v/>
      </c>
      <c r="J599" s="9">
        <f>IF(D599="Private",F599,"")</f>
        <v/>
      </c>
    </row>
    <row r="600">
      <c r="A600" s="8" t="inlineStr">
        <is>
          <t>Coe College</t>
        </is>
      </c>
      <c r="B600" s="8" t="inlineStr">
        <is>
          <t>Cedar Rapids</t>
        </is>
      </c>
      <c r="C600" s="8" t="inlineStr">
        <is>
          <t>IA</t>
        </is>
      </c>
      <c r="D600" s="8" t="inlineStr">
        <is>
          <t>Private</t>
        </is>
      </c>
      <c r="E600" s="9" t="n">
        <v>18515</v>
      </c>
      <c r="F600" s="9" t="n">
        <v>54115</v>
      </c>
      <c r="G600" s="8">
        <f>RANK(F600,$F$5:$F$1561)</f>
        <v/>
      </c>
      <c r="H600" s="8" t="inlineStr"/>
      <c r="I600" s="9">
        <f>IF(D600="Private",E600,"")</f>
        <v/>
      </c>
      <c r="J600" s="9">
        <f>IF(D600="Private",F600,"")</f>
        <v/>
      </c>
    </row>
    <row r="601">
      <c r="A601" s="8" t="inlineStr">
        <is>
          <t>Hood College</t>
        </is>
      </c>
      <c r="B601" s="8" t="inlineStr">
        <is>
          <t>Frederick</t>
        </is>
      </c>
      <c r="C601" s="8" t="inlineStr">
        <is>
          <t>MD</t>
        </is>
      </c>
      <c r="D601" s="8" t="inlineStr">
        <is>
          <t>Private</t>
        </is>
      </c>
      <c r="E601" s="9" t="n">
        <v>22508</v>
      </c>
      <c r="F601" s="9" t="n">
        <v>54057</v>
      </c>
      <c r="G601" s="8">
        <f>RANK(F601,$F$5:$F$1561)</f>
        <v/>
      </c>
      <c r="H601" s="8" t="inlineStr"/>
      <c r="I601" s="9">
        <f>IF(D601="Private",E601,"")</f>
        <v/>
      </c>
      <c r="J601" s="9">
        <f>IF(D601="Private",F601,"")</f>
        <v/>
      </c>
    </row>
    <row r="602">
      <c r="A602" s="8" t="inlineStr">
        <is>
          <t>University of North Texas</t>
        </is>
      </c>
      <c r="B602" s="8" t="inlineStr">
        <is>
          <t>Denton</t>
        </is>
      </c>
      <c r="C602" s="8" t="inlineStr">
        <is>
          <t>TX</t>
        </is>
      </c>
      <c r="D602" s="8" t="inlineStr">
        <is>
          <t>Public</t>
        </is>
      </c>
      <c r="E602" s="9" t="n">
        <v>12006</v>
      </c>
      <c r="F602" s="9" t="n">
        <v>54047</v>
      </c>
      <c r="G602" s="8">
        <f>RANK(F602,$F$5:$F$1561)</f>
        <v/>
      </c>
      <c r="H602" s="8" t="inlineStr"/>
      <c r="I602" s="9">
        <f>IF(D602="Private",E602,"")</f>
        <v/>
      </c>
      <c r="J602" s="9">
        <f>IF(D602="Private",F602,"")</f>
        <v/>
      </c>
    </row>
    <row r="603">
      <c r="A603" s="8" t="inlineStr">
        <is>
          <t>Loras College</t>
        </is>
      </c>
      <c r="B603" s="8" t="inlineStr">
        <is>
          <t>Dubuque</t>
        </is>
      </c>
      <c r="C603" s="8" t="inlineStr">
        <is>
          <t>IA</t>
        </is>
      </c>
      <c r="D603" s="8" t="inlineStr">
        <is>
          <t>Private</t>
        </is>
      </c>
      <c r="E603" s="9" t="n">
        <v>19091</v>
      </c>
      <c r="F603" s="9" t="n">
        <v>54020</v>
      </c>
      <c r="G603" s="8">
        <f>RANK(F603,$F$5:$F$1561)</f>
        <v/>
      </c>
      <c r="H603" s="8" t="inlineStr"/>
      <c r="I603" s="9">
        <f>IF(D603="Private",E603,"")</f>
        <v/>
      </c>
      <c r="J603" s="9">
        <f>IF(D603="Private",F603,"")</f>
        <v/>
      </c>
    </row>
    <row r="604">
      <c r="A604" s="8" t="inlineStr">
        <is>
          <t>Park University</t>
        </is>
      </c>
      <c r="B604" s="8" t="inlineStr">
        <is>
          <t>Parkville</t>
        </is>
      </c>
      <c r="C604" s="8" t="inlineStr">
        <is>
          <t>MO</t>
        </is>
      </c>
      <c r="D604" s="8" t="inlineStr">
        <is>
          <t>Private</t>
        </is>
      </c>
      <c r="E604" s="9" t="n">
        <v>16069</v>
      </c>
      <c r="F604" s="9" t="n">
        <v>53977</v>
      </c>
      <c r="G604" s="8">
        <f>RANK(F604,$F$5:$F$1561)</f>
        <v/>
      </c>
      <c r="H604" s="8" t="inlineStr"/>
      <c r="I604" s="9">
        <f>IF(D604="Private",E604,"")</f>
        <v/>
      </c>
      <c r="J604" s="9">
        <f>IF(D604="Private",F604,"")</f>
        <v/>
      </c>
    </row>
    <row r="605">
      <c r="A605" s="8" t="inlineStr">
        <is>
          <t>SUNY Oneonta</t>
        </is>
      </c>
      <c r="B605" s="8" t="inlineStr">
        <is>
          <t>Oneonta</t>
        </is>
      </c>
      <c r="C605" s="8" t="inlineStr">
        <is>
          <t>NY</t>
        </is>
      </c>
      <c r="D605" s="8" t="inlineStr">
        <is>
          <t>Public</t>
        </is>
      </c>
      <c r="E605" s="9" t="n">
        <v>18751</v>
      </c>
      <c r="F605" s="9" t="n">
        <v>53975</v>
      </c>
      <c r="G605" s="8">
        <f>RANK(F605,$F$5:$F$1561)</f>
        <v/>
      </c>
      <c r="H605" s="8" t="inlineStr"/>
      <c r="I605" s="9">
        <f>IF(D605="Private",E605,"")</f>
        <v/>
      </c>
      <c r="J605" s="9">
        <f>IF(D605="Private",F605,"")</f>
        <v/>
      </c>
    </row>
    <row r="606">
      <c r="A606" s="8" t="inlineStr">
        <is>
          <t>Oklahoma State University-Main Campus</t>
        </is>
      </c>
      <c r="B606" s="8" t="inlineStr">
        <is>
          <t>Stillwater</t>
        </is>
      </c>
      <c r="C606" s="8" t="inlineStr">
        <is>
          <t>OK</t>
        </is>
      </c>
      <c r="D606" s="8" t="inlineStr">
        <is>
          <t>Public</t>
        </is>
      </c>
      <c r="E606" s="9" t="n">
        <v>13188</v>
      </c>
      <c r="F606" s="9" t="n">
        <v>53923</v>
      </c>
      <c r="G606" s="8">
        <f>RANK(F606,$F$5:$F$1561)</f>
        <v/>
      </c>
      <c r="H606" s="8" t="inlineStr"/>
      <c r="I606" s="9">
        <f>IF(D606="Private",E606,"")</f>
        <v/>
      </c>
      <c r="J606" s="9">
        <f>IF(D606="Private",F606,"")</f>
        <v/>
      </c>
    </row>
    <row r="607">
      <c r="A607" s="8" t="inlineStr">
        <is>
          <t>Caldwell University</t>
        </is>
      </c>
      <c r="B607" s="8" t="inlineStr">
        <is>
          <t>Caldwell</t>
        </is>
      </c>
      <c r="C607" s="8" t="inlineStr">
        <is>
          <t>NJ</t>
        </is>
      </c>
      <c r="D607" s="8" t="inlineStr">
        <is>
          <t>Private</t>
        </is>
      </c>
      <c r="E607" s="9" t="n">
        <v>15142</v>
      </c>
      <c r="F607" s="9" t="n">
        <v>53908</v>
      </c>
      <c r="G607" s="8">
        <f>RANK(F607,$F$5:$F$1561)</f>
        <v/>
      </c>
      <c r="H607" s="8" t="inlineStr"/>
      <c r="I607" s="9">
        <f>IF(D607="Private",E607,"")</f>
        <v/>
      </c>
      <c r="J607" s="9">
        <f>IF(D607="Private",F607,"")</f>
        <v/>
      </c>
    </row>
    <row r="608">
      <c r="A608" s="8" t="inlineStr">
        <is>
          <t>Texas State University</t>
        </is>
      </c>
      <c r="B608" s="8" t="inlineStr">
        <is>
          <t>San Marcos</t>
        </is>
      </c>
      <c r="C608" s="8" t="inlineStr">
        <is>
          <t>TX</t>
        </is>
      </c>
      <c r="D608" s="8" t="inlineStr">
        <is>
          <t>Public</t>
        </is>
      </c>
      <c r="E608" s="9" t="n">
        <v>17033</v>
      </c>
      <c r="F608" s="9" t="n">
        <v>53885</v>
      </c>
      <c r="G608" s="8">
        <f>RANK(F608,$F$5:$F$1561)</f>
        <v/>
      </c>
      <c r="H608" s="8" t="inlineStr"/>
      <c r="I608" s="9">
        <f>IF(D608="Private",E608,"")</f>
        <v/>
      </c>
      <c r="J608" s="9">
        <f>IF(D608="Private",F608,"")</f>
        <v/>
      </c>
    </row>
    <row r="609">
      <c r="A609" s="8" t="inlineStr">
        <is>
          <t>University of Jamestown</t>
        </is>
      </c>
      <c r="B609" s="8" t="inlineStr">
        <is>
          <t>Jamestown</t>
        </is>
      </c>
      <c r="C609" s="8" t="inlineStr">
        <is>
          <t>ND</t>
        </is>
      </c>
      <c r="D609" s="8" t="inlineStr">
        <is>
          <t>Private</t>
        </is>
      </c>
      <c r="E609" s="9" t="n">
        <v>20087</v>
      </c>
      <c r="F609" s="9" t="n">
        <v>53878</v>
      </c>
      <c r="G609" s="8">
        <f>RANK(F609,$F$5:$F$1561)</f>
        <v/>
      </c>
      <c r="H609" s="8" t="inlineStr"/>
      <c r="I609" s="9">
        <f>IF(D609="Private",E609,"")</f>
        <v/>
      </c>
      <c r="J609" s="9">
        <f>IF(D609="Private",F609,"")</f>
        <v/>
      </c>
    </row>
    <row r="610">
      <c r="A610" s="8" t="inlineStr">
        <is>
          <t>Florida Institute of Technology</t>
        </is>
      </c>
      <c r="B610" s="8" t="inlineStr">
        <is>
          <t>Melbourne</t>
        </is>
      </c>
      <c r="C610" s="8" t="inlineStr">
        <is>
          <t>FL</t>
        </is>
      </c>
      <c r="D610" s="8" t="inlineStr">
        <is>
          <t>Private</t>
        </is>
      </c>
      <c r="E610" s="9" t="n">
        <v>31172</v>
      </c>
      <c r="F610" s="9" t="n">
        <v>53864</v>
      </c>
      <c r="G610" s="8">
        <f>RANK(F610,$F$5:$F$1561)</f>
        <v/>
      </c>
      <c r="H610" s="8" t="inlineStr"/>
      <c r="I610" s="9">
        <f>IF(D610="Private",E610,"")</f>
        <v/>
      </c>
      <c r="J610" s="9">
        <f>IF(D610="Private",F610,"")</f>
        <v/>
      </c>
    </row>
    <row r="611">
      <c r="A611" s="8" t="inlineStr">
        <is>
          <t>Florida Institute of Technology-Online</t>
        </is>
      </c>
      <c r="B611" s="8" t="inlineStr">
        <is>
          <t>Melbourne</t>
        </is>
      </c>
      <c r="C611" s="8" t="inlineStr">
        <is>
          <t>FL</t>
        </is>
      </c>
      <c r="D611" s="8" t="inlineStr">
        <is>
          <t>Private</t>
        </is>
      </c>
      <c r="E611" s="9" t="n">
        <v>24841</v>
      </c>
      <c r="F611" s="9" t="n">
        <v>53864</v>
      </c>
      <c r="G611" s="8">
        <f>RANK(F611,$F$5:$F$1561)</f>
        <v/>
      </c>
      <c r="H611" s="8" t="inlineStr"/>
      <c r="I611" s="9">
        <f>IF(D611="Private",E611,"")</f>
        <v/>
      </c>
      <c r="J611" s="9">
        <f>IF(D611="Private",F611,"")</f>
        <v/>
      </c>
    </row>
    <row r="612">
      <c r="A612" s="8" t="inlineStr">
        <is>
          <t>Warner Pacific University</t>
        </is>
      </c>
      <c r="B612" s="8" t="inlineStr">
        <is>
          <t>Portland</t>
        </is>
      </c>
      <c r="C612" s="8" t="inlineStr">
        <is>
          <t>OR</t>
        </is>
      </c>
      <c r="D612" s="8" t="inlineStr">
        <is>
          <t>Private</t>
        </is>
      </c>
      <c r="E612" s="9" t="n">
        <v>18943</v>
      </c>
      <c r="F612" s="9" t="n">
        <v>53820</v>
      </c>
      <c r="G612" s="8">
        <f>RANK(F612,$F$5:$F$1561)</f>
        <v/>
      </c>
      <c r="H612" s="8" t="inlineStr"/>
      <c r="I612" s="9">
        <f>IF(D612="Private",E612,"")</f>
        <v/>
      </c>
      <c r="J612" s="9">
        <f>IF(D612="Private",F612,"")</f>
        <v/>
      </c>
    </row>
    <row r="613">
      <c r="A613" s="8" t="inlineStr">
        <is>
          <t>Dallas Baptist University</t>
        </is>
      </c>
      <c r="B613" s="8" t="inlineStr">
        <is>
          <t>Dallas</t>
        </is>
      </c>
      <c r="C613" s="8" t="inlineStr">
        <is>
          <t>TX</t>
        </is>
      </c>
      <c r="D613" s="8" t="inlineStr">
        <is>
          <t>Private</t>
        </is>
      </c>
      <c r="E613" s="9" t="n">
        <v>26929</v>
      </c>
      <c r="F613" s="9" t="n">
        <v>53741</v>
      </c>
      <c r="G613" s="8">
        <f>RANK(F613,$F$5:$F$1561)</f>
        <v/>
      </c>
      <c r="H613" s="8" t="inlineStr"/>
      <c r="I613" s="9">
        <f>IF(D613="Private",E613,"")</f>
        <v/>
      </c>
      <c r="J613" s="9">
        <f>IF(D613="Private",F613,"")</f>
        <v/>
      </c>
    </row>
    <row r="614">
      <c r="A614" s="8" t="inlineStr">
        <is>
          <t>Beloit College</t>
        </is>
      </c>
      <c r="B614" s="8" t="inlineStr">
        <is>
          <t>Beloit</t>
        </is>
      </c>
      <c r="C614" s="8" t="inlineStr">
        <is>
          <t>WI</t>
        </is>
      </c>
      <c r="D614" s="8" t="inlineStr">
        <is>
          <t>Private</t>
        </is>
      </c>
      <c r="E614" s="9" t="n">
        <v>17394</v>
      </c>
      <c r="F614" s="9" t="n">
        <v>53720</v>
      </c>
      <c r="G614" s="8">
        <f>RANK(F614,$F$5:$F$1561)</f>
        <v/>
      </c>
      <c r="H614" s="8" t="inlineStr"/>
      <c r="I614" s="9">
        <f>IF(D614="Private",E614,"")</f>
        <v/>
      </c>
      <c r="J614" s="9">
        <f>IF(D614="Private",F614,"")</f>
        <v/>
      </c>
    </row>
    <row r="615">
      <c r="A615" s="8" t="inlineStr">
        <is>
          <t>Cedarville University</t>
        </is>
      </c>
      <c r="B615" s="8" t="inlineStr">
        <is>
          <t>Cedarville</t>
        </is>
      </c>
      <c r="C615" s="8" t="inlineStr">
        <is>
          <t>OH</t>
        </is>
      </c>
      <c r="D615" s="8" t="inlineStr">
        <is>
          <t>Private</t>
        </is>
      </c>
      <c r="E615" s="9" t="n">
        <v>22772</v>
      </c>
      <c r="F615" s="9" t="n">
        <v>53681</v>
      </c>
      <c r="G615" s="8">
        <f>RANK(F615,$F$5:$F$1561)</f>
        <v/>
      </c>
      <c r="H615" s="8" t="inlineStr"/>
      <c r="I615" s="9">
        <f>IF(D615="Private",E615,"")</f>
        <v/>
      </c>
      <c r="J615" s="9">
        <f>IF(D615="Private",F615,"")</f>
        <v/>
      </c>
    </row>
    <row r="616">
      <c r="A616" s="8" t="inlineStr">
        <is>
          <t>Florida Atlantic University</t>
        </is>
      </c>
      <c r="B616" s="8" t="inlineStr">
        <is>
          <t>Boca Raton</t>
        </is>
      </c>
      <c r="C616" s="8" t="inlineStr">
        <is>
          <t>FL</t>
        </is>
      </c>
      <c r="D616" s="8" t="inlineStr">
        <is>
          <t>Public</t>
        </is>
      </c>
      <c r="E616" s="9" t="n">
        <v>7990</v>
      </c>
      <c r="F616" s="9" t="n">
        <v>53644</v>
      </c>
      <c r="G616" s="8">
        <f>RANK(F616,$F$5:$F$1561)</f>
        <v/>
      </c>
      <c r="H616" s="8" t="inlineStr"/>
      <c r="I616" s="9">
        <f>IF(D616="Private",E616,"")</f>
        <v/>
      </c>
      <c r="J616" s="9">
        <f>IF(D616="Private",F616,"")</f>
        <v/>
      </c>
    </row>
    <row r="617">
      <c r="A617" s="8" t="inlineStr">
        <is>
          <t>Augustana University</t>
        </is>
      </c>
      <c r="B617" s="8" t="inlineStr">
        <is>
          <t>Sioux Falls</t>
        </is>
      </c>
      <c r="C617" s="8" t="inlineStr">
        <is>
          <t>SD</t>
        </is>
      </c>
      <c r="D617" s="8" t="inlineStr">
        <is>
          <t>Private</t>
        </is>
      </c>
      <c r="E617" s="9" t="n">
        <v>27055</v>
      </c>
      <c r="F617" s="9" t="n">
        <v>53641</v>
      </c>
      <c r="G617" s="8">
        <f>RANK(F617,$F$5:$F$1561)</f>
        <v/>
      </c>
      <c r="H617" s="8" t="inlineStr"/>
      <c r="I617" s="9">
        <f>IF(D617="Private",E617,"")</f>
        <v/>
      </c>
      <c r="J617" s="9">
        <f>IF(D617="Private",F617,"")</f>
        <v/>
      </c>
    </row>
    <row r="618">
      <c r="A618" s="8" t="inlineStr">
        <is>
          <t>Southern New Hampshire University</t>
        </is>
      </c>
      <c r="B618" s="8" t="inlineStr">
        <is>
          <t>Manchester</t>
        </is>
      </c>
      <c r="C618" s="8" t="inlineStr">
        <is>
          <t>NH</t>
        </is>
      </c>
      <c r="D618" s="8" t="inlineStr">
        <is>
          <t>Private</t>
        </is>
      </c>
      <c r="E618" s="9" t="n">
        <v>22873</v>
      </c>
      <c r="F618" s="9" t="n">
        <v>53611</v>
      </c>
      <c r="G618" s="8">
        <f>RANK(F618,$F$5:$F$1561)</f>
        <v/>
      </c>
      <c r="H618" s="8" t="inlineStr"/>
      <c r="I618" s="9">
        <f>IF(D618="Private",E618,"")</f>
        <v/>
      </c>
      <c r="J618" s="9">
        <f>IF(D618="Private",F618,"")</f>
        <v/>
      </c>
    </row>
    <row r="619">
      <c r="A619" s="8" t="inlineStr">
        <is>
          <t>Christian Brothers University</t>
        </is>
      </c>
      <c r="B619" s="8" t="inlineStr">
        <is>
          <t>Memphis</t>
        </is>
      </c>
      <c r="C619" s="8" t="inlineStr">
        <is>
          <t>TN</t>
        </is>
      </c>
      <c r="D619" s="8" t="inlineStr">
        <is>
          <t>Private</t>
        </is>
      </c>
      <c r="E619" s="9" t="n">
        <v>13143</v>
      </c>
      <c r="F619" s="9" t="n">
        <v>53563</v>
      </c>
      <c r="G619" s="8">
        <f>RANK(F619,$F$5:$F$1561)</f>
        <v/>
      </c>
      <c r="H619" s="8" t="inlineStr"/>
      <c r="I619" s="9">
        <f>IF(D619="Private",E619,"")</f>
        <v/>
      </c>
      <c r="J619" s="9">
        <f>IF(D619="Private",F619,"")</f>
        <v/>
      </c>
    </row>
    <row r="620">
      <c r="A620" s="8" t="inlineStr">
        <is>
          <t>Elmira College</t>
        </is>
      </c>
      <c r="B620" s="8" t="inlineStr">
        <is>
          <t>Elmira</t>
        </is>
      </c>
      <c r="C620" s="8" t="inlineStr">
        <is>
          <t>NY</t>
        </is>
      </c>
      <c r="D620" s="8" t="inlineStr">
        <is>
          <t>Private</t>
        </is>
      </c>
      <c r="E620" s="9" t="n">
        <v>25773</v>
      </c>
      <c r="F620" s="9" t="n">
        <v>53558</v>
      </c>
      <c r="G620" s="8">
        <f>RANK(F620,$F$5:$F$1561)</f>
        <v/>
      </c>
      <c r="H620" s="8" t="inlineStr"/>
      <c r="I620" s="9">
        <f>IF(D620="Private",E620,"")</f>
        <v/>
      </c>
      <c r="J620" s="9">
        <f>IF(D620="Private",F620,"")</f>
        <v/>
      </c>
    </row>
    <row r="621">
      <c r="A621" s="8" t="inlineStr">
        <is>
          <t>Ohio Wesleyan University</t>
        </is>
      </c>
      <c r="B621" s="8" t="inlineStr">
        <is>
          <t>Delaware</t>
        </is>
      </c>
      <c r="C621" s="8" t="inlineStr">
        <is>
          <t>OH</t>
        </is>
      </c>
      <c r="D621" s="8" t="inlineStr">
        <is>
          <t>Private</t>
        </is>
      </c>
      <c r="E621" s="9" t="n">
        <v>24089</v>
      </c>
      <c r="F621" s="9" t="n">
        <v>53520</v>
      </c>
      <c r="G621" s="8">
        <f>RANK(F621,$F$5:$F$1561)</f>
        <v/>
      </c>
      <c r="H621" s="8" t="inlineStr"/>
      <c r="I621" s="9">
        <f>IF(D621="Private",E621,"")</f>
        <v/>
      </c>
      <c r="J621" s="9">
        <f>IF(D621="Private",F621,"")</f>
        <v/>
      </c>
    </row>
    <row r="622">
      <c r="A622" s="8" t="inlineStr">
        <is>
          <t>The Master's University and Seminary</t>
        </is>
      </c>
      <c r="B622" s="8" t="inlineStr">
        <is>
          <t>Santa Clarita</t>
        </is>
      </c>
      <c r="C622" s="8" t="inlineStr">
        <is>
          <t>CA</t>
        </is>
      </c>
      <c r="D622" s="8" t="inlineStr">
        <is>
          <t>Private</t>
        </is>
      </c>
      <c r="E622" s="9" t="n">
        <v>29357</v>
      </c>
      <c r="F622" s="9" t="n">
        <v>53478</v>
      </c>
      <c r="G622" s="8">
        <f>RANK(F622,$F$5:$F$1561)</f>
        <v/>
      </c>
      <c r="H622" s="8" t="inlineStr"/>
      <c r="I622" s="9">
        <f>IF(D622="Private",E622,"")</f>
        <v/>
      </c>
      <c r="J622" s="9">
        <f>IF(D622="Private",F622,"")</f>
        <v/>
      </c>
    </row>
    <row r="623">
      <c r="A623" s="8" t="inlineStr">
        <is>
          <t>The College of Saint Rose</t>
        </is>
      </c>
      <c r="B623" s="8" t="inlineStr">
        <is>
          <t>Albany</t>
        </is>
      </c>
      <c r="C623" s="8" t="inlineStr">
        <is>
          <t>NY</t>
        </is>
      </c>
      <c r="D623" s="8" t="inlineStr">
        <is>
          <t>Private</t>
        </is>
      </c>
      <c r="E623" s="9" t="n">
        <v>23122</v>
      </c>
      <c r="F623" s="9" t="n">
        <v>53474</v>
      </c>
      <c r="G623" s="8">
        <f>RANK(F623,$F$5:$F$1561)</f>
        <v/>
      </c>
      <c r="H623" s="8" t="inlineStr"/>
      <c r="I623" s="9">
        <f>IF(D623="Private",E623,"")</f>
        <v/>
      </c>
      <c r="J623" s="9">
        <f>IF(D623="Private",F623,"")</f>
        <v/>
      </c>
    </row>
    <row r="624">
      <c r="A624" s="8" t="inlineStr">
        <is>
          <t>Saint Cloud State University</t>
        </is>
      </c>
      <c r="B624" s="8" t="inlineStr">
        <is>
          <t>Saint Cloud</t>
        </is>
      </c>
      <c r="C624" s="8" t="inlineStr">
        <is>
          <t>MN</t>
        </is>
      </c>
      <c r="D624" s="8" t="inlineStr">
        <is>
          <t>Public</t>
        </is>
      </c>
      <c r="E624" s="9" t="n">
        <v>14300</v>
      </c>
      <c r="F624" s="9" t="n">
        <v>53448</v>
      </c>
      <c r="G624" s="8">
        <f>RANK(F624,$F$5:$F$1561)</f>
        <v/>
      </c>
      <c r="H624" s="8" t="inlineStr"/>
      <c r="I624" s="9">
        <f>IF(D624="Private",E624,"")</f>
        <v/>
      </c>
      <c r="J624" s="9">
        <f>IF(D624="Private",F624,"")</f>
        <v/>
      </c>
    </row>
    <row r="625">
      <c r="A625" s="8" t="inlineStr">
        <is>
          <t>Marian University</t>
        </is>
      </c>
      <c r="B625" s="8" t="inlineStr">
        <is>
          <t>Fond Du Lac</t>
        </is>
      </c>
      <c r="C625" s="8" t="inlineStr">
        <is>
          <t>WI</t>
        </is>
      </c>
      <c r="D625" s="8" t="inlineStr">
        <is>
          <t>Private</t>
        </is>
      </c>
      <c r="E625" s="9" t="n">
        <v>20682</v>
      </c>
      <c r="F625" s="9" t="n">
        <v>53441</v>
      </c>
      <c r="G625" s="8">
        <f>RANK(F625,$F$5:$F$1561)</f>
        <v/>
      </c>
      <c r="H625" s="8" t="inlineStr"/>
      <c r="I625" s="9">
        <f>IF(D625="Private",E625,"")</f>
        <v/>
      </c>
      <c r="J625" s="9">
        <f>IF(D625="Private",F625,"")</f>
        <v/>
      </c>
    </row>
    <row r="626">
      <c r="A626" s="8" t="inlineStr">
        <is>
          <t>Central College</t>
        </is>
      </c>
      <c r="B626" s="8" t="inlineStr">
        <is>
          <t>Pella</t>
        </is>
      </c>
      <c r="C626" s="8" t="inlineStr">
        <is>
          <t>IA</t>
        </is>
      </c>
      <c r="D626" s="8" t="inlineStr">
        <is>
          <t>Private</t>
        </is>
      </c>
      <c r="E626" s="9" t="n">
        <v>22535</v>
      </c>
      <c r="F626" s="9" t="n">
        <v>53417</v>
      </c>
      <c r="G626" s="8">
        <f>RANK(F626,$F$5:$F$1561)</f>
        <v/>
      </c>
      <c r="H626" s="8" t="inlineStr"/>
      <c r="I626" s="9">
        <f>IF(D626="Private",E626,"")</f>
        <v/>
      </c>
      <c r="J626" s="9">
        <f>IF(D626="Private",F626,"")</f>
        <v/>
      </c>
    </row>
    <row r="627">
      <c r="A627" s="8" t="inlineStr">
        <is>
          <t>Vanguard University of Southern California</t>
        </is>
      </c>
      <c r="B627" s="8" t="inlineStr">
        <is>
          <t>Costa Mesa</t>
        </is>
      </c>
      <c r="C627" s="8" t="inlineStr">
        <is>
          <t>CA</t>
        </is>
      </c>
      <c r="D627" s="8" t="inlineStr">
        <is>
          <t>Private</t>
        </is>
      </c>
      <c r="E627" s="9" t="n">
        <v>20181</v>
      </c>
      <c r="F627" s="9" t="n">
        <v>53394</v>
      </c>
      <c r="G627" s="8">
        <f>RANK(F627,$F$5:$F$1561)</f>
        <v/>
      </c>
      <c r="H627" s="8" t="inlineStr"/>
      <c r="I627" s="9">
        <f>IF(D627="Private",E627,"")</f>
        <v/>
      </c>
      <c r="J627" s="9">
        <f>IF(D627="Private",F627,"")</f>
        <v/>
      </c>
    </row>
    <row r="628">
      <c r="A628" s="8" t="inlineStr">
        <is>
          <t>Providence Christian College</t>
        </is>
      </c>
      <c r="B628" s="8" t="inlineStr">
        <is>
          <t>Pasadena</t>
        </is>
      </c>
      <c r="C628" s="8" t="inlineStr">
        <is>
          <t>CA</t>
        </is>
      </c>
      <c r="D628" s="8" t="inlineStr">
        <is>
          <t>Private</t>
        </is>
      </c>
      <c r="E628" s="9" t="n">
        <v>22004</v>
      </c>
      <c r="F628" s="9" t="n">
        <v>53391</v>
      </c>
      <c r="G628" s="8">
        <f>RANK(F628,$F$5:$F$1561)</f>
        <v/>
      </c>
      <c r="H628" s="8" t="inlineStr"/>
      <c r="I628" s="9">
        <f>IF(D628="Private",E628,"")</f>
        <v/>
      </c>
      <c r="J628" s="9">
        <f>IF(D628="Private",F628,"")</f>
        <v/>
      </c>
    </row>
    <row r="629">
      <c r="A629" s="8" t="inlineStr">
        <is>
          <t>Bloomsburg University of Pennsylvania</t>
        </is>
      </c>
      <c r="B629" s="8" t="inlineStr">
        <is>
          <t>Bloomsburg</t>
        </is>
      </c>
      <c r="C629" s="8" t="inlineStr">
        <is>
          <t>PA</t>
        </is>
      </c>
      <c r="D629" s="8" t="inlineStr">
        <is>
          <t>Public</t>
        </is>
      </c>
      <c r="E629" s="9" t="n">
        <v>18792</v>
      </c>
      <c r="F629" s="9" t="n">
        <v>53367</v>
      </c>
      <c r="G629" s="8">
        <f>RANK(F629,$F$5:$F$1561)</f>
        <v/>
      </c>
      <c r="H629" s="8" t="inlineStr"/>
      <c r="I629" s="9">
        <f>IF(D629="Private",E629,"")</f>
        <v/>
      </c>
      <c r="J629" s="9">
        <f>IF(D629="Private",F629,"")</f>
        <v/>
      </c>
    </row>
    <row r="630">
      <c r="A630" s="8" t="inlineStr">
        <is>
          <t>University of Nevada-Las Vegas</t>
        </is>
      </c>
      <c r="B630" s="8" t="inlineStr">
        <is>
          <t>Las Vegas</t>
        </is>
      </c>
      <c r="C630" s="8" t="inlineStr">
        <is>
          <t>NV</t>
        </is>
      </c>
      <c r="D630" s="8" t="inlineStr">
        <is>
          <t>Public</t>
        </is>
      </c>
      <c r="E630" s="9" t="n">
        <v>12906</v>
      </c>
      <c r="F630" s="9" t="n">
        <v>53363</v>
      </c>
      <c r="G630" s="8">
        <f>RANK(F630,$F$5:$F$1561)</f>
        <v/>
      </c>
      <c r="H630" s="8" t="inlineStr"/>
      <c r="I630" s="9">
        <f>IF(D630="Private",E630,"")</f>
        <v/>
      </c>
      <c r="J630" s="9">
        <f>IF(D630="Private",F630,"")</f>
        <v/>
      </c>
    </row>
    <row r="631">
      <c r="A631" s="8" t="inlineStr">
        <is>
          <t>University of Wyoming</t>
        </is>
      </c>
      <c r="B631" s="8" t="inlineStr">
        <is>
          <t>Laramie</t>
        </is>
      </c>
      <c r="C631" s="8" t="inlineStr">
        <is>
          <t>WY</t>
        </is>
      </c>
      <c r="D631" s="8" t="inlineStr">
        <is>
          <t>Public</t>
        </is>
      </c>
      <c r="E631" s="9" t="n">
        <v>8036</v>
      </c>
      <c r="F631" s="9" t="n">
        <v>53303</v>
      </c>
      <c r="G631" s="8">
        <f>RANK(F631,$F$5:$F$1561)</f>
        <v/>
      </c>
      <c r="H631" s="8" t="inlineStr"/>
      <c r="I631" s="9">
        <f>IF(D631="Private",E631,"")</f>
        <v/>
      </c>
      <c r="J631" s="9">
        <f>IF(D631="Private",F631,"")</f>
        <v/>
      </c>
    </row>
    <row r="632">
      <c r="A632" s="8" t="inlineStr">
        <is>
          <t>Grand Valley State University</t>
        </is>
      </c>
      <c r="B632" s="8" t="inlineStr">
        <is>
          <t>Allendale</t>
        </is>
      </c>
      <c r="C632" s="8" t="inlineStr">
        <is>
          <t>MI</t>
        </is>
      </c>
      <c r="D632" s="8" t="inlineStr">
        <is>
          <t>Public</t>
        </is>
      </c>
      <c r="E632" s="9" t="n">
        <v>17210</v>
      </c>
      <c r="F632" s="9" t="n">
        <v>53292</v>
      </c>
      <c r="G632" s="8">
        <f>RANK(F632,$F$5:$F$1561)</f>
        <v/>
      </c>
      <c r="H632" s="8" t="inlineStr"/>
      <c r="I632" s="9">
        <f>IF(D632="Private",E632,"")</f>
        <v/>
      </c>
      <c r="J632" s="9">
        <f>IF(D632="Private",F632,"")</f>
        <v/>
      </c>
    </row>
    <row r="633">
      <c r="A633" s="8" t="inlineStr">
        <is>
          <t>Soka University of America</t>
        </is>
      </c>
      <c r="B633" s="8" t="inlineStr">
        <is>
          <t>Aliso Viejo</t>
        </is>
      </c>
      <c r="C633" s="8" t="inlineStr">
        <is>
          <t>CA</t>
        </is>
      </c>
      <c r="D633" s="8" t="inlineStr">
        <is>
          <t>Private</t>
        </is>
      </c>
      <c r="E633" s="9" t="n">
        <v>11846</v>
      </c>
      <c r="F633" s="9" t="n">
        <v>53281</v>
      </c>
      <c r="G633" s="8">
        <f>RANK(F633,$F$5:$F$1561)</f>
        <v/>
      </c>
      <c r="H633" s="8" t="inlineStr"/>
      <c r="I633" s="9">
        <f>IF(D633="Private",E633,"")</f>
        <v/>
      </c>
      <c r="J633" s="9">
        <f>IF(D633="Private",F633,"")</f>
        <v/>
      </c>
    </row>
    <row r="634">
      <c r="A634" s="8" t="inlineStr">
        <is>
          <t>SUNY College of Environmental Science and Forestry</t>
        </is>
      </c>
      <c r="B634" s="8" t="inlineStr">
        <is>
          <t>Syracuse</t>
        </is>
      </c>
      <c r="C634" s="8" t="inlineStr">
        <is>
          <t>NY</t>
        </is>
      </c>
      <c r="D634" s="8" t="inlineStr">
        <is>
          <t>Public</t>
        </is>
      </c>
      <c r="E634" s="9" t="n">
        <v>21248</v>
      </c>
      <c r="F634" s="9" t="n">
        <v>53274</v>
      </c>
      <c r="G634" s="8">
        <f>RANK(F634,$F$5:$F$1561)</f>
        <v/>
      </c>
      <c r="H634" s="8" t="inlineStr"/>
      <c r="I634" s="9">
        <f>IF(D634="Private",E634,"")</f>
        <v/>
      </c>
      <c r="J634" s="9">
        <f>IF(D634="Private",F634,"")</f>
        <v/>
      </c>
    </row>
    <row r="635">
      <c r="A635" s="8" t="inlineStr">
        <is>
          <t>Grand View University</t>
        </is>
      </c>
      <c r="B635" s="8" t="inlineStr">
        <is>
          <t>Des Moines</t>
        </is>
      </c>
      <c r="C635" s="8" t="inlineStr">
        <is>
          <t>IA</t>
        </is>
      </c>
      <c r="D635" s="8" t="inlineStr">
        <is>
          <t>Private</t>
        </is>
      </c>
      <c r="E635" s="9" t="n">
        <v>36663</v>
      </c>
      <c r="F635" s="9" t="n">
        <v>53256</v>
      </c>
      <c r="G635" s="8">
        <f>RANK(F635,$F$5:$F$1561)</f>
        <v/>
      </c>
      <c r="H635" s="8" t="inlineStr"/>
      <c r="I635" s="9">
        <f>IF(D635="Private",E635,"")</f>
        <v/>
      </c>
      <c r="J635" s="9">
        <f>IF(D635="Private",F635,"")</f>
        <v/>
      </c>
    </row>
    <row r="636">
      <c r="A636" s="8" t="inlineStr">
        <is>
          <t>Houston Baptist University</t>
        </is>
      </c>
      <c r="B636" s="8" t="inlineStr">
        <is>
          <t>Houston</t>
        </is>
      </c>
      <c r="C636" s="8" t="inlineStr">
        <is>
          <t>TX</t>
        </is>
      </c>
      <c r="D636" s="8" t="inlineStr">
        <is>
          <t>Private</t>
        </is>
      </c>
      <c r="E636" s="9" t="n">
        <v>18745</v>
      </c>
      <c r="F636" s="9" t="n">
        <v>53245</v>
      </c>
      <c r="G636" s="8">
        <f>RANK(F636,$F$5:$F$1561)</f>
        <v/>
      </c>
      <c r="H636" s="8" t="inlineStr"/>
      <c r="I636" s="9">
        <f>IF(D636="Private",E636,"")</f>
        <v/>
      </c>
      <c r="J636" s="9">
        <f>IF(D636="Private",F636,"")</f>
        <v/>
      </c>
    </row>
    <row r="637">
      <c r="A637" s="8" t="inlineStr">
        <is>
          <t>Westminster College</t>
        </is>
      </c>
      <c r="B637" s="8" t="inlineStr">
        <is>
          <t>New Wilmington</t>
        </is>
      </c>
      <c r="C637" s="8" t="inlineStr">
        <is>
          <t>PA</t>
        </is>
      </c>
      <c r="D637" s="8" t="inlineStr">
        <is>
          <t>Private</t>
        </is>
      </c>
      <c r="E637" s="9" t="n">
        <v>19763</v>
      </c>
      <c r="F637" s="9" t="n">
        <v>53244</v>
      </c>
      <c r="G637" s="8">
        <f>RANK(F637,$F$5:$F$1561)</f>
        <v/>
      </c>
      <c r="H637" s="8" t="inlineStr"/>
      <c r="I637" s="9">
        <f>IF(D637="Private",E637,"")</f>
        <v/>
      </c>
      <c r="J637" s="9">
        <f>IF(D637="Private",F637,"")</f>
        <v/>
      </c>
    </row>
    <row r="638">
      <c r="A638" s="8" t="inlineStr">
        <is>
          <t>University of Wisconsin-Milwaukee Flex</t>
        </is>
      </c>
      <c r="B638" s="8" t="inlineStr">
        <is>
          <t>Milwaukee</t>
        </is>
      </c>
      <c r="C638" s="8" t="inlineStr">
        <is>
          <t>WI</t>
        </is>
      </c>
      <c r="D638" s="8" t="inlineStr">
        <is>
          <t>Public</t>
        </is>
      </c>
      <c r="E638" s="9" t="n">
        <v>12901</v>
      </c>
      <c r="F638" s="9" t="n">
        <v>53169</v>
      </c>
      <c r="G638" s="8">
        <f>RANK(F638,$F$5:$F$1561)</f>
        <v/>
      </c>
      <c r="H638" s="8" t="inlineStr"/>
      <c r="I638" s="9">
        <f>IF(D638="Private",E638,"")</f>
        <v/>
      </c>
      <c r="J638" s="9">
        <f>IF(D638="Private",F638,"")</f>
        <v/>
      </c>
    </row>
    <row r="639">
      <c r="A639" s="8" t="inlineStr">
        <is>
          <t>University of Wisconsin-Milwaukee</t>
        </is>
      </c>
      <c r="B639" s="8" t="inlineStr">
        <is>
          <t>Milwaukee</t>
        </is>
      </c>
      <c r="C639" s="8" t="inlineStr">
        <is>
          <t>WI</t>
        </is>
      </c>
      <c r="D639" s="8" t="inlineStr">
        <is>
          <t>Public</t>
        </is>
      </c>
      <c r="E639" s="9" t="n">
        <v>15845</v>
      </c>
      <c r="F639" s="9" t="n">
        <v>53169</v>
      </c>
      <c r="G639" s="8">
        <f>RANK(F639,$F$5:$F$1561)</f>
        <v/>
      </c>
      <c r="H639" s="8" t="inlineStr"/>
      <c r="I639" s="9">
        <f>IF(D639="Private",E639,"")</f>
        <v/>
      </c>
      <c r="J639" s="9">
        <f>IF(D639="Private",F639,"")</f>
        <v/>
      </c>
    </row>
    <row r="640">
      <c r="A640" s="8" t="inlineStr">
        <is>
          <t>Delaware Valley University</t>
        </is>
      </c>
      <c r="B640" s="8" t="inlineStr">
        <is>
          <t>Doylestown</t>
        </is>
      </c>
      <c r="C640" s="8" t="inlineStr">
        <is>
          <t>PA</t>
        </is>
      </c>
      <c r="D640" s="8" t="inlineStr">
        <is>
          <t>Private</t>
        </is>
      </c>
      <c r="E640" s="9" t="n">
        <v>26566</v>
      </c>
      <c r="F640" s="9" t="n">
        <v>53163</v>
      </c>
      <c r="G640" s="8">
        <f>RANK(F640,$F$5:$F$1561)</f>
        <v/>
      </c>
      <c r="H640" s="8" t="inlineStr"/>
      <c r="I640" s="9">
        <f>IF(D640="Private",E640,"")</f>
        <v/>
      </c>
      <c r="J640" s="9">
        <f>IF(D640="Private",F640,"")</f>
        <v/>
      </c>
    </row>
    <row r="641">
      <c r="A641" s="8" t="inlineStr">
        <is>
          <t>Aurora University</t>
        </is>
      </c>
      <c r="B641" s="8" t="inlineStr">
        <is>
          <t>Aurora</t>
        </is>
      </c>
      <c r="C641" s="8" t="inlineStr">
        <is>
          <t>IL</t>
        </is>
      </c>
      <c r="D641" s="8" t="inlineStr">
        <is>
          <t>Private</t>
        </is>
      </c>
      <c r="E641" s="9" t="n">
        <v>17285</v>
      </c>
      <c r="F641" s="9" t="n">
        <v>53159</v>
      </c>
      <c r="G641" s="8">
        <f>RANK(F641,$F$5:$F$1561)</f>
        <v/>
      </c>
      <c r="H641" s="8" t="inlineStr"/>
      <c r="I641" s="9">
        <f>IF(D641="Private",E641,"")</f>
        <v/>
      </c>
      <c r="J641" s="9">
        <f>IF(D641="Private",F641,"")</f>
        <v/>
      </c>
    </row>
    <row r="642">
      <c r="A642" s="8" t="inlineStr">
        <is>
          <t>Biola University</t>
        </is>
      </c>
      <c r="B642" s="8" t="inlineStr">
        <is>
          <t>La Mirada</t>
        </is>
      </c>
      <c r="C642" s="8" t="inlineStr">
        <is>
          <t>CA</t>
        </is>
      </c>
      <c r="D642" s="8" t="inlineStr">
        <is>
          <t>Private</t>
        </is>
      </c>
      <c r="E642" s="9" t="n">
        <v>27161</v>
      </c>
      <c r="F642" s="9" t="n">
        <v>53148</v>
      </c>
      <c r="G642" s="8">
        <f>RANK(F642,$F$5:$F$1561)</f>
        <v/>
      </c>
      <c r="H642" s="8" t="inlineStr"/>
      <c r="I642" s="9">
        <f>IF(D642="Private",E642,"")</f>
        <v/>
      </c>
      <c r="J642" s="9">
        <f>IF(D642="Private",F642,"")</f>
        <v/>
      </c>
    </row>
    <row r="643">
      <c r="A643" s="8" t="inlineStr">
        <is>
          <t>American International College</t>
        </is>
      </c>
      <c r="B643" s="8" t="inlineStr">
        <is>
          <t>Springfield</t>
        </is>
      </c>
      <c r="C643" s="8" t="inlineStr">
        <is>
          <t>MA</t>
        </is>
      </c>
      <c r="D643" s="8" t="inlineStr">
        <is>
          <t>Private</t>
        </is>
      </c>
      <c r="E643" s="9" t="n">
        <v>22698</v>
      </c>
      <c r="F643" s="9" t="n">
        <v>53069</v>
      </c>
      <c r="G643" s="8">
        <f>RANK(F643,$F$5:$F$1561)</f>
        <v/>
      </c>
      <c r="H643" s="8" t="inlineStr"/>
      <c r="I643" s="9">
        <f>IF(D643="Private",E643,"")</f>
        <v/>
      </c>
      <c r="J643" s="9">
        <f>IF(D643="Private",F643,"")</f>
        <v/>
      </c>
    </row>
    <row r="644">
      <c r="A644" s="8" t="inlineStr">
        <is>
          <t>Ferris State University</t>
        </is>
      </c>
      <c r="B644" s="8" t="inlineStr">
        <is>
          <t>Big Rapids</t>
        </is>
      </c>
      <c r="C644" s="8" t="inlineStr">
        <is>
          <t>MI</t>
        </is>
      </c>
      <c r="D644" s="8" t="inlineStr">
        <is>
          <t>Public</t>
        </is>
      </c>
      <c r="E644" s="9" t="n">
        <v>13010</v>
      </c>
      <c r="F644" s="9" t="n">
        <v>53019</v>
      </c>
      <c r="G644" s="8">
        <f>RANK(F644,$F$5:$F$1561)</f>
        <v/>
      </c>
      <c r="H644" s="8" t="inlineStr"/>
      <c r="I644" s="9">
        <f>IF(D644="Private",E644,"")</f>
        <v/>
      </c>
      <c r="J644" s="9">
        <f>IF(D644="Private",F644,"")</f>
        <v/>
      </c>
    </row>
    <row r="645">
      <c r="A645" s="8" t="inlineStr">
        <is>
          <t>Midwestern State University</t>
        </is>
      </c>
      <c r="B645" s="8" t="inlineStr">
        <is>
          <t>Wichita Falls</t>
        </is>
      </c>
      <c r="C645" s="8" t="inlineStr">
        <is>
          <t>TX</t>
        </is>
      </c>
      <c r="D645" s="8" t="inlineStr">
        <is>
          <t>Public</t>
        </is>
      </c>
      <c r="E645" s="9" t="n">
        <v>10203</v>
      </c>
      <c r="F645" s="9" t="n">
        <v>53007</v>
      </c>
      <c r="G645" s="8">
        <f>RANK(F645,$F$5:$F$1561)</f>
        <v/>
      </c>
      <c r="H645" s="8" t="inlineStr"/>
      <c r="I645" s="9">
        <f>IF(D645="Private",E645,"")</f>
        <v/>
      </c>
      <c r="J645" s="9">
        <f>IF(D645="Private",F645,"")</f>
        <v/>
      </c>
    </row>
    <row r="646">
      <c r="A646" s="8" t="inlineStr">
        <is>
          <t>Adrian College</t>
        </is>
      </c>
      <c r="B646" s="8" t="inlineStr">
        <is>
          <t>Adrian</t>
        </is>
      </c>
      <c r="C646" s="8" t="inlineStr">
        <is>
          <t>MI</t>
        </is>
      </c>
      <c r="D646" s="8" t="inlineStr">
        <is>
          <t>Private</t>
        </is>
      </c>
      <c r="E646" s="9" t="n">
        <v>23587</v>
      </c>
      <c r="F646" s="9" t="n">
        <v>52959</v>
      </c>
      <c r="G646" s="8">
        <f>RANK(F646,$F$5:$F$1561)</f>
        <v/>
      </c>
      <c r="H646" s="8" t="inlineStr"/>
      <c r="I646" s="9">
        <f>IF(D646="Private",E646,"")</f>
        <v/>
      </c>
      <c r="J646" s="9">
        <f>IF(D646="Private",F646,"")</f>
        <v/>
      </c>
    </row>
    <row r="647">
      <c r="A647" s="8" t="inlineStr">
        <is>
          <t>University of Houston-Downtown</t>
        </is>
      </c>
      <c r="B647" s="8" t="inlineStr">
        <is>
          <t>Houston</t>
        </is>
      </c>
      <c r="C647" s="8" t="inlineStr">
        <is>
          <t>TX</t>
        </is>
      </c>
      <c r="D647" s="8" t="inlineStr">
        <is>
          <t>Public</t>
        </is>
      </c>
      <c r="E647" s="9" t="n">
        <v>13100</v>
      </c>
      <c r="F647" s="9" t="n">
        <v>52929</v>
      </c>
      <c r="G647" s="8">
        <f>RANK(F647,$F$5:$F$1561)</f>
        <v/>
      </c>
      <c r="H647" s="8" t="inlineStr"/>
      <c r="I647" s="9">
        <f>IF(D647="Private",E647,"")</f>
        <v/>
      </c>
      <c r="J647" s="9">
        <f>IF(D647="Private",F647,"")</f>
        <v/>
      </c>
    </row>
    <row r="648">
      <c r="A648" s="8" t="inlineStr">
        <is>
          <t>University of Illinois Springfield</t>
        </is>
      </c>
      <c r="B648" s="8" t="inlineStr">
        <is>
          <t>Springfield</t>
        </is>
      </c>
      <c r="C648" s="8" t="inlineStr">
        <is>
          <t>IL</t>
        </is>
      </c>
      <c r="D648" s="8" t="inlineStr">
        <is>
          <t>Public</t>
        </is>
      </c>
      <c r="E648" s="9" t="n">
        <v>12065</v>
      </c>
      <c r="F648" s="9" t="n">
        <v>52925</v>
      </c>
      <c r="G648" s="8">
        <f>RANK(F648,$F$5:$F$1561)</f>
        <v/>
      </c>
      <c r="H648" s="8" t="inlineStr"/>
      <c r="I648" s="9">
        <f>IF(D648="Private",E648,"")</f>
        <v/>
      </c>
      <c r="J648" s="9">
        <f>IF(D648="Private",F648,"")</f>
        <v/>
      </c>
    </row>
    <row r="649">
      <c r="A649" s="8" t="inlineStr">
        <is>
          <t>East Stroudsburg University of Pennsylvania</t>
        </is>
      </c>
      <c r="B649" s="8" t="inlineStr">
        <is>
          <t>East Stroudsburg</t>
        </is>
      </c>
      <c r="C649" s="8" t="inlineStr">
        <is>
          <t>PA</t>
        </is>
      </c>
      <c r="D649" s="8" t="inlineStr">
        <is>
          <t>Public</t>
        </is>
      </c>
      <c r="E649" s="9" t="n">
        <v>17974</v>
      </c>
      <c r="F649" s="9" t="n">
        <v>52913</v>
      </c>
      <c r="G649" s="8">
        <f>RANK(F649,$F$5:$F$1561)</f>
        <v/>
      </c>
      <c r="H649" s="8" t="inlineStr"/>
      <c r="I649" s="9">
        <f>IF(D649="Private",E649,"")</f>
        <v/>
      </c>
      <c r="J649" s="9">
        <f>IF(D649="Private",F649,"")</f>
        <v/>
      </c>
    </row>
    <row r="650">
      <c r="A650" s="8" t="inlineStr">
        <is>
          <t>Western Governors University</t>
        </is>
      </c>
      <c r="B650" s="8" t="inlineStr">
        <is>
          <t>Salt Lake City</t>
        </is>
      </c>
      <c r="C650" s="8" t="inlineStr">
        <is>
          <t>UT</t>
        </is>
      </c>
      <c r="D650" s="8" t="inlineStr">
        <is>
          <t>Private</t>
        </is>
      </c>
      <c r="E650" s="9" t="n">
        <v>11835</v>
      </c>
      <c r="F650" s="9" t="n">
        <v>52911</v>
      </c>
      <c r="G650" s="8">
        <f>RANK(F650,$F$5:$F$1561)</f>
        <v/>
      </c>
      <c r="H650" s="8" t="inlineStr"/>
      <c r="I650" s="9">
        <f>IF(D650="Private",E650,"")</f>
        <v/>
      </c>
      <c r="J650" s="9">
        <f>IF(D650="Private",F650,"")</f>
        <v/>
      </c>
    </row>
    <row r="651">
      <c r="A651" s="8" t="inlineStr">
        <is>
          <t>Westfield State University</t>
        </is>
      </c>
      <c r="B651" s="8" t="inlineStr">
        <is>
          <t>Westfield</t>
        </is>
      </c>
      <c r="C651" s="8" t="inlineStr">
        <is>
          <t>MA</t>
        </is>
      </c>
      <c r="D651" s="8" t="inlineStr">
        <is>
          <t>Public</t>
        </is>
      </c>
      <c r="E651" s="9" t="n">
        <v>19589</v>
      </c>
      <c r="F651" s="9" t="n">
        <v>52899</v>
      </c>
      <c r="G651" s="8">
        <f>RANK(F651,$F$5:$F$1561)</f>
        <v/>
      </c>
      <c r="H651" s="8" t="inlineStr"/>
      <c r="I651" s="9">
        <f>IF(D651="Private",E651,"")</f>
        <v/>
      </c>
      <c r="J651" s="9">
        <f>IF(D651="Private",F651,"")</f>
        <v/>
      </c>
    </row>
    <row r="652">
      <c r="A652" s="8" t="inlineStr">
        <is>
          <t>William Jessup University</t>
        </is>
      </c>
      <c r="B652" s="8" t="inlineStr">
        <is>
          <t>Rocklin</t>
        </is>
      </c>
      <c r="C652" s="8" t="inlineStr">
        <is>
          <t>CA</t>
        </is>
      </c>
      <c r="D652" s="8" t="inlineStr">
        <is>
          <t>Private</t>
        </is>
      </c>
      <c r="E652" s="9" t="n">
        <v>27799</v>
      </c>
      <c r="F652" s="9" t="n">
        <v>52890</v>
      </c>
      <c r="G652" s="8">
        <f>RANK(F652,$F$5:$F$1561)</f>
        <v/>
      </c>
      <c r="H652" s="8" t="inlineStr"/>
      <c r="I652" s="9">
        <f>IF(D652="Private",E652,"")</f>
        <v/>
      </c>
      <c r="J652" s="9">
        <f>IF(D652="Private",F652,"")</f>
        <v/>
      </c>
    </row>
    <row r="653">
      <c r="A653" s="8" t="inlineStr">
        <is>
          <t>Goucher College</t>
        </is>
      </c>
      <c r="B653" s="8" t="inlineStr">
        <is>
          <t>Baltimore</t>
        </is>
      </c>
      <c r="C653" s="8" t="inlineStr">
        <is>
          <t>MD</t>
        </is>
      </c>
      <c r="D653" s="8" t="inlineStr">
        <is>
          <t>Private</t>
        </is>
      </c>
      <c r="E653" s="9" t="n">
        <v>19781</v>
      </c>
      <c r="F653" s="9" t="n">
        <v>52886</v>
      </c>
      <c r="G653" s="8">
        <f>RANK(F653,$F$5:$F$1561)</f>
        <v/>
      </c>
      <c r="H653" s="8" t="inlineStr"/>
      <c r="I653" s="9">
        <f>IF(D653="Private",E653,"")</f>
        <v/>
      </c>
      <c r="J653" s="9">
        <f>IF(D653="Private",F653,"")</f>
        <v/>
      </c>
    </row>
    <row r="654">
      <c r="A654" s="8" t="inlineStr">
        <is>
          <t>CUNY Lehman College</t>
        </is>
      </c>
      <c r="B654" s="8" t="inlineStr">
        <is>
          <t>Bronx</t>
        </is>
      </c>
      <c r="C654" s="8" t="inlineStr">
        <is>
          <t>NY</t>
        </is>
      </c>
      <c r="D654" s="8" t="inlineStr">
        <is>
          <t>Public</t>
        </is>
      </c>
      <c r="E654" s="9" t="n">
        <v>2615</v>
      </c>
      <c r="F654" s="9" t="n">
        <v>52882</v>
      </c>
      <c r="G654" s="8">
        <f>RANK(F654,$F$5:$F$1561)</f>
        <v/>
      </c>
      <c r="H654" s="8" t="inlineStr"/>
      <c r="I654" s="9">
        <f>IF(D654="Private",E654,"")</f>
        <v/>
      </c>
      <c r="J654" s="9">
        <f>IF(D654="Private",F654,"")</f>
        <v/>
      </c>
    </row>
    <row r="655">
      <c r="A655" s="8" t="inlineStr">
        <is>
          <t>Lakeland University</t>
        </is>
      </c>
      <c r="B655" s="8" t="inlineStr">
        <is>
          <t>Plymouth</t>
        </is>
      </c>
      <c r="C655" s="8" t="inlineStr">
        <is>
          <t>WI</t>
        </is>
      </c>
      <c r="D655" s="8" t="inlineStr">
        <is>
          <t>Private</t>
        </is>
      </c>
      <c r="E655" s="9" t="n">
        <v>21396</v>
      </c>
      <c r="F655" s="9" t="n">
        <v>52878</v>
      </c>
      <c r="G655" s="8">
        <f>RANK(F655,$F$5:$F$1561)</f>
        <v/>
      </c>
      <c r="H655" s="8" t="inlineStr"/>
      <c r="I655" s="9">
        <f>IF(D655="Private",E655,"")</f>
        <v/>
      </c>
      <c r="J655" s="9">
        <f>IF(D655="Private",F655,"")</f>
        <v/>
      </c>
    </row>
    <row r="656">
      <c r="A656" s="8" t="inlineStr">
        <is>
          <t>William Paterson University of New Jersey</t>
        </is>
      </c>
      <c r="B656" s="8" t="inlineStr">
        <is>
          <t>Wayne</t>
        </is>
      </c>
      <c r="C656" s="8" t="inlineStr">
        <is>
          <t>NJ</t>
        </is>
      </c>
      <c r="D656" s="8" t="inlineStr">
        <is>
          <t>Public</t>
        </is>
      </c>
      <c r="E656" s="9" t="n">
        <v>17225</v>
      </c>
      <c r="F656" s="9" t="n">
        <v>52855</v>
      </c>
      <c r="G656" s="8">
        <f>RANK(F656,$F$5:$F$1561)</f>
        <v/>
      </c>
      <c r="H656" s="8" t="inlineStr"/>
      <c r="I656" s="9">
        <f>IF(D656="Private",E656,"")</f>
        <v/>
      </c>
      <c r="J656" s="9">
        <f>IF(D656="Private",F656,"")</f>
        <v/>
      </c>
    </row>
    <row r="657">
      <c r="A657" s="8" t="inlineStr">
        <is>
          <t>Midland University</t>
        </is>
      </c>
      <c r="B657" s="8" t="inlineStr">
        <is>
          <t>Fremont</t>
        </is>
      </c>
      <c r="C657" s="8" t="inlineStr">
        <is>
          <t>NE</t>
        </is>
      </c>
      <c r="D657" s="8" t="inlineStr">
        <is>
          <t>Private</t>
        </is>
      </c>
      <c r="E657" s="9" t="n">
        <v>21756</v>
      </c>
      <c r="F657" s="9" t="n">
        <v>52834</v>
      </c>
      <c r="G657" s="8">
        <f>RANK(F657,$F$5:$F$1561)</f>
        <v/>
      </c>
      <c r="H657" s="8" t="inlineStr"/>
      <c r="I657" s="9">
        <f>IF(D657="Private",E657,"")</f>
        <v/>
      </c>
      <c r="J657" s="9">
        <f>IF(D657="Private",F657,"")</f>
        <v/>
      </c>
    </row>
    <row r="658">
      <c r="A658" s="8" t="inlineStr">
        <is>
          <t>King University</t>
        </is>
      </c>
      <c r="B658" s="8" t="inlineStr">
        <is>
          <t>Bristol</t>
        </is>
      </c>
      <c r="C658" s="8" t="inlineStr">
        <is>
          <t>TN</t>
        </is>
      </c>
      <c r="D658" s="8" t="inlineStr">
        <is>
          <t>Private</t>
        </is>
      </c>
      <c r="E658" s="9" t="n">
        <v>22218</v>
      </c>
      <c r="F658" s="9" t="n">
        <v>52834</v>
      </c>
      <c r="G658" s="8">
        <f>RANK(F658,$F$5:$F$1561)</f>
        <v/>
      </c>
      <c r="H658" s="8" t="inlineStr"/>
      <c r="I658" s="9">
        <f>IF(D658="Private",E658,"")</f>
        <v/>
      </c>
      <c r="J658" s="9">
        <f>IF(D658="Private",F658,"")</f>
        <v/>
      </c>
    </row>
    <row r="659">
      <c r="A659" s="8" t="inlineStr">
        <is>
          <t>Carroll University</t>
        </is>
      </c>
      <c r="B659" s="8" t="inlineStr">
        <is>
          <t>Waukesha</t>
        </is>
      </c>
      <c r="C659" s="8" t="inlineStr">
        <is>
          <t>WI</t>
        </is>
      </c>
      <c r="D659" s="8" t="inlineStr">
        <is>
          <t>Private</t>
        </is>
      </c>
      <c r="E659" s="9" t="n">
        <v>23592</v>
      </c>
      <c r="F659" s="9" t="n">
        <v>52782</v>
      </c>
      <c r="G659" s="8">
        <f>RANK(F659,$F$5:$F$1561)</f>
        <v/>
      </c>
      <c r="H659" s="8" t="inlineStr"/>
      <c r="I659" s="9">
        <f>IF(D659="Private",E659,"")</f>
        <v/>
      </c>
      <c r="J659" s="9">
        <f>IF(D659="Private",F659,"")</f>
        <v/>
      </c>
    </row>
    <row r="660">
      <c r="A660" s="8" t="inlineStr">
        <is>
          <t>Utah State University</t>
        </is>
      </c>
      <c r="B660" s="8" t="inlineStr">
        <is>
          <t>Logan</t>
        </is>
      </c>
      <c r="C660" s="8" t="inlineStr">
        <is>
          <t>UT</t>
        </is>
      </c>
      <c r="D660" s="8" t="inlineStr">
        <is>
          <t>Public</t>
        </is>
      </c>
      <c r="E660" s="9" t="n">
        <v>13233</v>
      </c>
      <c r="F660" s="9" t="n">
        <v>52764</v>
      </c>
      <c r="G660" s="8">
        <f>RANK(F660,$F$5:$F$1561)</f>
        <v/>
      </c>
      <c r="H660" s="8" t="inlineStr"/>
      <c r="I660" s="9">
        <f>IF(D660="Private",E660,"")</f>
        <v/>
      </c>
      <c r="J660" s="9">
        <f>IF(D660="Private",F660,"")</f>
        <v/>
      </c>
    </row>
    <row r="661">
      <c r="A661" s="8" t="inlineStr">
        <is>
          <t>Kean University</t>
        </is>
      </c>
      <c r="B661" s="8" t="inlineStr">
        <is>
          <t>Union</t>
        </is>
      </c>
      <c r="C661" s="8" t="inlineStr">
        <is>
          <t>NJ</t>
        </is>
      </c>
      <c r="D661" s="8" t="inlineStr">
        <is>
          <t>Public</t>
        </is>
      </c>
      <c r="E661" s="9" t="n">
        <v>17510</v>
      </c>
      <c r="F661" s="9" t="n">
        <v>52714</v>
      </c>
      <c r="G661" s="8">
        <f>RANK(F661,$F$5:$F$1561)</f>
        <v/>
      </c>
      <c r="H661" s="8" t="inlineStr"/>
      <c r="I661" s="9">
        <f>IF(D661="Private",E661,"")</f>
        <v/>
      </c>
      <c r="J661" s="9">
        <f>IF(D661="Private",F661,"")</f>
        <v/>
      </c>
    </row>
    <row r="662">
      <c r="A662" s="8" t="inlineStr">
        <is>
          <t>Old Dominion University</t>
        </is>
      </c>
      <c r="B662" s="8" t="inlineStr">
        <is>
          <t>Norfolk</t>
        </is>
      </c>
      <c r="C662" s="8" t="inlineStr">
        <is>
          <t>VA</t>
        </is>
      </c>
      <c r="D662" s="8" t="inlineStr">
        <is>
          <t>Public</t>
        </is>
      </c>
      <c r="E662" s="9" t="n">
        <v>16948</v>
      </c>
      <c r="F662" s="9" t="n">
        <v>52678</v>
      </c>
      <c r="G662" s="8">
        <f>RANK(F662,$F$5:$F$1561)</f>
        <v/>
      </c>
      <c r="H662" s="8" t="inlineStr"/>
      <c r="I662" s="9">
        <f>IF(D662="Private",E662,"")</f>
        <v/>
      </c>
      <c r="J662" s="9">
        <f>IF(D662="Private",F662,"")</f>
        <v/>
      </c>
    </row>
    <row r="663">
      <c r="A663" s="8" t="inlineStr">
        <is>
          <t>The University of Texas at Tyler</t>
        </is>
      </c>
      <c r="B663" s="8" t="inlineStr">
        <is>
          <t>Tyler</t>
        </is>
      </c>
      <c r="C663" s="8" t="inlineStr">
        <is>
          <t>TX</t>
        </is>
      </c>
      <c r="D663" s="8" t="inlineStr">
        <is>
          <t>Public</t>
        </is>
      </c>
      <c r="E663" s="9" t="n">
        <v>11223</v>
      </c>
      <c r="F663" s="9" t="n">
        <v>52674</v>
      </c>
      <c r="G663" s="8">
        <f>RANK(F663,$F$5:$F$1561)</f>
        <v/>
      </c>
      <c r="H663" s="8" t="inlineStr"/>
      <c r="I663" s="9">
        <f>IF(D663="Private",E663,"")</f>
        <v/>
      </c>
      <c r="J663" s="9">
        <f>IF(D663="Private",F663,"")</f>
        <v/>
      </c>
    </row>
    <row r="664">
      <c r="A664" s="8" t="inlineStr">
        <is>
          <t>Governors State University</t>
        </is>
      </c>
      <c r="B664" s="8" t="inlineStr">
        <is>
          <t>University Park</t>
        </is>
      </c>
      <c r="C664" s="8" t="inlineStr">
        <is>
          <t>IL</t>
        </is>
      </c>
      <c r="D664" s="8" t="inlineStr">
        <is>
          <t>Public</t>
        </is>
      </c>
      <c r="E664" s="9" t="n">
        <v>9419</v>
      </c>
      <c r="F664" s="9" t="n">
        <v>52665</v>
      </c>
      <c r="G664" s="8">
        <f>RANK(F664,$F$5:$F$1561)</f>
        <v/>
      </c>
      <c r="H664" s="8" t="inlineStr"/>
      <c r="I664" s="9">
        <f>IF(D664="Private",E664,"")</f>
        <v/>
      </c>
      <c r="J664" s="9">
        <f>IF(D664="Private",F664,"")</f>
        <v/>
      </c>
    </row>
    <row r="665">
      <c r="A665" s="8" t="inlineStr">
        <is>
          <t>Southern Nazarene University</t>
        </is>
      </c>
      <c r="B665" s="8" t="inlineStr">
        <is>
          <t>Bethany</t>
        </is>
      </c>
      <c r="C665" s="8" t="inlineStr">
        <is>
          <t>OK</t>
        </is>
      </c>
      <c r="D665" s="8" t="inlineStr">
        <is>
          <t>Private</t>
        </is>
      </c>
      <c r="E665" s="9" t="n">
        <v>19449</v>
      </c>
      <c r="F665" s="9" t="n">
        <v>52663</v>
      </c>
      <c r="G665" s="8">
        <f>RANK(F665,$F$5:$F$1561)</f>
        <v/>
      </c>
      <c r="H665" s="8" t="inlineStr"/>
      <c r="I665" s="9">
        <f>IF(D665="Private",E665,"")</f>
        <v/>
      </c>
      <c r="J665" s="9">
        <f>IF(D665="Private",F665,"")</f>
        <v/>
      </c>
    </row>
    <row r="666">
      <c r="A666" s="8" t="inlineStr">
        <is>
          <t>Simpson College</t>
        </is>
      </c>
      <c r="B666" s="8" t="inlineStr">
        <is>
          <t>Indianola</t>
        </is>
      </c>
      <c r="C666" s="8" t="inlineStr">
        <is>
          <t>IA</t>
        </is>
      </c>
      <c r="D666" s="8" t="inlineStr">
        <is>
          <t>Private</t>
        </is>
      </c>
      <c r="E666" s="9" t="n">
        <v>20680</v>
      </c>
      <c r="F666" s="9" t="n">
        <v>52638</v>
      </c>
      <c r="G666" s="8">
        <f>RANK(F666,$F$5:$F$1561)</f>
        <v/>
      </c>
      <c r="H666" s="8" t="inlineStr"/>
      <c r="I666" s="9">
        <f>IF(D666="Private",E666,"")</f>
        <v/>
      </c>
      <c r="J666" s="9">
        <f>IF(D666="Private",F666,"")</f>
        <v/>
      </c>
    </row>
    <row r="667">
      <c r="A667" s="8" t="inlineStr">
        <is>
          <t>St. John's College</t>
        </is>
      </c>
      <c r="B667" s="8" t="inlineStr">
        <is>
          <t>Annapolis</t>
        </is>
      </c>
      <c r="C667" s="8" t="inlineStr">
        <is>
          <t>MD</t>
        </is>
      </c>
      <c r="D667" s="8" t="inlineStr">
        <is>
          <t>Private</t>
        </is>
      </c>
      <c r="E667" s="9" t="n">
        <v>29233</v>
      </c>
      <c r="F667" s="9" t="n">
        <v>52632</v>
      </c>
      <c r="G667" s="8">
        <f>RANK(F667,$F$5:$F$1561)</f>
        <v/>
      </c>
      <c r="H667" s="8" t="inlineStr"/>
      <c r="I667" s="9">
        <f>IF(D667="Private",E667,"")</f>
        <v/>
      </c>
      <c r="J667" s="9">
        <f>IF(D667="Private",F667,"")</f>
        <v/>
      </c>
    </row>
    <row r="668">
      <c r="A668" s="8" t="inlineStr">
        <is>
          <t>Western Illinois University</t>
        </is>
      </c>
      <c r="B668" s="8" t="inlineStr">
        <is>
          <t>Macomb</t>
        </is>
      </c>
      <c r="C668" s="8" t="inlineStr">
        <is>
          <t>IL</t>
        </is>
      </c>
      <c r="D668" s="8" t="inlineStr">
        <is>
          <t>Public</t>
        </is>
      </c>
      <c r="E668" s="9" t="n">
        <v>11663</v>
      </c>
      <c r="F668" s="9" t="n">
        <v>52612</v>
      </c>
      <c r="G668" s="8">
        <f>RANK(F668,$F$5:$F$1561)</f>
        <v/>
      </c>
      <c r="H668" s="8" t="inlineStr"/>
      <c r="I668" s="9">
        <f>IF(D668="Private",E668,"")</f>
        <v/>
      </c>
      <c r="J668" s="9">
        <f>IF(D668="Private",F668,"")</f>
        <v/>
      </c>
    </row>
    <row r="669">
      <c r="A669" s="8" t="inlineStr">
        <is>
          <t>Texas Woman's University</t>
        </is>
      </c>
      <c r="B669" s="8" t="inlineStr">
        <is>
          <t>Denton</t>
        </is>
      </c>
      <c r="C669" s="8" t="inlineStr">
        <is>
          <t>TX</t>
        </is>
      </c>
      <c r="D669" s="8" t="inlineStr">
        <is>
          <t>Public</t>
        </is>
      </c>
      <c r="E669" s="9" t="n">
        <v>11726</v>
      </c>
      <c r="F669" s="9" t="n">
        <v>52581</v>
      </c>
      <c r="G669" s="8">
        <f>RANK(F669,$F$5:$F$1561)</f>
        <v/>
      </c>
      <c r="H669" s="8" t="inlineStr"/>
      <c r="I669" s="9">
        <f>IF(D669="Private",E669,"")</f>
        <v/>
      </c>
      <c r="J669" s="9">
        <f>IF(D669="Private",F669,"")</f>
        <v/>
      </c>
    </row>
    <row r="670">
      <c r="A670" s="8" t="inlineStr">
        <is>
          <t>University of Mount Union</t>
        </is>
      </c>
      <c r="B670" s="8" t="inlineStr">
        <is>
          <t>Alliance</t>
        </is>
      </c>
      <c r="C670" s="8" t="inlineStr">
        <is>
          <t>OH</t>
        </is>
      </c>
      <c r="D670" s="8" t="inlineStr">
        <is>
          <t>Private</t>
        </is>
      </c>
      <c r="E670" s="9" t="n">
        <v>22836</v>
      </c>
      <c r="F670" s="9" t="n">
        <v>52577</v>
      </c>
      <c r="G670" s="8">
        <f>RANK(F670,$F$5:$F$1561)</f>
        <v/>
      </c>
      <c r="H670" s="8" t="inlineStr"/>
      <c r="I670" s="9">
        <f>IF(D670="Private",E670,"")</f>
        <v/>
      </c>
      <c r="J670" s="9">
        <f>IF(D670="Private",F670,"")</f>
        <v/>
      </c>
    </row>
    <row r="671">
      <c r="A671" s="8" t="inlineStr">
        <is>
          <t>University of North Carolina Wilmington</t>
        </is>
      </c>
      <c r="B671" s="8" t="inlineStr">
        <is>
          <t>Wilmington</t>
        </is>
      </c>
      <c r="C671" s="8" t="inlineStr">
        <is>
          <t>NC</t>
        </is>
      </c>
      <c r="D671" s="8" t="inlineStr">
        <is>
          <t>Public</t>
        </is>
      </c>
      <c r="E671" s="9" t="n">
        <v>19999</v>
      </c>
      <c r="F671" s="9" t="n">
        <v>52560</v>
      </c>
      <c r="G671" s="8">
        <f>RANK(F671,$F$5:$F$1561)</f>
        <v/>
      </c>
      <c r="H671" s="8" t="inlineStr"/>
      <c r="I671" s="9">
        <f>IF(D671="Private",E671,"")</f>
        <v/>
      </c>
      <c r="J671" s="9">
        <f>IF(D671="Private",F671,"")</f>
        <v/>
      </c>
    </row>
    <row r="672">
      <c r="A672" s="8" t="inlineStr">
        <is>
          <t>Brigham Young University-Idaho</t>
        </is>
      </c>
      <c r="B672" s="8" t="inlineStr">
        <is>
          <t>Rexburg</t>
        </is>
      </c>
      <c r="C672" s="8" t="inlineStr">
        <is>
          <t>ID</t>
        </is>
      </c>
      <c r="D672" s="8" t="inlineStr">
        <is>
          <t>Private</t>
        </is>
      </c>
      <c r="E672" s="9" t="n">
        <v>6577</v>
      </c>
      <c r="F672" s="9" t="n">
        <v>52551</v>
      </c>
      <c r="G672" s="8">
        <f>RANK(F672,$F$5:$F$1561)</f>
        <v/>
      </c>
      <c r="H672" s="8" t="inlineStr"/>
      <c r="I672" s="9">
        <f>IF(D672="Private",E672,"")</f>
        <v/>
      </c>
      <c r="J672" s="9">
        <f>IF(D672="Private",F672,"")</f>
        <v/>
      </c>
    </row>
    <row r="673">
      <c r="A673" s="8" t="inlineStr">
        <is>
          <t>Avila University</t>
        </is>
      </c>
      <c r="B673" s="8" t="inlineStr">
        <is>
          <t>Kansas City</t>
        </is>
      </c>
      <c r="C673" s="8" t="inlineStr">
        <is>
          <t>MO</t>
        </is>
      </c>
      <c r="D673" s="8" t="inlineStr">
        <is>
          <t>Private</t>
        </is>
      </c>
      <c r="E673" s="9" t="n">
        <v>18627</v>
      </c>
      <c r="F673" s="9" t="n">
        <v>52544</v>
      </c>
      <c r="G673" s="8">
        <f>RANK(F673,$F$5:$F$1561)</f>
        <v/>
      </c>
      <c r="H673" s="8" t="inlineStr"/>
      <c r="I673" s="9">
        <f>IF(D673="Private",E673,"")</f>
        <v/>
      </c>
      <c r="J673" s="9">
        <f>IF(D673="Private",F673,"")</f>
        <v/>
      </c>
    </row>
    <row r="674">
      <c r="A674" s="8" t="inlineStr">
        <is>
          <t>Rockford University</t>
        </is>
      </c>
      <c r="B674" s="8" t="inlineStr">
        <is>
          <t>Rockford</t>
        </is>
      </c>
      <c r="C674" s="8" t="inlineStr">
        <is>
          <t>IL</t>
        </is>
      </c>
      <c r="D674" s="8" t="inlineStr">
        <is>
          <t>Private</t>
        </is>
      </c>
      <c r="E674" s="9" t="n">
        <v>23040</v>
      </c>
      <c r="F674" s="9" t="n">
        <v>52541</v>
      </c>
      <c r="G674" s="8">
        <f>RANK(F674,$F$5:$F$1561)</f>
        <v/>
      </c>
      <c r="H674" s="8" t="inlineStr"/>
      <c r="I674" s="9">
        <f>IF(D674="Private",E674,"")</f>
        <v/>
      </c>
      <c r="J674" s="9">
        <f>IF(D674="Private",F674,"")</f>
        <v/>
      </c>
    </row>
    <row r="675">
      <c r="A675" s="8" t="inlineStr">
        <is>
          <t>Baldwin Wallace University</t>
        </is>
      </c>
      <c r="B675" s="8" t="inlineStr">
        <is>
          <t>Berea</t>
        </is>
      </c>
      <c r="C675" s="8" t="inlineStr">
        <is>
          <t>OH</t>
        </is>
      </c>
      <c r="D675" s="8" t="inlineStr">
        <is>
          <t>Private</t>
        </is>
      </c>
      <c r="E675" s="9" t="n">
        <v>26072</v>
      </c>
      <c r="F675" s="9" t="n">
        <v>52535</v>
      </c>
      <c r="G675" s="8">
        <f>RANK(F675,$F$5:$F$1561)</f>
        <v/>
      </c>
      <c r="H675" s="8" t="inlineStr"/>
      <c r="I675" s="9">
        <f>IF(D675="Private",E675,"")</f>
        <v/>
      </c>
      <c r="J675" s="9">
        <f>IF(D675="Private",F675,"")</f>
        <v/>
      </c>
    </row>
    <row r="676">
      <c r="A676" s="8" t="inlineStr">
        <is>
          <t>University of Hawaii-West Oahu</t>
        </is>
      </c>
      <c r="B676" s="8" t="inlineStr">
        <is>
          <t>Kapolei</t>
        </is>
      </c>
      <c r="C676" s="8" t="inlineStr">
        <is>
          <t>HI</t>
        </is>
      </c>
      <c r="D676" s="8" t="inlineStr">
        <is>
          <t>Public</t>
        </is>
      </c>
      <c r="E676" s="9" t="n">
        <v>12423</v>
      </c>
      <c r="F676" s="9" t="n">
        <v>52531</v>
      </c>
      <c r="G676" s="8">
        <f>RANK(F676,$F$5:$F$1561)</f>
        <v/>
      </c>
      <c r="H676" s="8" t="inlineStr"/>
      <c r="I676" s="9">
        <f>IF(D676="Private",E676,"")</f>
        <v/>
      </c>
      <c r="J676" s="9">
        <f>IF(D676="Private",F676,"")</f>
        <v/>
      </c>
    </row>
    <row r="677">
      <c r="A677" s="8" t="inlineStr">
        <is>
          <t>Viterbo University</t>
        </is>
      </c>
      <c r="B677" s="8" t="inlineStr">
        <is>
          <t>La Crosse</t>
        </is>
      </c>
      <c r="C677" s="8" t="inlineStr">
        <is>
          <t>WI</t>
        </is>
      </c>
      <c r="D677" s="8" t="inlineStr">
        <is>
          <t>Private</t>
        </is>
      </c>
      <c r="E677" s="9" t="n">
        <v>18686</v>
      </c>
      <c r="F677" s="9" t="n">
        <v>52502</v>
      </c>
      <c r="G677" s="8">
        <f>RANK(F677,$F$5:$F$1561)</f>
        <v/>
      </c>
      <c r="H677" s="8" t="inlineStr"/>
      <c r="I677" s="9">
        <f>IF(D677="Private",E677,"")</f>
        <v/>
      </c>
      <c r="J677" s="9">
        <f>IF(D677="Private",F677,"")</f>
        <v/>
      </c>
    </row>
    <row r="678">
      <c r="A678" s="8" t="inlineStr">
        <is>
          <t>Mercer University</t>
        </is>
      </c>
      <c r="B678" s="8" t="inlineStr">
        <is>
          <t>Macon</t>
        </is>
      </c>
      <c r="C678" s="8" t="inlineStr">
        <is>
          <t>GA</t>
        </is>
      </c>
      <c r="D678" s="8" t="inlineStr">
        <is>
          <t>Private</t>
        </is>
      </c>
      <c r="E678" s="9" t="n">
        <v>20884</v>
      </c>
      <c r="F678" s="9" t="n">
        <v>52487</v>
      </c>
      <c r="G678" s="8">
        <f>RANK(F678,$F$5:$F$1561)</f>
        <v/>
      </c>
      <c r="H678" s="8" t="inlineStr"/>
      <c r="I678" s="9">
        <f>IF(D678="Private",E678,"")</f>
        <v/>
      </c>
      <c r="J678" s="9">
        <f>IF(D678="Private",F678,"")</f>
        <v/>
      </c>
    </row>
    <row r="679">
      <c r="A679" s="8" t="inlineStr">
        <is>
          <t>Western Michigan University</t>
        </is>
      </c>
      <c r="B679" s="8" t="inlineStr">
        <is>
          <t>Kalamazoo</t>
        </is>
      </c>
      <c r="C679" s="8" t="inlineStr">
        <is>
          <t>MI</t>
        </is>
      </c>
      <c r="D679" s="8" t="inlineStr">
        <is>
          <t>Public</t>
        </is>
      </c>
      <c r="E679" s="9" t="n">
        <v>19195</v>
      </c>
      <c r="F679" s="9" t="n">
        <v>52487</v>
      </c>
      <c r="G679" s="8">
        <f>RANK(F679,$F$5:$F$1561)</f>
        <v/>
      </c>
      <c r="H679" s="8" t="inlineStr"/>
      <c r="I679" s="9">
        <f>IF(D679="Private",E679,"")</f>
        <v/>
      </c>
      <c r="J679" s="9">
        <f>IF(D679="Private",F679,"")</f>
        <v/>
      </c>
    </row>
    <row r="680">
      <c r="A680" s="8" t="inlineStr">
        <is>
          <t>Oberlin College</t>
        </is>
      </c>
      <c r="B680" s="8" t="inlineStr">
        <is>
          <t>Oberlin</t>
        </is>
      </c>
      <c r="C680" s="8" t="inlineStr">
        <is>
          <t>OH</t>
        </is>
      </c>
      <c r="D680" s="8" t="inlineStr">
        <is>
          <t>Private</t>
        </is>
      </c>
      <c r="E680" s="9" t="n">
        <v>34498</v>
      </c>
      <c r="F680" s="9" t="n">
        <v>52483</v>
      </c>
      <c r="G680" s="8">
        <f>RANK(F680,$F$5:$F$1561)</f>
        <v/>
      </c>
      <c r="H680" s="8" t="inlineStr"/>
      <c r="I680" s="9">
        <f>IF(D680="Private",E680,"")</f>
        <v/>
      </c>
      <c r="J680" s="9">
        <f>IF(D680="Private",F680,"")</f>
        <v/>
      </c>
    </row>
    <row r="681">
      <c r="A681" s="8" t="inlineStr">
        <is>
          <t>Saint Peter's University</t>
        </is>
      </c>
      <c r="B681" s="8" t="inlineStr">
        <is>
          <t>Jersey City</t>
        </is>
      </c>
      <c r="C681" s="8" t="inlineStr">
        <is>
          <t>NJ</t>
        </is>
      </c>
      <c r="D681" s="8" t="inlineStr">
        <is>
          <t>Private</t>
        </is>
      </c>
      <c r="E681" s="9" t="n">
        <v>11397</v>
      </c>
      <c r="F681" s="9" t="n">
        <v>52442</v>
      </c>
      <c r="G681" s="8">
        <f>RANK(F681,$F$5:$F$1561)</f>
        <v/>
      </c>
      <c r="H681" s="8" t="inlineStr"/>
      <c r="I681" s="9">
        <f>IF(D681="Private",E681,"")</f>
        <v/>
      </c>
      <c r="J681" s="9">
        <f>IF(D681="Private",F681,"")</f>
        <v/>
      </c>
    </row>
    <row r="682">
      <c r="A682" s="8" t="inlineStr">
        <is>
          <t>Central Michigan University</t>
        </is>
      </c>
      <c r="B682" s="8" t="inlineStr">
        <is>
          <t>Mount Pleasant</t>
        </is>
      </c>
      <c r="C682" s="8" t="inlineStr">
        <is>
          <t>MI</t>
        </is>
      </c>
      <c r="D682" s="8" t="inlineStr">
        <is>
          <t>Public</t>
        </is>
      </c>
      <c r="E682" s="9" t="n">
        <v>16810</v>
      </c>
      <c r="F682" s="9" t="n">
        <v>52440</v>
      </c>
      <c r="G682" s="8">
        <f>RANK(F682,$F$5:$F$1561)</f>
        <v/>
      </c>
      <c r="H682" s="8" t="inlineStr"/>
      <c r="I682" s="9">
        <f>IF(D682="Private",E682,"")</f>
        <v/>
      </c>
      <c r="J682" s="9">
        <f>IF(D682="Private",F682,"")</f>
        <v/>
      </c>
    </row>
    <row r="683">
      <c r="A683" s="8" t="inlineStr">
        <is>
          <t>State University of New York at Oswego</t>
        </is>
      </c>
      <c r="B683" s="8" t="inlineStr">
        <is>
          <t>Oswego</t>
        </is>
      </c>
      <c r="C683" s="8" t="inlineStr">
        <is>
          <t>NY</t>
        </is>
      </c>
      <c r="D683" s="8" t="inlineStr">
        <is>
          <t>Public</t>
        </is>
      </c>
      <c r="E683" s="9" t="n">
        <v>14582</v>
      </c>
      <c r="F683" s="9" t="n">
        <v>52421</v>
      </c>
      <c r="G683" s="8">
        <f>RANK(F683,$F$5:$F$1561)</f>
        <v/>
      </c>
      <c r="H683" s="8" t="inlineStr"/>
      <c r="I683" s="9">
        <f>IF(D683="Private",E683,"")</f>
        <v/>
      </c>
      <c r="J683" s="9">
        <f>IF(D683="Private",F683,"")</f>
        <v/>
      </c>
    </row>
    <row r="684">
      <c r="A684" s="8" t="inlineStr">
        <is>
          <t>Eastern Connecticut State University</t>
        </is>
      </c>
      <c r="B684" s="8" t="inlineStr">
        <is>
          <t>Willimantic</t>
        </is>
      </c>
      <c r="C684" s="8" t="inlineStr">
        <is>
          <t>CT</t>
        </is>
      </c>
      <c r="D684" s="8" t="inlineStr">
        <is>
          <t>Public</t>
        </is>
      </c>
      <c r="E684" s="9" t="n">
        <v>18292</v>
      </c>
      <c r="F684" s="9" t="n">
        <v>52411</v>
      </c>
      <c r="G684" s="8">
        <f>RANK(F684,$F$5:$F$1561)</f>
        <v/>
      </c>
      <c r="H684" s="8" t="inlineStr"/>
      <c r="I684" s="9">
        <f>IF(D684="Private",E684,"")</f>
        <v/>
      </c>
      <c r="J684" s="9">
        <f>IF(D684="Private",F684,"")</f>
        <v/>
      </c>
    </row>
    <row r="685">
      <c r="A685" s="8" t="inlineStr">
        <is>
          <t>Nevada State College</t>
        </is>
      </c>
      <c r="B685" s="8" t="inlineStr">
        <is>
          <t>Henderson</t>
        </is>
      </c>
      <c r="C685" s="8" t="inlineStr">
        <is>
          <t>NV</t>
        </is>
      </c>
      <c r="D685" s="8" t="inlineStr">
        <is>
          <t>Public</t>
        </is>
      </c>
      <c r="E685" s="9" t="n">
        <v>14305</v>
      </c>
      <c r="F685" s="9" t="n">
        <v>52368</v>
      </c>
      <c r="G685" s="8">
        <f>RANK(F685,$F$5:$F$1561)</f>
        <v/>
      </c>
      <c r="H685" s="8" t="inlineStr"/>
      <c r="I685" s="9">
        <f>IF(D685="Private",E685,"")</f>
        <v/>
      </c>
      <c r="J685" s="9">
        <f>IF(D685="Private",F685,"")</f>
        <v/>
      </c>
    </row>
    <row r="686">
      <c r="A686" s="8" t="inlineStr">
        <is>
          <t>Franklin University</t>
        </is>
      </c>
      <c r="B686" s="8" t="inlineStr">
        <is>
          <t>Columbus</t>
        </is>
      </c>
      <c r="C686" s="8" t="inlineStr">
        <is>
          <t>OH</t>
        </is>
      </c>
      <c r="D686" s="8" t="inlineStr">
        <is>
          <t>Private</t>
        </is>
      </c>
      <c r="E686" s="9" t="n">
        <v>29773</v>
      </c>
      <c r="F686" s="9" t="n">
        <v>52358</v>
      </c>
      <c r="G686" s="8">
        <f>RANK(F686,$F$5:$F$1561)</f>
        <v/>
      </c>
      <c r="H686" s="8" t="inlineStr"/>
      <c r="I686" s="9">
        <f>IF(D686="Private",E686,"")</f>
        <v/>
      </c>
      <c r="J686" s="9">
        <f>IF(D686="Private",F686,"")</f>
        <v/>
      </c>
    </row>
    <row r="687">
      <c r="A687" s="8" t="inlineStr">
        <is>
          <t>Dordt University</t>
        </is>
      </c>
      <c r="B687" s="8" t="inlineStr">
        <is>
          <t>Sioux Center</t>
        </is>
      </c>
      <c r="C687" s="8" t="inlineStr">
        <is>
          <t>IA</t>
        </is>
      </c>
      <c r="D687" s="8" t="inlineStr">
        <is>
          <t>Private</t>
        </is>
      </c>
      <c r="E687" s="9" t="n">
        <v>25575</v>
      </c>
      <c r="F687" s="9" t="n">
        <v>52342</v>
      </c>
      <c r="G687" s="8">
        <f>RANK(F687,$F$5:$F$1561)</f>
        <v/>
      </c>
      <c r="H687" s="8" t="inlineStr"/>
      <c r="I687" s="9">
        <f>IF(D687="Private",E687,"")</f>
        <v/>
      </c>
      <c r="J687" s="9">
        <f>IF(D687="Private",F687,"")</f>
        <v/>
      </c>
    </row>
    <row r="688">
      <c r="A688" s="8" t="inlineStr">
        <is>
          <t>CUNY York College</t>
        </is>
      </c>
      <c r="B688" s="8" t="inlineStr">
        <is>
          <t>Jamaica</t>
        </is>
      </c>
      <c r="C688" s="8" t="inlineStr">
        <is>
          <t>NY</t>
        </is>
      </c>
      <c r="D688" s="8" t="inlineStr">
        <is>
          <t>Public</t>
        </is>
      </c>
      <c r="E688" s="9" t="n">
        <v>3239</v>
      </c>
      <c r="F688" s="9" t="n">
        <v>52325</v>
      </c>
      <c r="G688" s="8">
        <f>RANK(F688,$F$5:$F$1561)</f>
        <v/>
      </c>
      <c r="H688" s="8" t="inlineStr"/>
      <c r="I688" s="9">
        <f>IF(D688="Private",E688,"")</f>
        <v/>
      </c>
      <c r="J688" s="9">
        <f>IF(D688="Private",F688,"")</f>
        <v/>
      </c>
    </row>
    <row r="689">
      <c r="A689" s="8" t="inlineStr">
        <is>
          <t>Mount Saint Joseph University</t>
        </is>
      </c>
      <c r="B689" s="8" t="inlineStr">
        <is>
          <t>Cincinnati</t>
        </is>
      </c>
      <c r="C689" s="8" t="inlineStr">
        <is>
          <t>OH</t>
        </is>
      </c>
      <c r="D689" s="8" t="inlineStr">
        <is>
          <t>Private</t>
        </is>
      </c>
      <c r="E689" s="9" t="n">
        <v>17062</v>
      </c>
      <c r="F689" s="9" t="n">
        <v>52319</v>
      </c>
      <c r="G689" s="8">
        <f>RANK(F689,$F$5:$F$1561)</f>
        <v/>
      </c>
      <c r="H689" s="8" t="inlineStr"/>
      <c r="I689" s="9">
        <f>IF(D689="Private",E689,"")</f>
        <v/>
      </c>
      <c r="J689" s="9">
        <f>IF(D689="Private",F689,"")</f>
        <v/>
      </c>
    </row>
    <row r="690">
      <c r="A690" s="8" t="inlineStr">
        <is>
          <t>University of Wisconsin-Whitewater</t>
        </is>
      </c>
      <c r="B690" s="8" t="inlineStr">
        <is>
          <t>Whitewater</t>
        </is>
      </c>
      <c r="C690" s="8" t="inlineStr">
        <is>
          <t>WI</t>
        </is>
      </c>
      <c r="D690" s="8" t="inlineStr">
        <is>
          <t>Public</t>
        </is>
      </c>
      <c r="E690" s="9" t="n">
        <v>14856</v>
      </c>
      <c r="F690" s="9" t="n">
        <v>52316</v>
      </c>
      <c r="G690" s="8">
        <f>RANK(F690,$F$5:$F$1561)</f>
        <v/>
      </c>
      <c r="H690" s="8" t="inlineStr"/>
      <c r="I690" s="9">
        <f>IF(D690="Private",E690,"")</f>
        <v/>
      </c>
      <c r="J690" s="9">
        <f>IF(D690="Private",F690,"")</f>
        <v/>
      </c>
    </row>
    <row r="691">
      <c r="A691" s="8" t="inlineStr">
        <is>
          <t>Northwest University-Center for Online and Extended Education</t>
        </is>
      </c>
      <c r="B691" s="8" t="inlineStr">
        <is>
          <t>Kirkland</t>
        </is>
      </c>
      <c r="C691" s="8" t="inlineStr">
        <is>
          <t>WA</t>
        </is>
      </c>
      <c r="D691" s="8" t="inlineStr">
        <is>
          <t>Private</t>
        </is>
      </c>
      <c r="E691" s="9" t="n">
        <v>22507</v>
      </c>
      <c r="F691" s="9" t="n">
        <v>52311</v>
      </c>
      <c r="G691" s="8">
        <f>RANK(F691,$F$5:$F$1561)</f>
        <v/>
      </c>
      <c r="H691" s="8" t="inlineStr"/>
      <c r="I691" s="9">
        <f>IF(D691="Private",E691,"")</f>
        <v/>
      </c>
      <c r="J691" s="9">
        <f>IF(D691="Private",F691,"")</f>
        <v/>
      </c>
    </row>
    <row r="692">
      <c r="A692" s="8" t="inlineStr">
        <is>
          <t>Northwest University</t>
        </is>
      </c>
      <c r="B692" s="8" t="inlineStr">
        <is>
          <t>Kirkland</t>
        </is>
      </c>
      <c r="C692" s="8" t="inlineStr">
        <is>
          <t>WA</t>
        </is>
      </c>
      <c r="D692" s="8" t="inlineStr">
        <is>
          <t>Private</t>
        </is>
      </c>
      <c r="E692" s="9" t="n">
        <v>23046</v>
      </c>
      <c r="F692" s="9" t="n">
        <v>52311</v>
      </c>
      <c r="G692" s="8">
        <f>RANK(F692,$F$5:$F$1561)</f>
        <v/>
      </c>
      <c r="H692" s="8" t="inlineStr"/>
      <c r="I692" s="9">
        <f>IF(D692="Private",E692,"")</f>
        <v/>
      </c>
      <c r="J692" s="9">
        <f>IF(D692="Private",F692,"")</f>
        <v/>
      </c>
    </row>
    <row r="693">
      <c r="A693" s="8" t="inlineStr">
        <is>
          <t>SUNY College at Plattsburgh</t>
        </is>
      </c>
      <c r="B693" s="8" t="inlineStr">
        <is>
          <t>Plattsburgh</t>
        </is>
      </c>
      <c r="C693" s="8" t="inlineStr">
        <is>
          <t>NY</t>
        </is>
      </c>
      <c r="D693" s="8" t="inlineStr">
        <is>
          <t>Public</t>
        </is>
      </c>
      <c r="E693" s="9" t="n">
        <v>16227</v>
      </c>
      <c r="F693" s="9" t="n">
        <v>52309</v>
      </c>
      <c r="G693" s="8">
        <f>RANK(F693,$F$5:$F$1561)</f>
        <v/>
      </c>
      <c r="H693" s="8" t="inlineStr"/>
      <c r="I693" s="9">
        <f>IF(D693="Private",E693,"")</f>
        <v/>
      </c>
      <c r="J693" s="9">
        <f>IF(D693="Private",F693,"")</f>
        <v/>
      </c>
    </row>
    <row r="694">
      <c r="A694" s="8" t="inlineStr">
        <is>
          <t>Florida Gulf Coast University</t>
        </is>
      </c>
      <c r="B694" s="8" t="inlineStr">
        <is>
          <t>Fort Myers</t>
        </is>
      </c>
      <c r="C694" s="8" t="inlineStr">
        <is>
          <t>FL</t>
        </is>
      </c>
      <c r="D694" s="8" t="inlineStr">
        <is>
          <t>Public</t>
        </is>
      </c>
      <c r="E694" s="9" t="n">
        <v>9713</v>
      </c>
      <c r="F694" s="9" t="n">
        <v>52268</v>
      </c>
      <c r="G694" s="8">
        <f>RANK(F694,$F$5:$F$1561)</f>
        <v/>
      </c>
      <c r="H694" s="8" t="inlineStr"/>
      <c r="I694" s="9">
        <f>IF(D694="Private",E694,"")</f>
        <v/>
      </c>
      <c r="J694" s="9">
        <f>IF(D694="Private",F694,"")</f>
        <v/>
      </c>
    </row>
    <row r="695">
      <c r="A695" s="8" t="inlineStr">
        <is>
          <t>Albertus Magnus College</t>
        </is>
      </c>
      <c r="B695" s="8" t="inlineStr">
        <is>
          <t>New Haven</t>
        </is>
      </c>
      <c r="C695" s="8" t="inlineStr">
        <is>
          <t>CT</t>
        </is>
      </c>
      <c r="D695" s="8" t="inlineStr">
        <is>
          <t>Private</t>
        </is>
      </c>
      <c r="E695" s="9" t="n">
        <v>28927</v>
      </c>
      <c r="F695" s="9" t="n">
        <v>52250</v>
      </c>
      <c r="G695" s="8">
        <f>RANK(F695,$F$5:$F$1561)</f>
        <v/>
      </c>
      <c r="H695" s="8" t="inlineStr"/>
      <c r="I695" s="9">
        <f>IF(D695="Private",E695,"")</f>
        <v/>
      </c>
      <c r="J695" s="9">
        <f>IF(D695="Private",F695,"")</f>
        <v/>
      </c>
    </row>
    <row r="696">
      <c r="A696" s="8" t="inlineStr">
        <is>
          <t>Sam Houston State University</t>
        </is>
      </c>
      <c r="B696" s="8" t="inlineStr">
        <is>
          <t>Huntsville</t>
        </is>
      </c>
      <c r="C696" s="8" t="inlineStr">
        <is>
          <t>TX</t>
        </is>
      </c>
      <c r="D696" s="8" t="inlineStr">
        <is>
          <t>Public</t>
        </is>
      </c>
      <c r="E696" s="9" t="n">
        <v>15446</v>
      </c>
      <c r="F696" s="9" t="n">
        <v>52250</v>
      </c>
      <c r="G696" s="8">
        <f>RANK(F696,$F$5:$F$1561)</f>
        <v/>
      </c>
      <c r="H696" s="8" t="inlineStr"/>
      <c r="I696" s="9">
        <f>IF(D696="Private",E696,"")</f>
        <v/>
      </c>
      <c r="J696" s="9">
        <f>IF(D696="Private",F696,"")</f>
        <v/>
      </c>
    </row>
    <row r="697">
      <c r="A697" s="8" t="inlineStr">
        <is>
          <t>College of Staten Island CUNY</t>
        </is>
      </c>
      <c r="B697" s="8" t="inlineStr">
        <is>
          <t>Staten Island</t>
        </is>
      </c>
      <c r="C697" s="8" t="inlineStr">
        <is>
          <t>NY</t>
        </is>
      </c>
      <c r="D697" s="8" t="inlineStr">
        <is>
          <t>Public</t>
        </is>
      </c>
      <c r="E697" s="9" t="n">
        <v>5581</v>
      </c>
      <c r="F697" s="9" t="n">
        <v>52241</v>
      </c>
      <c r="G697" s="8">
        <f>RANK(F697,$F$5:$F$1561)</f>
        <v/>
      </c>
      <c r="H697" s="8" t="inlineStr"/>
      <c r="I697" s="9">
        <f>IF(D697="Private",E697,"")</f>
        <v/>
      </c>
      <c r="J697" s="9">
        <f>IF(D697="Private",F697,"")</f>
        <v/>
      </c>
    </row>
    <row r="698">
      <c r="A698" s="8" t="inlineStr">
        <is>
          <t>Reed College</t>
        </is>
      </c>
      <c r="B698" s="8" t="inlineStr">
        <is>
          <t>Portland</t>
        </is>
      </c>
      <c r="C698" s="8" t="inlineStr">
        <is>
          <t>OR</t>
        </is>
      </c>
      <c r="D698" s="8" t="inlineStr">
        <is>
          <t>Private</t>
        </is>
      </c>
      <c r="E698" s="9" t="n">
        <v>33895</v>
      </c>
      <c r="F698" s="9" t="n">
        <v>52236</v>
      </c>
      <c r="G698" s="8">
        <f>RANK(F698,$F$5:$F$1561)</f>
        <v/>
      </c>
      <c r="H698" s="8" t="inlineStr"/>
      <c r="I698" s="9">
        <f>IF(D698="Private",E698,"")</f>
        <v/>
      </c>
      <c r="J698" s="9">
        <f>IF(D698="Private",F698,"")</f>
        <v/>
      </c>
    </row>
    <row r="699">
      <c r="A699" s="8" t="inlineStr">
        <is>
          <t>Radford University</t>
        </is>
      </c>
      <c r="B699" s="8" t="inlineStr">
        <is>
          <t>Radford</t>
        </is>
      </c>
      <c r="C699" s="8" t="inlineStr">
        <is>
          <t>VA</t>
        </is>
      </c>
      <c r="D699" s="8" t="inlineStr">
        <is>
          <t>Public</t>
        </is>
      </c>
      <c r="E699" s="9" t="n">
        <v>16605</v>
      </c>
      <c r="F699" s="9" t="n">
        <v>52232</v>
      </c>
      <c r="G699" s="8">
        <f>RANK(F699,$F$5:$F$1561)</f>
        <v/>
      </c>
      <c r="H699" s="8" t="inlineStr"/>
      <c r="I699" s="9">
        <f>IF(D699="Private",E699,"")</f>
        <v/>
      </c>
      <c r="J699" s="9">
        <f>IF(D699="Private",F699,"")</f>
        <v/>
      </c>
    </row>
    <row r="700">
      <c r="A700" s="8" t="inlineStr">
        <is>
          <t>South Dakota State University</t>
        </is>
      </c>
      <c r="B700" s="8" t="inlineStr">
        <is>
          <t>Brookings</t>
        </is>
      </c>
      <c r="C700" s="8" t="inlineStr">
        <is>
          <t>SD</t>
        </is>
      </c>
      <c r="D700" s="8" t="inlineStr">
        <is>
          <t>Public</t>
        </is>
      </c>
      <c r="E700" s="9" t="n">
        <v>18402</v>
      </c>
      <c r="F700" s="9" t="n">
        <v>52198</v>
      </c>
      <c r="G700" s="8">
        <f>RANK(F700,$F$5:$F$1561)</f>
        <v/>
      </c>
      <c r="H700" s="8" t="inlineStr"/>
      <c r="I700" s="9">
        <f>IF(D700="Private",E700,"")</f>
        <v/>
      </c>
      <c r="J700" s="9">
        <f>IF(D700="Private",F700,"")</f>
        <v/>
      </c>
    </row>
    <row r="701">
      <c r="A701" s="8" t="inlineStr">
        <is>
          <t>Nazareth College</t>
        </is>
      </c>
      <c r="B701" s="8" t="inlineStr">
        <is>
          <t>Rochester</t>
        </is>
      </c>
      <c r="C701" s="8" t="inlineStr">
        <is>
          <t>NY</t>
        </is>
      </c>
      <c r="D701" s="8" t="inlineStr">
        <is>
          <t>Private</t>
        </is>
      </c>
      <c r="E701" s="9" t="n">
        <v>30144</v>
      </c>
      <c r="F701" s="9" t="n">
        <v>52178</v>
      </c>
      <c r="G701" s="8">
        <f>RANK(F701,$F$5:$F$1561)</f>
        <v/>
      </c>
      <c r="H701" s="8" t="inlineStr"/>
      <c r="I701" s="9">
        <f>IF(D701="Private",E701,"")</f>
        <v/>
      </c>
      <c r="J701" s="9">
        <f>IF(D701="Private",F701,"")</f>
        <v/>
      </c>
    </row>
    <row r="702">
      <c r="A702" s="8" t="inlineStr">
        <is>
          <t>University of Mary Hardin-Baylor</t>
        </is>
      </c>
      <c r="B702" s="8" t="inlineStr">
        <is>
          <t>Belton</t>
        </is>
      </c>
      <c r="C702" s="8" t="inlineStr">
        <is>
          <t>TX</t>
        </is>
      </c>
      <c r="D702" s="8" t="inlineStr">
        <is>
          <t>Private</t>
        </is>
      </c>
      <c r="E702" s="9" t="n">
        <v>29986</v>
      </c>
      <c r="F702" s="9" t="n">
        <v>52159</v>
      </c>
      <c r="G702" s="8">
        <f>RANK(F702,$F$5:$F$1561)</f>
        <v/>
      </c>
      <c r="H702" s="8" t="inlineStr"/>
      <c r="I702" s="9">
        <f>IF(D702="Private",E702,"")</f>
        <v/>
      </c>
      <c r="J702" s="9">
        <f>IF(D702="Private",F702,"")</f>
        <v/>
      </c>
    </row>
    <row r="703">
      <c r="A703" s="8" t="inlineStr">
        <is>
          <t>Lewis &amp; Clark College</t>
        </is>
      </c>
      <c r="B703" s="8" t="inlineStr">
        <is>
          <t>Portland</t>
        </is>
      </c>
      <c r="C703" s="8" t="inlineStr">
        <is>
          <t>OR</t>
        </is>
      </c>
      <c r="D703" s="8" t="inlineStr">
        <is>
          <t>Private</t>
        </is>
      </c>
      <c r="E703" s="9" t="n">
        <v>35940</v>
      </c>
      <c r="F703" s="9" t="n">
        <v>52151</v>
      </c>
      <c r="G703" s="8">
        <f>RANK(F703,$F$5:$F$1561)</f>
        <v/>
      </c>
      <c r="H703" s="8" t="inlineStr"/>
      <c r="I703" s="9">
        <f>IF(D703="Private",E703,"")</f>
        <v/>
      </c>
      <c r="J703" s="9">
        <f>IF(D703="Private",F703,"")</f>
        <v/>
      </c>
    </row>
    <row r="704">
      <c r="A704" s="8" t="inlineStr">
        <is>
          <t>Union University</t>
        </is>
      </c>
      <c r="B704" s="8" t="inlineStr">
        <is>
          <t>Jackson</t>
        </is>
      </c>
      <c r="C704" s="8" t="inlineStr">
        <is>
          <t>TN</t>
        </is>
      </c>
      <c r="D704" s="8" t="inlineStr">
        <is>
          <t>Private</t>
        </is>
      </c>
      <c r="E704" s="9" t="n">
        <v>27475</v>
      </c>
      <c r="F704" s="9" t="n">
        <v>52147</v>
      </c>
      <c r="G704" s="8">
        <f>RANK(F704,$F$5:$F$1561)</f>
        <v/>
      </c>
      <c r="H704" s="8" t="inlineStr"/>
      <c r="I704" s="9">
        <f>IF(D704="Private",E704,"")</f>
        <v/>
      </c>
      <c r="J704" s="9">
        <f>IF(D704="Private",F704,"")</f>
        <v/>
      </c>
    </row>
    <row r="705">
      <c r="A705" s="8" t="inlineStr">
        <is>
          <t>Alvernia University</t>
        </is>
      </c>
      <c r="B705" s="8" t="inlineStr">
        <is>
          <t>Reading</t>
        </is>
      </c>
      <c r="C705" s="8" t="inlineStr">
        <is>
          <t>PA</t>
        </is>
      </c>
      <c r="D705" s="8" t="inlineStr">
        <is>
          <t>Private</t>
        </is>
      </c>
      <c r="E705" s="9" t="n">
        <v>26771</v>
      </c>
      <c r="F705" s="9" t="n">
        <v>52116</v>
      </c>
      <c r="G705" s="8">
        <f>RANK(F705,$F$5:$F$1561)</f>
        <v/>
      </c>
      <c r="H705" s="8" t="inlineStr"/>
      <c r="I705" s="9">
        <f>IF(D705="Private",E705,"")</f>
        <v/>
      </c>
      <c r="J705" s="9">
        <f>IF(D705="Private",F705,"")</f>
        <v/>
      </c>
    </row>
    <row r="706">
      <c r="A706" s="8" t="inlineStr">
        <is>
          <t>University of North Florida</t>
        </is>
      </c>
      <c r="B706" s="8" t="inlineStr">
        <is>
          <t>Jacksonville</t>
        </is>
      </c>
      <c r="C706" s="8" t="inlineStr">
        <is>
          <t>FL</t>
        </is>
      </c>
      <c r="D706" s="8" t="inlineStr">
        <is>
          <t>Public</t>
        </is>
      </c>
      <c r="E706" s="9" t="n">
        <v>7159</v>
      </c>
      <c r="F706" s="9" t="n">
        <v>52114</v>
      </c>
      <c r="G706" s="8">
        <f>RANK(F706,$F$5:$F$1561)</f>
        <v/>
      </c>
      <c r="H706" s="8" t="inlineStr"/>
      <c r="I706" s="9">
        <f>IF(D706="Private",E706,"")</f>
        <v/>
      </c>
      <c r="J706" s="9">
        <f>IF(D706="Private",F706,"")</f>
        <v/>
      </c>
    </row>
    <row r="707">
      <c r="A707" s="8" t="inlineStr">
        <is>
          <t>Hartwick College</t>
        </is>
      </c>
      <c r="B707" s="8" t="inlineStr">
        <is>
          <t>Oneonta</t>
        </is>
      </c>
      <c r="C707" s="8" t="inlineStr">
        <is>
          <t>NY</t>
        </is>
      </c>
      <c r="D707" s="8" t="inlineStr">
        <is>
          <t>Private</t>
        </is>
      </c>
      <c r="E707" s="9" t="n">
        <v>22803</v>
      </c>
      <c r="F707" s="9" t="n">
        <v>52097</v>
      </c>
      <c r="G707" s="8">
        <f>RANK(F707,$F$5:$F$1561)</f>
        <v/>
      </c>
      <c r="H707" s="8" t="inlineStr"/>
      <c r="I707" s="9">
        <f>IF(D707="Private",E707,"")</f>
        <v/>
      </c>
      <c r="J707" s="9">
        <f>IF(D707="Private",F707,"")</f>
        <v/>
      </c>
    </row>
    <row r="708">
      <c r="A708" s="8" t="inlineStr">
        <is>
          <t>Trinity Christian College</t>
        </is>
      </c>
      <c r="B708" s="8" t="inlineStr">
        <is>
          <t>Palos Heights</t>
        </is>
      </c>
      <c r="C708" s="8" t="inlineStr">
        <is>
          <t>IL</t>
        </is>
      </c>
      <c r="D708" s="8" t="inlineStr">
        <is>
          <t>Private</t>
        </is>
      </c>
      <c r="E708" s="9" t="n">
        <v>14555</v>
      </c>
      <c r="F708" s="9" t="n">
        <v>52079</v>
      </c>
      <c r="G708" s="8">
        <f>RANK(F708,$F$5:$F$1561)</f>
        <v/>
      </c>
      <c r="H708" s="8" t="inlineStr"/>
      <c r="I708" s="9">
        <f>IF(D708="Private",E708,"")</f>
        <v/>
      </c>
      <c r="J708" s="9">
        <f>IF(D708="Private",F708,"")</f>
        <v/>
      </c>
    </row>
    <row r="709">
      <c r="A709" s="8" t="inlineStr">
        <is>
          <t>Franklin College</t>
        </is>
      </c>
      <c r="B709" s="8" t="inlineStr">
        <is>
          <t>Franklin</t>
        </is>
      </c>
      <c r="C709" s="8" t="inlineStr">
        <is>
          <t>IN</t>
        </is>
      </c>
      <c r="D709" s="8" t="inlineStr">
        <is>
          <t>Private</t>
        </is>
      </c>
      <c r="E709" s="9" t="n">
        <v>21185</v>
      </c>
      <c r="F709" s="9" t="n">
        <v>52038</v>
      </c>
      <c r="G709" s="8">
        <f>RANK(F709,$F$5:$F$1561)</f>
        <v/>
      </c>
      <c r="H709" s="8" t="inlineStr"/>
      <c r="I709" s="9">
        <f>IF(D709="Private",E709,"")</f>
        <v/>
      </c>
      <c r="J709" s="9">
        <f>IF(D709="Private",F709,"")</f>
        <v/>
      </c>
    </row>
    <row r="710">
      <c r="A710" s="8" t="inlineStr">
        <is>
          <t>Plymouth State University</t>
        </is>
      </c>
      <c r="B710" s="8" t="inlineStr">
        <is>
          <t>Plymouth</t>
        </is>
      </c>
      <c r="C710" s="8" t="inlineStr">
        <is>
          <t>NH</t>
        </is>
      </c>
      <c r="D710" s="8" t="inlineStr">
        <is>
          <t>Public</t>
        </is>
      </c>
      <c r="E710" s="9" t="n">
        <v>20086</v>
      </c>
      <c r="F710" s="9" t="n">
        <v>52014</v>
      </c>
      <c r="G710" s="8">
        <f>RANK(F710,$F$5:$F$1561)</f>
        <v/>
      </c>
      <c r="H710" s="8" t="inlineStr"/>
      <c r="I710" s="9">
        <f>IF(D710="Private",E710,"")</f>
        <v/>
      </c>
      <c r="J710" s="9">
        <f>IF(D710="Private",F710,"")</f>
        <v/>
      </c>
    </row>
    <row r="711">
      <c r="A711" s="8" t="inlineStr">
        <is>
          <t>Alma College</t>
        </is>
      </c>
      <c r="B711" s="8" t="inlineStr">
        <is>
          <t>Alma</t>
        </is>
      </c>
      <c r="C711" s="8" t="inlineStr">
        <is>
          <t>MI</t>
        </is>
      </c>
      <c r="D711" s="8" t="inlineStr">
        <is>
          <t>Private</t>
        </is>
      </c>
      <c r="E711" s="9" t="n">
        <v>23437</v>
      </c>
      <c r="F711" s="9" t="n">
        <v>51997</v>
      </c>
      <c r="G711" s="8">
        <f>RANK(F711,$F$5:$F$1561)</f>
        <v/>
      </c>
      <c r="H711" s="8" t="inlineStr"/>
      <c r="I711" s="9">
        <f>IF(D711="Private",E711,"")</f>
        <v/>
      </c>
      <c r="J711" s="9">
        <f>IF(D711="Private",F711,"")</f>
        <v/>
      </c>
    </row>
    <row r="712">
      <c r="A712" s="8" t="inlineStr">
        <is>
          <t>Frostburg State University</t>
        </is>
      </c>
      <c r="B712" s="8" t="inlineStr">
        <is>
          <t>Frostburg</t>
        </is>
      </c>
      <c r="C712" s="8" t="inlineStr">
        <is>
          <t>MD</t>
        </is>
      </c>
      <c r="D712" s="8" t="inlineStr">
        <is>
          <t>Public</t>
        </is>
      </c>
      <c r="E712" s="9" t="n">
        <v>15538</v>
      </c>
      <c r="F712" s="9" t="n">
        <v>51992</v>
      </c>
      <c r="G712" s="8">
        <f>RANK(F712,$F$5:$F$1561)</f>
        <v/>
      </c>
      <c r="H712" s="8" t="inlineStr"/>
      <c r="I712" s="9">
        <f>IF(D712="Private",E712,"")</f>
        <v/>
      </c>
      <c r="J712" s="9">
        <f>IF(D712="Private",F712,"")</f>
        <v/>
      </c>
    </row>
    <row r="713">
      <c r="A713" s="8" t="inlineStr">
        <is>
          <t>University of Evansville</t>
        </is>
      </c>
      <c r="B713" s="8" t="inlineStr">
        <is>
          <t>Evansville</t>
        </is>
      </c>
      <c r="C713" s="8" t="inlineStr">
        <is>
          <t>IN</t>
        </is>
      </c>
      <c r="D713" s="8" t="inlineStr">
        <is>
          <t>Private</t>
        </is>
      </c>
      <c r="E713" s="9" t="n">
        <v>20340</v>
      </c>
      <c r="F713" s="9" t="n">
        <v>51987</v>
      </c>
      <c r="G713" s="8">
        <f>RANK(F713,$F$5:$F$1561)</f>
        <v/>
      </c>
      <c r="H713" s="8" t="inlineStr"/>
      <c r="I713" s="9">
        <f>IF(D713="Private",E713,"")</f>
        <v/>
      </c>
      <c r="J713" s="9">
        <f>IF(D713="Private",F713,"")</f>
        <v/>
      </c>
    </row>
    <row r="714">
      <c r="A714" s="8" t="inlineStr">
        <is>
          <t>University of Nebraska at Omaha</t>
        </is>
      </c>
      <c r="B714" s="8" t="inlineStr">
        <is>
          <t>Omaha</t>
        </is>
      </c>
      <c r="C714" s="8" t="inlineStr">
        <is>
          <t>NE</t>
        </is>
      </c>
      <c r="D714" s="8" t="inlineStr">
        <is>
          <t>Public</t>
        </is>
      </c>
      <c r="E714" s="9" t="n">
        <v>13452</v>
      </c>
      <c r="F714" s="9" t="n">
        <v>51972</v>
      </c>
      <c r="G714" s="8">
        <f>RANK(F714,$F$5:$F$1561)</f>
        <v/>
      </c>
      <c r="H714" s="8" t="inlineStr"/>
      <c r="I714" s="9">
        <f>IF(D714="Private",E714,"")</f>
        <v/>
      </c>
      <c r="J714" s="9">
        <f>IF(D714="Private",F714,"")</f>
        <v/>
      </c>
    </row>
    <row r="715">
      <c r="A715" s="8" t="inlineStr">
        <is>
          <t>Illinois College</t>
        </is>
      </c>
      <c r="B715" s="8" t="inlineStr">
        <is>
          <t>Jacksonville</t>
        </is>
      </c>
      <c r="C715" s="8" t="inlineStr">
        <is>
          <t>IL</t>
        </is>
      </c>
      <c r="D715" s="8" t="inlineStr">
        <is>
          <t>Private</t>
        </is>
      </c>
      <c r="E715" s="9" t="n">
        <v>16349</v>
      </c>
      <c r="F715" s="9" t="n">
        <v>51953</v>
      </c>
      <c r="G715" s="8">
        <f>RANK(F715,$F$5:$F$1561)</f>
        <v/>
      </c>
      <c r="H715" s="8" t="inlineStr"/>
      <c r="I715" s="9">
        <f>IF(D715="Private",E715,"")</f>
        <v/>
      </c>
      <c r="J715" s="9">
        <f>IF(D715="Private",F715,"")</f>
        <v/>
      </c>
    </row>
    <row r="716">
      <c r="A716" s="8" t="inlineStr">
        <is>
          <t>Morehouse College</t>
        </is>
      </c>
      <c r="B716" s="8" t="inlineStr">
        <is>
          <t>Atlanta</t>
        </is>
      </c>
      <c r="C716" s="8" t="inlineStr">
        <is>
          <t>GA</t>
        </is>
      </c>
      <c r="D716" s="8" t="inlineStr">
        <is>
          <t>Private</t>
        </is>
      </c>
      <c r="E716" s="9" t="n">
        <v>24271</v>
      </c>
      <c r="F716" s="9" t="n">
        <v>51947</v>
      </c>
      <c r="G716" s="8">
        <f>RANK(F716,$F$5:$F$1561)</f>
        <v/>
      </c>
      <c r="H716" s="8" t="inlineStr"/>
      <c r="I716" s="9">
        <f>IF(D716="Private",E716,"")</f>
        <v/>
      </c>
      <c r="J716" s="9">
        <f>IF(D716="Private",F716,"")</f>
        <v/>
      </c>
    </row>
    <row r="717">
      <c r="A717" s="8" t="inlineStr">
        <is>
          <t>Montana Technological University</t>
        </is>
      </c>
      <c r="B717" s="8" t="inlineStr">
        <is>
          <t>Butte</t>
        </is>
      </c>
      <c r="C717" s="8" t="inlineStr">
        <is>
          <t>MT</t>
        </is>
      </c>
      <c r="D717" s="8" t="inlineStr">
        <is>
          <t>Public</t>
        </is>
      </c>
      <c r="E717" s="9" t="n">
        <v>15789</v>
      </c>
      <c r="F717" s="9" t="n">
        <v>51910</v>
      </c>
      <c r="G717" s="8">
        <f>RANK(F717,$F$5:$F$1561)</f>
        <v/>
      </c>
      <c r="H717" s="8" t="inlineStr"/>
      <c r="I717" s="9">
        <f>IF(D717="Private",E717,"")</f>
        <v/>
      </c>
      <c r="J717" s="9">
        <f>IF(D717="Private",F717,"")</f>
        <v/>
      </c>
    </row>
    <row r="718">
      <c r="A718" s="8" t="inlineStr">
        <is>
          <t>Cornell College</t>
        </is>
      </c>
      <c r="B718" s="8" t="inlineStr">
        <is>
          <t>Mount Vernon</t>
        </is>
      </c>
      <c r="C718" s="8" t="inlineStr">
        <is>
          <t>IA</t>
        </is>
      </c>
      <c r="D718" s="8" t="inlineStr">
        <is>
          <t>Private</t>
        </is>
      </c>
      <c r="E718" s="9" t="n">
        <v>21543</v>
      </c>
      <c r="F718" s="9" t="n">
        <v>51898</v>
      </c>
      <c r="G718" s="8">
        <f>RANK(F718,$F$5:$F$1561)</f>
        <v/>
      </c>
      <c r="H718" s="8" t="inlineStr"/>
      <c r="I718" s="9">
        <f>IF(D718="Private",E718,"")</f>
        <v/>
      </c>
      <c r="J718" s="9">
        <f>IF(D718="Private",F718,"")</f>
        <v/>
      </c>
    </row>
    <row r="719">
      <c r="A719" s="8" t="inlineStr">
        <is>
          <t>Belmont University</t>
        </is>
      </c>
      <c r="B719" s="8" t="inlineStr">
        <is>
          <t>Nashville</t>
        </is>
      </c>
      <c r="C719" s="8" t="inlineStr">
        <is>
          <t>TN</t>
        </is>
      </c>
      <c r="D719" s="8" t="inlineStr">
        <is>
          <t>Private</t>
        </is>
      </c>
      <c r="E719" s="9" t="n">
        <v>31519</v>
      </c>
      <c r="F719" s="9" t="n">
        <v>51864</v>
      </c>
      <c r="G719" s="8">
        <f>RANK(F719,$F$5:$F$1561)</f>
        <v/>
      </c>
      <c r="H719" s="8" t="inlineStr"/>
      <c r="I719" s="9">
        <f>IF(D719="Private",E719,"")</f>
        <v/>
      </c>
      <c r="J719" s="9">
        <f>IF(D719="Private",F719,"")</f>
        <v/>
      </c>
    </row>
    <row r="720">
      <c r="A720" s="8" t="inlineStr">
        <is>
          <t>Lipscomb University</t>
        </is>
      </c>
      <c r="B720" s="8" t="inlineStr">
        <is>
          <t>Nashville</t>
        </is>
      </c>
      <c r="C720" s="8" t="inlineStr">
        <is>
          <t>TN</t>
        </is>
      </c>
      <c r="D720" s="8" t="inlineStr">
        <is>
          <t>Private</t>
        </is>
      </c>
      <c r="E720" s="9" t="n">
        <v>24627</v>
      </c>
      <c r="F720" s="9" t="n">
        <v>51858</v>
      </c>
      <c r="G720" s="8">
        <f>RANK(F720,$F$5:$F$1561)</f>
        <v/>
      </c>
      <c r="H720" s="8" t="inlineStr"/>
      <c r="I720" s="9">
        <f>IF(D720="Private",E720,"")</f>
        <v/>
      </c>
      <c r="J720" s="9">
        <f>IF(D720="Private",F720,"")</f>
        <v/>
      </c>
    </row>
    <row r="721">
      <c r="A721" s="8" t="inlineStr">
        <is>
          <t>McKendree University</t>
        </is>
      </c>
      <c r="B721" s="8" t="inlineStr">
        <is>
          <t>Lebanon</t>
        </is>
      </c>
      <c r="C721" s="8" t="inlineStr">
        <is>
          <t>IL</t>
        </is>
      </c>
      <c r="D721" s="8" t="inlineStr">
        <is>
          <t>Private</t>
        </is>
      </c>
      <c r="E721" s="9" t="n">
        <v>24989</v>
      </c>
      <c r="F721" s="9" t="n">
        <v>51819</v>
      </c>
      <c r="G721" s="8">
        <f>RANK(F721,$F$5:$F$1561)</f>
        <v/>
      </c>
      <c r="H721" s="8" t="inlineStr"/>
      <c r="I721" s="9">
        <f>IF(D721="Private",E721,"")</f>
        <v/>
      </c>
      <c r="J721" s="9">
        <f>IF(D721="Private",F721,"")</f>
        <v/>
      </c>
    </row>
    <row r="722">
      <c r="A722" s="8" t="inlineStr">
        <is>
          <t>Upper Iowa University</t>
        </is>
      </c>
      <c r="B722" s="8" t="inlineStr">
        <is>
          <t>Fayette</t>
        </is>
      </c>
      <c r="C722" s="8" t="inlineStr">
        <is>
          <t>IA</t>
        </is>
      </c>
      <c r="D722" s="8" t="inlineStr">
        <is>
          <t>Private</t>
        </is>
      </c>
      <c r="E722" s="9" t="n">
        <v>24064</v>
      </c>
      <c r="F722" s="9" t="n">
        <v>51790</v>
      </c>
      <c r="G722" s="8">
        <f>RANK(F722,$F$5:$F$1561)</f>
        <v/>
      </c>
      <c r="H722" s="8" t="inlineStr"/>
      <c r="I722" s="9">
        <f>IF(D722="Private",E722,"")</f>
        <v/>
      </c>
      <c r="J722" s="9">
        <f>IF(D722="Private",F722,"")</f>
        <v/>
      </c>
    </row>
    <row r="723">
      <c r="A723" s="8" t="inlineStr">
        <is>
          <t>Southwestern College</t>
        </is>
      </c>
      <c r="B723" s="8" t="inlineStr">
        <is>
          <t>Winfield</t>
        </is>
      </c>
      <c r="C723" s="8" t="inlineStr">
        <is>
          <t>KS</t>
        </is>
      </c>
      <c r="D723" s="8" t="inlineStr">
        <is>
          <t>Private</t>
        </is>
      </c>
      <c r="E723" s="9" t="n">
        <v>25751</v>
      </c>
      <c r="F723" s="9" t="n">
        <v>51735</v>
      </c>
      <c r="G723" s="8">
        <f>RANK(F723,$F$5:$F$1561)</f>
        <v/>
      </c>
      <c r="H723" s="8" t="inlineStr"/>
      <c r="I723" s="9">
        <f>IF(D723="Private",E723,"")</f>
        <v/>
      </c>
      <c r="J723" s="9">
        <f>IF(D723="Private",F723,"")</f>
        <v/>
      </c>
    </row>
    <row r="724">
      <c r="A724" s="8" t="inlineStr">
        <is>
          <t>SUNY Brockport</t>
        </is>
      </c>
      <c r="B724" s="8" t="inlineStr">
        <is>
          <t>Brockport</t>
        </is>
      </c>
      <c r="C724" s="8" t="inlineStr">
        <is>
          <t>NY</t>
        </is>
      </c>
      <c r="D724" s="8" t="inlineStr">
        <is>
          <t>Public</t>
        </is>
      </c>
      <c r="E724" s="9" t="n">
        <v>16720</v>
      </c>
      <c r="F724" s="9" t="n">
        <v>51733</v>
      </c>
      <c r="G724" s="8">
        <f>RANK(F724,$F$5:$F$1561)</f>
        <v/>
      </c>
      <c r="H724" s="8" t="inlineStr"/>
      <c r="I724" s="9">
        <f>IF(D724="Private",E724,"")</f>
        <v/>
      </c>
      <c r="J724" s="9">
        <f>IF(D724="Private",F724,"")</f>
        <v/>
      </c>
    </row>
    <row r="725">
      <c r="A725" s="8" t="inlineStr">
        <is>
          <t>Marywood University</t>
        </is>
      </c>
      <c r="B725" s="8" t="inlineStr">
        <is>
          <t>Scranton</t>
        </is>
      </c>
      <c r="C725" s="8" t="inlineStr">
        <is>
          <t>PA</t>
        </is>
      </c>
      <c r="D725" s="8" t="inlineStr">
        <is>
          <t>Private</t>
        </is>
      </c>
      <c r="E725" s="9" t="n">
        <v>20741</v>
      </c>
      <c r="F725" s="9" t="n">
        <v>51671</v>
      </c>
      <c r="G725" s="8">
        <f>RANK(F725,$F$5:$F$1561)</f>
        <v/>
      </c>
      <c r="H725" s="8" t="inlineStr"/>
      <c r="I725" s="9">
        <f>IF(D725="Private",E725,"")</f>
        <v/>
      </c>
      <c r="J725" s="9">
        <f>IF(D725="Private",F725,"")</f>
        <v/>
      </c>
    </row>
    <row r="726">
      <c r="A726" s="8" t="inlineStr">
        <is>
          <t>College of Saint Mary</t>
        </is>
      </c>
      <c r="B726" s="8" t="inlineStr">
        <is>
          <t>Omaha</t>
        </is>
      </c>
      <c r="C726" s="8" t="inlineStr">
        <is>
          <t>NE</t>
        </is>
      </c>
      <c r="D726" s="8" t="inlineStr">
        <is>
          <t>Private</t>
        </is>
      </c>
      <c r="E726" s="9" t="n">
        <v>16294</v>
      </c>
      <c r="F726" s="9" t="n">
        <v>51663</v>
      </c>
      <c r="G726" s="8">
        <f>RANK(F726,$F$5:$F$1561)</f>
        <v/>
      </c>
      <c r="H726" s="8" t="inlineStr"/>
      <c r="I726" s="9">
        <f>IF(D726="Private",E726,"")</f>
        <v/>
      </c>
      <c r="J726" s="9">
        <f>IF(D726="Private",F726,"")</f>
        <v/>
      </c>
    </row>
    <row r="727">
      <c r="A727" s="8" t="inlineStr">
        <is>
          <t>University of Northern Iowa</t>
        </is>
      </c>
      <c r="B727" s="8" t="inlineStr">
        <is>
          <t>Cedar Falls</t>
        </is>
      </c>
      <c r="C727" s="8" t="inlineStr">
        <is>
          <t>IA</t>
        </is>
      </c>
      <c r="D727" s="8" t="inlineStr">
        <is>
          <t>Public</t>
        </is>
      </c>
      <c r="E727" s="9" t="n">
        <v>14017</v>
      </c>
      <c r="F727" s="9" t="n">
        <v>51651</v>
      </c>
      <c r="G727" s="8">
        <f>RANK(F727,$F$5:$F$1561)</f>
        <v/>
      </c>
      <c r="H727" s="8" t="inlineStr"/>
      <c r="I727" s="9">
        <f>IF(D727="Private",E727,"")</f>
        <v/>
      </c>
      <c r="J727" s="9">
        <f>IF(D727="Private",F727,"")</f>
        <v/>
      </c>
    </row>
    <row r="728">
      <c r="A728" s="8" t="inlineStr">
        <is>
          <t>Presbyterian College</t>
        </is>
      </c>
      <c r="B728" s="8" t="inlineStr">
        <is>
          <t>Clinton</t>
        </is>
      </c>
      <c r="C728" s="8" t="inlineStr">
        <is>
          <t>SC</t>
        </is>
      </c>
      <c r="D728" s="8" t="inlineStr">
        <is>
          <t>Private</t>
        </is>
      </c>
      <c r="E728" s="9" t="n">
        <v>21962</v>
      </c>
      <c r="F728" s="9" t="n">
        <v>51619</v>
      </c>
      <c r="G728" s="8">
        <f>RANK(F728,$F$5:$F$1561)</f>
        <v/>
      </c>
      <c r="H728" s="8" t="inlineStr"/>
      <c r="I728" s="9">
        <f>IF(D728="Private",E728,"")</f>
        <v/>
      </c>
      <c r="J728" s="9">
        <f>IF(D728="Private",F728,"")</f>
        <v/>
      </c>
    </row>
    <row r="729">
      <c r="A729" s="8" t="inlineStr">
        <is>
          <t>Hiram College</t>
        </is>
      </c>
      <c r="B729" s="8" t="inlineStr">
        <is>
          <t>Hiram</t>
        </is>
      </c>
      <c r="C729" s="8" t="inlineStr">
        <is>
          <t>OH</t>
        </is>
      </c>
      <c r="D729" s="8" t="inlineStr">
        <is>
          <t>Private</t>
        </is>
      </c>
      <c r="E729" s="9" t="n">
        <v>17639</v>
      </c>
      <c r="F729" s="9" t="n">
        <v>51578</v>
      </c>
      <c r="G729" s="8">
        <f>RANK(F729,$F$5:$F$1561)</f>
        <v/>
      </c>
      <c r="H729" s="8" t="inlineStr"/>
      <c r="I729" s="9">
        <f>IF(D729="Private",E729,"")</f>
        <v/>
      </c>
      <c r="J729" s="9">
        <f>IF(D729="Private",F729,"")</f>
        <v/>
      </c>
    </row>
    <row r="730">
      <c r="A730" s="8" t="inlineStr">
        <is>
          <t>Wilmington University</t>
        </is>
      </c>
      <c r="B730" s="8" t="inlineStr">
        <is>
          <t>New Castle</t>
        </is>
      </c>
      <c r="C730" s="8" t="inlineStr">
        <is>
          <t>DE</t>
        </is>
      </c>
      <c r="D730" s="8" t="inlineStr">
        <is>
          <t>Private</t>
        </is>
      </c>
      <c r="E730" s="9" t="n">
        <v>14796</v>
      </c>
      <c r="F730" s="9" t="n">
        <v>51570</v>
      </c>
      <c r="G730" s="8">
        <f>RANK(F730,$F$5:$F$1561)</f>
        <v/>
      </c>
      <c r="H730" s="8" t="inlineStr"/>
      <c r="I730" s="9">
        <f>IF(D730="Private",E730,"")</f>
        <v/>
      </c>
      <c r="J730" s="9">
        <f>IF(D730="Private",F730,"")</f>
        <v/>
      </c>
    </row>
    <row r="731">
      <c r="A731" s="8" t="inlineStr">
        <is>
          <t>Concordia University Ann Arbor</t>
        </is>
      </c>
      <c r="B731" s="8" t="inlineStr">
        <is>
          <t>Ann Arbor</t>
        </is>
      </c>
      <c r="C731" s="8" t="inlineStr">
        <is>
          <t>MI</t>
        </is>
      </c>
      <c r="D731" s="8" t="inlineStr">
        <is>
          <t>Private</t>
        </is>
      </c>
      <c r="E731" s="9" t="n">
        <v>25158</v>
      </c>
      <c r="F731" s="9" t="n">
        <v>51567</v>
      </c>
      <c r="G731" s="8">
        <f>RANK(F731,$F$5:$F$1561)</f>
        <v/>
      </c>
      <c r="H731" s="8" t="inlineStr"/>
      <c r="I731" s="9">
        <f>IF(D731="Private",E731,"")</f>
        <v/>
      </c>
      <c r="J731" s="9">
        <f>IF(D731="Private",F731,"")</f>
        <v/>
      </c>
    </row>
    <row r="732">
      <c r="A732" s="8" t="inlineStr">
        <is>
          <t>Concordia University-Wisconsin</t>
        </is>
      </c>
      <c r="B732" s="8" t="inlineStr">
        <is>
          <t>Mequon</t>
        </is>
      </c>
      <c r="C732" s="8" t="inlineStr">
        <is>
          <t>WI</t>
        </is>
      </c>
      <c r="D732" s="8" t="inlineStr">
        <is>
          <t>Private</t>
        </is>
      </c>
      <c r="E732" s="9" t="n">
        <v>24607</v>
      </c>
      <c r="F732" s="9" t="n">
        <v>51567</v>
      </c>
      <c r="G732" s="8">
        <f>RANK(F732,$F$5:$F$1561)</f>
        <v/>
      </c>
      <c r="H732" s="8" t="inlineStr"/>
      <c r="I732" s="9">
        <f>IF(D732="Private",E732,"")</f>
        <v/>
      </c>
      <c r="J732" s="9">
        <f>IF(D732="Private",F732,"")</f>
        <v/>
      </c>
    </row>
    <row r="733">
      <c r="A733" s="8" t="inlineStr">
        <is>
          <t>Judson University</t>
        </is>
      </c>
      <c r="B733" s="8" t="inlineStr">
        <is>
          <t>Elgin</t>
        </is>
      </c>
      <c r="C733" s="8" t="inlineStr">
        <is>
          <t>IL</t>
        </is>
      </c>
      <c r="D733" s="8" t="inlineStr">
        <is>
          <t>Private</t>
        </is>
      </c>
      <c r="E733" s="9" t="n">
        <v>20824</v>
      </c>
      <c r="F733" s="9" t="n">
        <v>51562</v>
      </c>
      <c r="G733" s="8">
        <f>RANK(F733,$F$5:$F$1561)</f>
        <v/>
      </c>
      <c r="H733" s="8" t="inlineStr"/>
      <c r="I733" s="9">
        <f>IF(D733="Private",E733,"")</f>
        <v/>
      </c>
      <c r="J733" s="9">
        <f>IF(D733="Private",F733,"")</f>
        <v/>
      </c>
    </row>
    <row r="734">
      <c r="A734" s="8" t="inlineStr">
        <is>
          <t>Keuka College</t>
        </is>
      </c>
      <c r="B734" s="8" t="inlineStr">
        <is>
          <t>Keuka Park</t>
        </is>
      </c>
      <c r="C734" s="8" t="inlineStr">
        <is>
          <t>NY</t>
        </is>
      </c>
      <c r="D734" s="8" t="inlineStr">
        <is>
          <t>Private</t>
        </is>
      </c>
      <c r="E734" s="9" t="n">
        <v>27314</v>
      </c>
      <c r="F734" s="9" t="n">
        <v>51533</v>
      </c>
      <c r="G734" s="8">
        <f>RANK(F734,$F$5:$F$1561)</f>
        <v/>
      </c>
      <c r="H734" s="8" t="inlineStr"/>
      <c r="I734" s="9">
        <f>IF(D734="Private",E734,"")</f>
        <v/>
      </c>
      <c r="J734" s="9">
        <f>IF(D734="Private",F734,"")</f>
        <v/>
      </c>
    </row>
    <row r="735">
      <c r="A735" s="8" t="inlineStr">
        <is>
          <t>Montana State University</t>
        </is>
      </c>
      <c r="B735" s="8" t="inlineStr">
        <is>
          <t>Bozeman</t>
        </is>
      </c>
      <c r="C735" s="8" t="inlineStr">
        <is>
          <t>MT</t>
        </is>
      </c>
      <c r="D735" s="8" t="inlineStr">
        <is>
          <t>Public</t>
        </is>
      </c>
      <c r="E735" s="9" t="n">
        <v>19413</v>
      </c>
      <c r="F735" s="9" t="n">
        <v>51532</v>
      </c>
      <c r="G735" s="8">
        <f>RANK(F735,$F$5:$F$1561)</f>
        <v/>
      </c>
      <c r="H735" s="8" t="inlineStr"/>
      <c r="I735" s="9">
        <f>IF(D735="Private",E735,"")</f>
        <v/>
      </c>
      <c r="J735" s="9">
        <f>IF(D735="Private",F735,"")</f>
        <v/>
      </c>
    </row>
    <row r="736">
      <c r="A736" s="8" t="inlineStr">
        <is>
          <t>University of the Incarnate Word</t>
        </is>
      </c>
      <c r="B736" s="8" t="inlineStr">
        <is>
          <t>San Antonio</t>
        </is>
      </c>
      <c r="C736" s="8" t="inlineStr">
        <is>
          <t>TX</t>
        </is>
      </c>
      <c r="D736" s="8" t="inlineStr">
        <is>
          <t>Private</t>
        </is>
      </c>
      <c r="E736" s="9" t="n">
        <v>21244</v>
      </c>
      <c r="F736" s="9" t="n">
        <v>51494</v>
      </c>
      <c r="G736" s="8">
        <f>RANK(F736,$F$5:$F$1561)</f>
        <v/>
      </c>
      <c r="H736" s="8" t="inlineStr"/>
      <c r="I736" s="9">
        <f>IF(D736="Private",E736,"")</f>
        <v/>
      </c>
      <c r="J736" s="9">
        <f>IF(D736="Private",F736,"")</f>
        <v/>
      </c>
    </row>
    <row r="737">
      <c r="A737" s="8" t="inlineStr">
        <is>
          <t>Knox College</t>
        </is>
      </c>
      <c r="B737" s="8" t="inlineStr">
        <is>
          <t>Galesburg</t>
        </is>
      </c>
      <c r="C737" s="8" t="inlineStr">
        <is>
          <t>IL</t>
        </is>
      </c>
      <c r="D737" s="8" t="inlineStr">
        <is>
          <t>Private</t>
        </is>
      </c>
      <c r="E737" s="9" t="n">
        <v>23285</v>
      </c>
      <c r="F737" s="9" t="n">
        <v>51471</v>
      </c>
      <c r="G737" s="8">
        <f>RANK(F737,$F$5:$F$1561)</f>
        <v/>
      </c>
      <c r="H737" s="8" t="inlineStr"/>
      <c r="I737" s="9">
        <f>IF(D737="Private",E737,"")</f>
        <v/>
      </c>
      <c r="J737" s="9">
        <f>IF(D737="Private",F737,"")</f>
        <v/>
      </c>
    </row>
    <row r="738">
      <c r="A738" s="8" t="inlineStr">
        <is>
          <t>Westminster College</t>
        </is>
      </c>
      <c r="B738" s="8" t="inlineStr">
        <is>
          <t>Fulton</t>
        </is>
      </c>
      <c r="C738" s="8" t="inlineStr">
        <is>
          <t>MO</t>
        </is>
      </c>
      <c r="D738" s="8" t="inlineStr">
        <is>
          <t>Private</t>
        </is>
      </c>
      <c r="E738" s="9" t="n">
        <v>23625</v>
      </c>
      <c r="F738" s="9" t="n">
        <v>51446</v>
      </c>
      <c r="G738" s="8">
        <f>RANK(F738,$F$5:$F$1561)</f>
        <v/>
      </c>
      <c r="H738" s="8" t="inlineStr"/>
      <c r="I738" s="9">
        <f>IF(D738="Private",E738,"")</f>
        <v/>
      </c>
      <c r="J738" s="9">
        <f>IF(D738="Private",F738,"")</f>
        <v/>
      </c>
    </row>
    <row r="739">
      <c r="A739" s="8" t="inlineStr">
        <is>
          <t>Ripon College</t>
        </is>
      </c>
      <c r="B739" s="8" t="inlineStr">
        <is>
          <t>Ripon</t>
        </is>
      </c>
      <c r="C739" s="8" t="inlineStr">
        <is>
          <t>WI</t>
        </is>
      </c>
      <c r="D739" s="8" t="inlineStr">
        <is>
          <t>Private</t>
        </is>
      </c>
      <c r="E739" s="9" t="n">
        <v>18114</v>
      </c>
      <c r="F739" s="9" t="n">
        <v>51436</v>
      </c>
      <c r="G739" s="8">
        <f>RANK(F739,$F$5:$F$1561)</f>
        <v/>
      </c>
      <c r="H739" s="8" t="inlineStr"/>
      <c r="I739" s="9">
        <f>IF(D739="Private",E739,"")</f>
        <v/>
      </c>
      <c r="J739" s="9">
        <f>IF(D739="Private",F739,"")</f>
        <v/>
      </c>
    </row>
    <row r="740">
      <c r="A740" s="8" t="inlineStr">
        <is>
          <t>University of Wisconsin-Oshkosh</t>
        </is>
      </c>
      <c r="B740" s="8" t="inlineStr">
        <is>
          <t>Oshkosh</t>
        </is>
      </c>
      <c r="C740" s="8" t="inlineStr">
        <is>
          <t>WI</t>
        </is>
      </c>
      <c r="D740" s="8" t="inlineStr">
        <is>
          <t>Public</t>
        </is>
      </c>
      <c r="E740" s="9" t="n">
        <v>14753</v>
      </c>
      <c r="F740" s="9" t="n">
        <v>51418</v>
      </c>
      <c r="G740" s="8">
        <f>RANK(F740,$F$5:$F$1561)</f>
        <v/>
      </c>
      <c r="H740" s="8" t="inlineStr"/>
      <c r="I740" s="9">
        <f>IF(D740="Private",E740,"")</f>
        <v/>
      </c>
      <c r="J740" s="9">
        <f>IF(D740="Private",F740,"")</f>
        <v/>
      </c>
    </row>
    <row r="741">
      <c r="A741" s="8" t="inlineStr">
        <is>
          <t>University of Bridgeport</t>
        </is>
      </c>
      <c r="B741" s="8" t="inlineStr">
        <is>
          <t>Bridgeport</t>
        </is>
      </c>
      <c r="C741" s="8" t="inlineStr">
        <is>
          <t>CT</t>
        </is>
      </c>
      <c r="D741" s="8" t="inlineStr">
        <is>
          <t>Private</t>
        </is>
      </c>
      <c r="E741" s="9" t="n">
        <v>24416</v>
      </c>
      <c r="F741" s="9" t="n">
        <v>51396</v>
      </c>
      <c r="G741" s="8">
        <f>RANK(F741,$F$5:$F$1561)</f>
        <v/>
      </c>
      <c r="H741" s="8" t="inlineStr"/>
      <c r="I741" s="9">
        <f>IF(D741="Private",E741,"")</f>
        <v/>
      </c>
      <c r="J741" s="9">
        <f>IF(D741="Private",F741,"")</f>
        <v/>
      </c>
    </row>
    <row r="742">
      <c r="A742" s="8" t="inlineStr">
        <is>
          <t>Friends University</t>
        </is>
      </c>
      <c r="B742" s="8" t="inlineStr">
        <is>
          <t>Wichita</t>
        </is>
      </c>
      <c r="C742" s="8" t="inlineStr">
        <is>
          <t>KS</t>
        </is>
      </c>
      <c r="D742" s="8" t="inlineStr">
        <is>
          <t>Private</t>
        </is>
      </c>
      <c r="E742" s="9" t="n">
        <v>19905</v>
      </c>
      <c r="F742" s="9" t="n">
        <v>51388</v>
      </c>
      <c r="G742" s="8">
        <f>RANK(F742,$F$5:$F$1561)</f>
        <v/>
      </c>
      <c r="H742" s="8" t="inlineStr"/>
      <c r="I742" s="9">
        <f>IF(D742="Private",E742,"")</f>
        <v/>
      </c>
      <c r="J742" s="9">
        <f>IF(D742="Private",F742,"")</f>
        <v/>
      </c>
    </row>
    <row r="743">
      <c r="A743" s="8" t="inlineStr">
        <is>
          <t>University of Louisville</t>
        </is>
      </c>
      <c r="B743" s="8" t="inlineStr">
        <is>
          <t>Louisville</t>
        </is>
      </c>
      <c r="C743" s="8" t="inlineStr">
        <is>
          <t>KY</t>
        </is>
      </c>
      <c r="D743" s="8" t="inlineStr">
        <is>
          <t>Public</t>
        </is>
      </c>
      <c r="E743" s="9" t="n">
        <v>17744</v>
      </c>
      <c r="F743" s="9" t="n">
        <v>51380</v>
      </c>
      <c r="G743" s="8">
        <f>RANK(F743,$F$5:$F$1561)</f>
        <v/>
      </c>
      <c r="H743" s="8" t="inlineStr"/>
      <c r="I743" s="9">
        <f>IF(D743="Private",E743,"")</f>
        <v/>
      </c>
      <c r="J743" s="9">
        <f>IF(D743="Private",F743,"")</f>
        <v/>
      </c>
    </row>
    <row r="744">
      <c r="A744" s="8" t="inlineStr">
        <is>
          <t>Shippensburg University of Pennsylvania</t>
        </is>
      </c>
      <c r="B744" s="8" t="inlineStr">
        <is>
          <t>Shippensburg</t>
        </is>
      </c>
      <c r="C744" s="8" t="inlineStr">
        <is>
          <t>PA</t>
        </is>
      </c>
      <c r="D744" s="8" t="inlineStr">
        <is>
          <t>Public</t>
        </is>
      </c>
      <c r="E744" s="9" t="n">
        <v>22012</v>
      </c>
      <c r="F744" s="9" t="n">
        <v>51372</v>
      </c>
      <c r="G744" s="8">
        <f>RANK(F744,$F$5:$F$1561)</f>
        <v/>
      </c>
      <c r="H744" s="8" t="inlineStr"/>
      <c r="I744" s="9">
        <f>IF(D744="Private",E744,"")</f>
        <v/>
      </c>
      <c r="J744" s="9">
        <f>IF(D744="Private",F744,"")</f>
        <v/>
      </c>
    </row>
    <row r="745">
      <c r="A745" s="8" t="inlineStr">
        <is>
          <t>University of Colorado Colorado Springs</t>
        </is>
      </c>
      <c r="B745" s="8" t="inlineStr">
        <is>
          <t>Colorado Springs</t>
        </is>
      </c>
      <c r="C745" s="8" t="inlineStr">
        <is>
          <t>CO</t>
        </is>
      </c>
      <c r="D745" s="8" t="inlineStr">
        <is>
          <t>Public</t>
        </is>
      </c>
      <c r="E745" s="9" t="n">
        <v>14633</v>
      </c>
      <c r="F745" s="9" t="n">
        <v>51355</v>
      </c>
      <c r="G745" s="8">
        <f>RANK(F745,$F$5:$F$1561)</f>
        <v/>
      </c>
      <c r="H745" s="8" t="inlineStr"/>
      <c r="I745" s="9">
        <f>IF(D745="Private",E745,"")</f>
        <v/>
      </c>
      <c r="J745" s="9">
        <f>IF(D745="Private",F745,"")</f>
        <v/>
      </c>
    </row>
    <row r="746">
      <c r="A746" s="8" t="inlineStr">
        <is>
          <t>Hanover College</t>
        </is>
      </c>
      <c r="B746" s="8" t="inlineStr">
        <is>
          <t>Hanover</t>
        </is>
      </c>
      <c r="C746" s="8" t="inlineStr">
        <is>
          <t>IN</t>
        </is>
      </c>
      <c r="D746" s="8" t="inlineStr">
        <is>
          <t>Private</t>
        </is>
      </c>
      <c r="E746" s="9" t="n">
        <v>19722</v>
      </c>
      <c r="F746" s="9" t="n">
        <v>51346</v>
      </c>
      <c r="G746" s="8">
        <f>RANK(F746,$F$5:$F$1561)</f>
        <v/>
      </c>
      <c r="H746" s="8" t="inlineStr"/>
      <c r="I746" s="9">
        <f>IF(D746="Private",E746,"")</f>
        <v/>
      </c>
      <c r="J746" s="9">
        <f>IF(D746="Private",F746,"")</f>
        <v/>
      </c>
    </row>
    <row r="747">
      <c r="A747" s="8" t="inlineStr">
        <is>
          <t>Abilene Christian University</t>
        </is>
      </c>
      <c r="B747" s="8" t="inlineStr">
        <is>
          <t>Abilene</t>
        </is>
      </c>
      <c r="C747" s="8" t="inlineStr">
        <is>
          <t>TX</t>
        </is>
      </c>
      <c r="D747" s="8" t="inlineStr">
        <is>
          <t>Private</t>
        </is>
      </c>
      <c r="E747" s="9" t="n">
        <v>29300</v>
      </c>
      <c r="F747" s="9" t="n">
        <v>51336</v>
      </c>
      <c r="G747" s="8">
        <f>RANK(F747,$F$5:$F$1561)</f>
        <v/>
      </c>
      <c r="H747" s="8" t="inlineStr"/>
      <c r="I747" s="9">
        <f>IF(D747="Private",E747,"")</f>
        <v/>
      </c>
      <c r="J747" s="9">
        <f>IF(D747="Private",F747,"")</f>
        <v/>
      </c>
    </row>
    <row r="748">
      <c r="A748" s="8" t="inlineStr">
        <is>
          <t>Capital University</t>
        </is>
      </c>
      <c r="B748" s="8" t="inlineStr">
        <is>
          <t>Columbus</t>
        </is>
      </c>
      <c r="C748" s="8" t="inlineStr">
        <is>
          <t>OH</t>
        </is>
      </c>
      <c r="D748" s="8" t="inlineStr">
        <is>
          <t>Private</t>
        </is>
      </c>
      <c r="E748" s="9" t="n">
        <v>22385</v>
      </c>
      <c r="F748" s="9" t="n">
        <v>51328</v>
      </c>
      <c r="G748" s="8">
        <f>RANK(F748,$F$5:$F$1561)</f>
        <v/>
      </c>
      <c r="H748" s="8" t="inlineStr"/>
      <c r="I748" s="9">
        <f>IF(D748="Private",E748,"")</f>
        <v/>
      </c>
      <c r="J748" s="9">
        <f>IF(D748="Private",F748,"")</f>
        <v/>
      </c>
    </row>
    <row r="749">
      <c r="A749" s="8" t="inlineStr">
        <is>
          <t>University of Idaho</t>
        </is>
      </c>
      <c r="B749" s="8" t="inlineStr">
        <is>
          <t>Moscow</t>
        </is>
      </c>
      <c r="C749" s="8" t="inlineStr">
        <is>
          <t>ID</t>
        </is>
      </c>
      <c r="D749" s="8" t="inlineStr">
        <is>
          <t>Public</t>
        </is>
      </c>
      <c r="E749" s="9" t="n">
        <v>12019</v>
      </c>
      <c r="F749" s="9" t="n">
        <v>51325</v>
      </c>
      <c r="G749" s="8">
        <f>RANK(F749,$F$5:$F$1561)</f>
        <v/>
      </c>
      <c r="H749" s="8" t="inlineStr"/>
      <c r="I749" s="9">
        <f>IF(D749="Private",E749,"")</f>
        <v/>
      </c>
      <c r="J749" s="9">
        <f>IF(D749="Private",F749,"")</f>
        <v/>
      </c>
    </row>
    <row r="750">
      <c r="A750" s="8" t="inlineStr">
        <is>
          <t>Alfred University</t>
        </is>
      </c>
      <c r="B750" s="8" t="inlineStr">
        <is>
          <t>Alfred</t>
        </is>
      </c>
      <c r="C750" s="8" t="inlineStr">
        <is>
          <t>NY</t>
        </is>
      </c>
      <c r="D750" s="8" t="inlineStr">
        <is>
          <t>Private</t>
        </is>
      </c>
      <c r="E750" s="9" t="n">
        <v>24627</v>
      </c>
      <c r="F750" s="9" t="n">
        <v>51312</v>
      </c>
      <c r="G750" s="8">
        <f>RANK(F750,$F$5:$F$1561)</f>
        <v/>
      </c>
      <c r="H750" s="8" t="inlineStr"/>
      <c r="I750" s="9">
        <f>IF(D750="Private",E750,"")</f>
        <v/>
      </c>
      <c r="J750" s="9">
        <f>IF(D750="Private",F750,"")</f>
        <v/>
      </c>
    </row>
    <row r="751">
      <c r="A751" s="8" t="inlineStr">
        <is>
          <t>Wisconsin Lutheran College</t>
        </is>
      </c>
      <c r="B751" s="8" t="inlineStr">
        <is>
          <t>Milwaukee</t>
        </is>
      </c>
      <c r="C751" s="8" t="inlineStr">
        <is>
          <t>WI</t>
        </is>
      </c>
      <c r="D751" s="8" t="inlineStr">
        <is>
          <t>Private</t>
        </is>
      </c>
      <c r="E751" s="9" t="n">
        <v>20614</v>
      </c>
      <c r="F751" s="9" t="n">
        <v>51291</v>
      </c>
      <c r="G751" s="8">
        <f>RANK(F751,$F$5:$F$1561)</f>
        <v/>
      </c>
      <c r="H751" s="8" t="inlineStr"/>
      <c r="I751" s="9">
        <f>IF(D751="Private",E751,"")</f>
        <v/>
      </c>
      <c r="J751" s="9">
        <f>IF(D751="Private",F751,"")</f>
        <v/>
      </c>
    </row>
    <row r="752">
      <c r="A752" s="8" t="inlineStr">
        <is>
          <t>Wingate University</t>
        </is>
      </c>
      <c r="B752" s="8" t="inlineStr">
        <is>
          <t>Wingate</t>
        </is>
      </c>
      <c r="C752" s="8" t="inlineStr">
        <is>
          <t>NC</t>
        </is>
      </c>
      <c r="D752" s="8" t="inlineStr">
        <is>
          <t>Private</t>
        </is>
      </c>
      <c r="E752" s="9" t="n">
        <v>18345</v>
      </c>
      <c r="F752" s="9" t="n">
        <v>51262</v>
      </c>
      <c r="G752" s="8">
        <f>RANK(F752,$F$5:$F$1561)</f>
        <v/>
      </c>
      <c r="H752" s="8" t="inlineStr"/>
      <c r="I752" s="9">
        <f>IF(D752="Private",E752,"")</f>
        <v/>
      </c>
      <c r="J752" s="9">
        <f>IF(D752="Private",F752,"")</f>
        <v/>
      </c>
    </row>
    <row r="753">
      <c r="A753" s="8" t="inlineStr">
        <is>
          <t>Newman University</t>
        </is>
      </c>
      <c r="B753" s="8" t="inlineStr">
        <is>
          <t>Wichita</t>
        </is>
      </c>
      <c r="C753" s="8" t="inlineStr">
        <is>
          <t>KS</t>
        </is>
      </c>
      <c r="D753" s="8" t="inlineStr">
        <is>
          <t>Private</t>
        </is>
      </c>
      <c r="E753" s="9" t="n">
        <v>18117</v>
      </c>
      <c r="F753" s="9" t="n">
        <v>51255</v>
      </c>
      <c r="G753" s="8">
        <f>RANK(F753,$F$5:$F$1561)</f>
        <v/>
      </c>
      <c r="H753" s="8" t="inlineStr"/>
      <c r="I753" s="9">
        <f>IF(D753="Private",E753,"")</f>
        <v/>
      </c>
      <c r="J753" s="9">
        <f>IF(D753="Private",F753,"")</f>
        <v/>
      </c>
    </row>
    <row r="754">
      <c r="A754" s="8" t="inlineStr">
        <is>
          <t>Trevecca Nazarene University</t>
        </is>
      </c>
      <c r="B754" s="8" t="inlineStr">
        <is>
          <t>Nashville</t>
        </is>
      </c>
      <c r="C754" s="8" t="inlineStr">
        <is>
          <t>TN</t>
        </is>
      </c>
      <c r="D754" s="8" t="inlineStr">
        <is>
          <t>Private</t>
        </is>
      </c>
      <c r="E754" s="9" t="n">
        <v>13848</v>
      </c>
      <c r="F754" s="9" t="n">
        <v>51250</v>
      </c>
      <c r="G754" s="8">
        <f>RANK(F754,$F$5:$F$1561)</f>
        <v/>
      </c>
      <c r="H754" s="8" t="inlineStr"/>
      <c r="I754" s="9">
        <f>IF(D754="Private",E754,"")</f>
        <v/>
      </c>
      <c r="J754" s="9">
        <f>IF(D754="Private",F754,"")</f>
        <v/>
      </c>
    </row>
    <row r="755">
      <c r="A755" s="8" t="inlineStr">
        <is>
          <t>Concordia University-Chicago</t>
        </is>
      </c>
      <c r="B755" s="8" t="inlineStr">
        <is>
          <t>River Forest</t>
        </is>
      </c>
      <c r="C755" s="8" t="inlineStr">
        <is>
          <t>IL</t>
        </is>
      </c>
      <c r="D755" s="8" t="inlineStr">
        <is>
          <t>Private</t>
        </is>
      </c>
      <c r="E755" s="9" t="n">
        <v>18225</v>
      </c>
      <c r="F755" s="9" t="n">
        <v>51219</v>
      </c>
      <c r="G755" s="8">
        <f>RANK(F755,$F$5:$F$1561)</f>
        <v/>
      </c>
      <c r="H755" s="8" t="inlineStr"/>
      <c r="I755" s="9">
        <f>IF(D755="Private",E755,"")</f>
        <v/>
      </c>
      <c r="J755" s="9">
        <f>IF(D755="Private",F755,"")</f>
        <v/>
      </c>
    </row>
    <row r="756">
      <c r="A756" s="8" t="inlineStr">
        <is>
          <t>Ashland University</t>
        </is>
      </c>
      <c r="B756" s="8" t="inlineStr">
        <is>
          <t>Ashland</t>
        </is>
      </c>
      <c r="C756" s="8" t="inlineStr">
        <is>
          <t>OH</t>
        </is>
      </c>
      <c r="D756" s="8" t="inlineStr">
        <is>
          <t>Private</t>
        </is>
      </c>
      <c r="E756" s="9" t="n">
        <v>21151</v>
      </c>
      <c r="F756" s="9" t="n">
        <v>51188</v>
      </c>
      <c r="G756" s="8">
        <f>RANK(F756,$F$5:$F$1561)</f>
        <v/>
      </c>
      <c r="H756" s="8" t="inlineStr"/>
      <c r="I756" s="9">
        <f>IF(D756="Private",E756,"")</f>
        <v/>
      </c>
      <c r="J756" s="9">
        <f>IF(D756="Private",F756,"")</f>
        <v/>
      </c>
    </row>
    <row r="757">
      <c r="A757" s="8" t="inlineStr">
        <is>
          <t>University of Cincinnati-Main Campus</t>
        </is>
      </c>
      <c r="B757" s="8" t="inlineStr">
        <is>
          <t>Cincinnati</t>
        </is>
      </c>
      <c r="C757" s="8" t="inlineStr">
        <is>
          <t>OH</t>
        </is>
      </c>
      <c r="D757" s="8" t="inlineStr">
        <is>
          <t>Public</t>
        </is>
      </c>
      <c r="E757" s="9" t="n">
        <v>22114</v>
      </c>
      <c r="F757" s="9" t="n">
        <v>51185</v>
      </c>
      <c r="G757" s="8">
        <f>RANK(F757,$F$5:$F$1561)</f>
        <v/>
      </c>
      <c r="H757" s="8" t="inlineStr"/>
      <c r="I757" s="9">
        <f>IF(D757="Private",E757,"")</f>
        <v/>
      </c>
      <c r="J757" s="9">
        <f>IF(D757="Private",F757,"")</f>
        <v/>
      </c>
    </row>
    <row r="758">
      <c r="A758" s="8" t="inlineStr">
        <is>
          <t>Spring Hill College</t>
        </is>
      </c>
      <c r="B758" s="8" t="inlineStr">
        <is>
          <t>Mobile</t>
        </is>
      </c>
      <c r="C758" s="8" t="inlineStr">
        <is>
          <t>AL</t>
        </is>
      </c>
      <c r="D758" s="8" t="inlineStr">
        <is>
          <t>Private</t>
        </is>
      </c>
      <c r="E758" s="9" t="n">
        <v>20891</v>
      </c>
      <c r="F758" s="9" t="n">
        <v>51166</v>
      </c>
      <c r="G758" s="8">
        <f>RANK(F758,$F$5:$F$1561)</f>
        <v/>
      </c>
      <c r="H758" s="8" t="inlineStr"/>
      <c r="I758" s="9">
        <f>IF(D758="Private",E758,"")</f>
        <v/>
      </c>
      <c r="J758" s="9">
        <f>IF(D758="Private",F758,"")</f>
        <v/>
      </c>
    </row>
    <row r="759">
      <c r="A759" s="8" t="inlineStr">
        <is>
          <t>Campbell University</t>
        </is>
      </c>
      <c r="B759" s="8" t="inlineStr">
        <is>
          <t>Buies Creek</t>
        </is>
      </c>
      <c r="C759" s="8" t="inlineStr">
        <is>
          <t>NC</t>
        </is>
      </c>
      <c r="D759" s="8" t="inlineStr">
        <is>
          <t>Private</t>
        </is>
      </c>
      <c r="E759" s="9" t="n">
        <v>22690</v>
      </c>
      <c r="F759" s="9" t="n">
        <v>51142</v>
      </c>
      <c r="G759" s="8">
        <f>RANK(F759,$F$5:$F$1561)</f>
        <v/>
      </c>
      <c r="H759" s="8" t="inlineStr"/>
      <c r="I759" s="9">
        <f>IF(D759="Private",E759,"")</f>
        <v/>
      </c>
      <c r="J759" s="9">
        <f>IF(D759="Private",F759,"")</f>
        <v/>
      </c>
    </row>
    <row r="760">
      <c r="A760" s="8" t="inlineStr">
        <is>
          <t>Doane University</t>
        </is>
      </c>
      <c r="B760" s="8" t="inlineStr">
        <is>
          <t>Crete</t>
        </is>
      </c>
      <c r="C760" s="8" t="inlineStr">
        <is>
          <t>NE</t>
        </is>
      </c>
      <c r="D760" s="8" t="inlineStr">
        <is>
          <t>Private</t>
        </is>
      </c>
      <c r="E760" s="9" t="n">
        <v>23792</v>
      </c>
      <c r="F760" s="9" t="n">
        <v>51072</v>
      </c>
      <c r="G760" s="8">
        <f>RANK(F760,$F$5:$F$1561)</f>
        <v/>
      </c>
      <c r="H760" s="8" t="inlineStr"/>
      <c r="I760" s="9">
        <f>IF(D760="Private",E760,"")</f>
        <v/>
      </c>
      <c r="J760" s="9">
        <f>IF(D760="Private",F760,"")</f>
        <v/>
      </c>
    </row>
    <row r="761">
      <c r="A761" s="8" t="inlineStr">
        <is>
          <t>Hardin-Simmons University</t>
        </is>
      </c>
      <c r="B761" s="8" t="inlineStr">
        <is>
          <t>Abilene</t>
        </is>
      </c>
      <c r="C761" s="8" t="inlineStr">
        <is>
          <t>TX</t>
        </is>
      </c>
      <c r="D761" s="8" t="inlineStr">
        <is>
          <t>Private</t>
        </is>
      </c>
      <c r="E761" s="9" t="n">
        <v>21916</v>
      </c>
      <c r="F761" s="9" t="n">
        <v>51029</v>
      </c>
      <c r="G761" s="8">
        <f>RANK(F761,$F$5:$F$1561)</f>
        <v/>
      </c>
      <c r="H761" s="8" t="inlineStr"/>
      <c r="I761" s="9">
        <f>IF(D761="Private",E761,"")</f>
        <v/>
      </c>
      <c r="J761" s="9">
        <f>IF(D761="Private",F761,"")</f>
        <v/>
      </c>
    </row>
    <row r="762">
      <c r="A762" s="8" t="inlineStr">
        <is>
          <t>University of Wisconsin-River Falls</t>
        </is>
      </c>
      <c r="B762" s="8" t="inlineStr">
        <is>
          <t>River Falls</t>
        </is>
      </c>
      <c r="C762" s="8" t="inlineStr">
        <is>
          <t>WI</t>
        </is>
      </c>
      <c r="D762" s="8" t="inlineStr">
        <is>
          <t>Public</t>
        </is>
      </c>
      <c r="E762" s="9" t="n">
        <v>14059</v>
      </c>
      <c r="F762" s="9" t="n">
        <v>50940</v>
      </c>
      <c r="G762" s="8">
        <f>RANK(F762,$F$5:$F$1561)</f>
        <v/>
      </c>
      <c r="H762" s="8" t="inlineStr"/>
      <c r="I762" s="9">
        <f>IF(D762="Private",E762,"")</f>
        <v/>
      </c>
      <c r="J762" s="9">
        <f>IF(D762="Private",F762,"")</f>
        <v/>
      </c>
    </row>
    <row r="763">
      <c r="A763" s="8" t="inlineStr">
        <is>
          <t>Texas Wesleyan University</t>
        </is>
      </c>
      <c r="B763" s="8" t="inlineStr">
        <is>
          <t>Fort Worth</t>
        </is>
      </c>
      <c r="C763" s="8" t="inlineStr">
        <is>
          <t>TX</t>
        </is>
      </c>
      <c r="D763" s="8" t="inlineStr">
        <is>
          <t>Private</t>
        </is>
      </c>
      <c r="E763" s="9" t="n">
        <v>20526</v>
      </c>
      <c r="F763" s="9" t="n">
        <v>50920</v>
      </c>
      <c r="G763" s="8">
        <f>RANK(F763,$F$5:$F$1561)</f>
        <v/>
      </c>
      <c r="H763" s="8" t="inlineStr"/>
      <c r="I763" s="9">
        <f>IF(D763="Private",E763,"")</f>
        <v/>
      </c>
      <c r="J763" s="9">
        <f>IF(D763="Private",F763,"")</f>
        <v/>
      </c>
    </row>
    <row r="764">
      <c r="A764" s="8" t="inlineStr">
        <is>
          <t>University of Alabama at Birmingham</t>
        </is>
      </c>
      <c r="B764" s="8" t="inlineStr">
        <is>
          <t>Birmingham</t>
        </is>
      </c>
      <c r="C764" s="8" t="inlineStr">
        <is>
          <t>AL</t>
        </is>
      </c>
      <c r="D764" s="8" t="inlineStr">
        <is>
          <t>Public</t>
        </is>
      </c>
      <c r="E764" s="9" t="n">
        <v>16585</v>
      </c>
      <c r="F764" s="9" t="n">
        <v>50907</v>
      </c>
      <c r="G764" s="8">
        <f>RANK(F764,$F$5:$F$1561)</f>
        <v/>
      </c>
      <c r="H764" s="8" t="inlineStr"/>
      <c r="I764" s="9">
        <f>IF(D764="Private",E764,"")</f>
        <v/>
      </c>
      <c r="J764" s="9">
        <f>IF(D764="Private",F764,"")</f>
        <v/>
      </c>
    </row>
    <row r="765">
      <c r="A765" s="8" t="inlineStr">
        <is>
          <t>Benjamin Franklin Cummings Institute of Technology</t>
        </is>
      </c>
      <c r="B765" s="8" t="inlineStr">
        <is>
          <t>Boston</t>
        </is>
      </c>
      <c r="C765" s="8" t="inlineStr">
        <is>
          <t>MA</t>
        </is>
      </c>
      <c r="D765" s="8" t="inlineStr">
        <is>
          <t>Private</t>
        </is>
      </c>
      <c r="E765" s="9" t="n">
        <v>15984</v>
      </c>
      <c r="F765" s="9" t="n">
        <v>50886</v>
      </c>
      <c r="G765" s="8">
        <f>RANK(F765,$F$5:$F$1561)</f>
        <v/>
      </c>
      <c r="H765" s="8" t="inlineStr"/>
      <c r="I765" s="9">
        <f>IF(D765="Private",E765,"")</f>
        <v/>
      </c>
      <c r="J765" s="9">
        <f>IF(D765="Private",F765,"")</f>
        <v/>
      </c>
    </row>
    <row r="766">
      <c r="A766" s="8" t="inlineStr">
        <is>
          <t>University of Missouri-St Louis</t>
        </is>
      </c>
      <c r="B766" s="8" t="inlineStr">
        <is>
          <t>Saint Louis</t>
        </is>
      </c>
      <c r="C766" s="8" t="inlineStr">
        <is>
          <t>MO</t>
        </is>
      </c>
      <c r="D766" s="8" t="inlineStr">
        <is>
          <t>Public</t>
        </is>
      </c>
      <c r="E766" s="9" t="n">
        <v>11462</v>
      </c>
      <c r="F766" s="9" t="n">
        <v>50876</v>
      </c>
      <c r="G766" s="8">
        <f>RANK(F766,$F$5:$F$1561)</f>
        <v/>
      </c>
      <c r="H766" s="8" t="inlineStr"/>
      <c r="I766" s="9">
        <f>IF(D766="Private",E766,"")</f>
        <v/>
      </c>
      <c r="J766" s="9">
        <f>IF(D766="Private",F766,"")</f>
        <v/>
      </c>
    </row>
    <row r="767">
      <c r="A767" s="8" t="inlineStr">
        <is>
          <t>Olivet Nazarene University</t>
        </is>
      </c>
      <c r="B767" s="8" t="inlineStr">
        <is>
          <t>Bourbonnais</t>
        </is>
      </c>
      <c r="C767" s="8" t="inlineStr">
        <is>
          <t>IL</t>
        </is>
      </c>
      <c r="D767" s="8" t="inlineStr">
        <is>
          <t>Private</t>
        </is>
      </c>
      <c r="E767" s="9" t="n">
        <v>20023</v>
      </c>
      <c r="F767" s="9" t="n">
        <v>50851</v>
      </c>
      <c r="G767" s="8">
        <f>RANK(F767,$F$5:$F$1561)</f>
        <v/>
      </c>
      <c r="H767" s="8" t="inlineStr"/>
      <c r="I767" s="9">
        <f>IF(D767="Private",E767,"")</f>
        <v/>
      </c>
      <c r="J767" s="9">
        <f>IF(D767="Private",F767,"")</f>
        <v/>
      </c>
    </row>
    <row r="768">
      <c r="A768" s="8" t="inlineStr">
        <is>
          <t>Lawrence University</t>
        </is>
      </c>
      <c r="B768" s="8" t="inlineStr">
        <is>
          <t>Appleton</t>
        </is>
      </c>
      <c r="C768" s="8" t="inlineStr">
        <is>
          <t>WI</t>
        </is>
      </c>
      <c r="D768" s="8" t="inlineStr">
        <is>
          <t>Private</t>
        </is>
      </c>
      <c r="E768" s="9" t="n">
        <v>21238</v>
      </c>
      <c r="F768" s="9" t="n">
        <v>50848</v>
      </c>
      <c r="G768" s="8">
        <f>RANK(F768,$F$5:$F$1561)</f>
        <v/>
      </c>
      <c r="H768" s="8" t="inlineStr"/>
      <c r="I768" s="9">
        <f>IF(D768="Private",E768,"")</f>
        <v/>
      </c>
      <c r="J768" s="9">
        <f>IF(D768="Private",F768,"")</f>
        <v/>
      </c>
    </row>
    <row r="769">
      <c r="A769" s="8" t="inlineStr">
        <is>
          <t>Stetson University</t>
        </is>
      </c>
      <c r="B769" s="8" t="inlineStr">
        <is>
          <t>DeLand</t>
        </is>
      </c>
      <c r="C769" s="8" t="inlineStr">
        <is>
          <t>FL</t>
        </is>
      </c>
      <c r="D769" s="8" t="inlineStr">
        <is>
          <t>Private</t>
        </is>
      </c>
      <c r="E769" s="9" t="n">
        <v>19900</v>
      </c>
      <c r="F769" s="9" t="n">
        <v>50835</v>
      </c>
      <c r="G769" s="8">
        <f>RANK(F769,$F$5:$F$1561)</f>
        <v/>
      </c>
      <c r="H769" s="8" t="inlineStr"/>
      <c r="I769" s="9">
        <f>IF(D769="Private",E769,"")</f>
        <v/>
      </c>
      <c r="J769" s="9">
        <f>IF(D769="Private",F769,"")</f>
        <v/>
      </c>
    </row>
    <row r="770">
      <c r="A770" s="8" t="inlineStr">
        <is>
          <t>Georgia Southern University</t>
        </is>
      </c>
      <c r="B770" s="8" t="inlineStr">
        <is>
          <t>Statesboro</t>
        </is>
      </c>
      <c r="C770" s="8" t="inlineStr">
        <is>
          <t>GA</t>
        </is>
      </c>
      <c r="D770" s="8" t="inlineStr">
        <is>
          <t>Public</t>
        </is>
      </c>
      <c r="E770" s="9" t="n">
        <v>15851</v>
      </c>
      <c r="F770" s="9" t="n">
        <v>50829</v>
      </c>
      <c r="G770" s="8">
        <f>RANK(F770,$F$5:$F$1561)</f>
        <v/>
      </c>
      <c r="H770" s="8" t="inlineStr"/>
      <c r="I770" s="9">
        <f>IF(D770="Private",E770,"")</f>
        <v/>
      </c>
      <c r="J770" s="9">
        <f>IF(D770="Private",F770,"")</f>
        <v/>
      </c>
    </row>
    <row r="771">
      <c r="A771" s="8" t="inlineStr">
        <is>
          <t>East Carolina University</t>
        </is>
      </c>
      <c r="B771" s="8" t="inlineStr">
        <is>
          <t>Greenville</t>
        </is>
      </c>
      <c r="C771" s="8" t="inlineStr">
        <is>
          <t>NC</t>
        </is>
      </c>
      <c r="D771" s="8" t="inlineStr">
        <is>
          <t>Public</t>
        </is>
      </c>
      <c r="E771" s="9" t="n">
        <v>16162</v>
      </c>
      <c r="F771" s="9" t="n">
        <v>50819</v>
      </c>
      <c r="G771" s="8">
        <f>RANK(F771,$F$5:$F$1561)</f>
        <v/>
      </c>
      <c r="H771" s="8" t="inlineStr"/>
      <c r="I771" s="9">
        <f>IF(D771="Private",E771,"")</f>
        <v/>
      </c>
      <c r="J771" s="9">
        <f>IF(D771="Private",F771,"")</f>
        <v/>
      </c>
    </row>
    <row r="772">
      <c r="A772" s="8" t="inlineStr">
        <is>
          <t>Bowie State University</t>
        </is>
      </c>
      <c r="B772" s="8" t="inlineStr">
        <is>
          <t>Bowie</t>
        </is>
      </c>
      <c r="C772" s="8" t="inlineStr">
        <is>
          <t>MD</t>
        </is>
      </c>
      <c r="D772" s="8" t="inlineStr">
        <is>
          <t>Public</t>
        </is>
      </c>
      <c r="E772" s="9" t="n">
        <v>14537</v>
      </c>
      <c r="F772" s="9" t="n">
        <v>50806</v>
      </c>
      <c r="G772" s="8">
        <f>RANK(F772,$F$5:$F$1561)</f>
        <v/>
      </c>
      <c r="H772" s="8" t="inlineStr"/>
      <c r="I772" s="9">
        <f>IF(D772="Private",E772,"")</f>
        <v/>
      </c>
      <c r="J772" s="9">
        <f>IF(D772="Private",F772,"")</f>
        <v/>
      </c>
    </row>
    <row r="773">
      <c r="A773" s="8" t="inlineStr">
        <is>
          <t>Xavier University of Louisiana</t>
        </is>
      </c>
      <c r="B773" s="8" t="inlineStr">
        <is>
          <t>New Orleans</t>
        </is>
      </c>
      <c r="C773" s="8" t="inlineStr">
        <is>
          <t>LA</t>
        </is>
      </c>
      <c r="D773" s="8" t="inlineStr">
        <is>
          <t>Private</t>
        </is>
      </c>
      <c r="E773" s="9" t="n">
        <v>18445</v>
      </c>
      <c r="F773" s="9" t="n">
        <v>50802</v>
      </c>
      <c r="G773" s="8">
        <f>RANK(F773,$F$5:$F$1561)</f>
        <v/>
      </c>
      <c r="H773" s="8" t="inlineStr"/>
      <c r="I773" s="9">
        <f>IF(D773="Private",E773,"")</f>
        <v/>
      </c>
      <c r="J773" s="9">
        <f>IF(D773="Private",F773,"")</f>
        <v/>
      </c>
    </row>
    <row r="774">
      <c r="A774" s="8" t="inlineStr">
        <is>
          <t>Eastern Illinois University</t>
        </is>
      </c>
      <c r="B774" s="8" t="inlineStr">
        <is>
          <t>Charleston</t>
        </is>
      </c>
      <c r="C774" s="8" t="inlineStr">
        <is>
          <t>IL</t>
        </is>
      </c>
      <c r="D774" s="8" t="inlineStr">
        <is>
          <t>Public</t>
        </is>
      </c>
      <c r="E774" s="9" t="n">
        <v>12872</v>
      </c>
      <c r="F774" s="9" t="n">
        <v>50741</v>
      </c>
      <c r="G774" s="8">
        <f>RANK(F774,$F$5:$F$1561)</f>
        <v/>
      </c>
      <c r="H774" s="8" t="inlineStr"/>
      <c r="I774" s="9">
        <f>IF(D774="Private",E774,"")</f>
        <v/>
      </c>
      <c r="J774" s="9">
        <f>IF(D774="Private",F774,"")</f>
        <v/>
      </c>
    </row>
    <row r="775">
      <c r="A775" s="8" t="inlineStr">
        <is>
          <t>Wichita State University</t>
        </is>
      </c>
      <c r="B775" s="8" t="inlineStr">
        <is>
          <t>Wichita</t>
        </is>
      </c>
      <c r="C775" s="8" t="inlineStr">
        <is>
          <t>KS</t>
        </is>
      </c>
      <c r="D775" s="8" t="inlineStr">
        <is>
          <t>Public</t>
        </is>
      </c>
      <c r="E775" s="9" t="n">
        <v>14372</v>
      </c>
      <c r="F775" s="9" t="n">
        <v>50739</v>
      </c>
      <c r="G775" s="8">
        <f>RANK(F775,$F$5:$F$1561)</f>
        <v/>
      </c>
      <c r="H775" s="8" t="inlineStr"/>
      <c r="I775" s="9">
        <f>IF(D775="Private",E775,"")</f>
        <v/>
      </c>
      <c r="J775" s="9">
        <f>IF(D775="Private",F775,"")</f>
        <v/>
      </c>
    </row>
    <row r="776">
      <c r="A776" s="8" t="inlineStr">
        <is>
          <t>University of Houston-Victoria</t>
        </is>
      </c>
      <c r="B776" s="8" t="inlineStr">
        <is>
          <t>Victoria</t>
        </is>
      </c>
      <c r="C776" s="8" t="inlineStr">
        <is>
          <t>TX</t>
        </is>
      </c>
      <c r="D776" s="8" t="inlineStr">
        <is>
          <t>Public</t>
        </is>
      </c>
      <c r="E776" s="9" t="n">
        <v>10872</v>
      </c>
      <c r="F776" s="9" t="n">
        <v>50692</v>
      </c>
      <c r="G776" s="8">
        <f>RANK(F776,$F$5:$F$1561)</f>
        <v/>
      </c>
      <c r="H776" s="8" t="inlineStr"/>
      <c r="I776" s="9">
        <f>IF(D776="Private",E776,"")</f>
        <v/>
      </c>
      <c r="J776" s="9">
        <f>IF(D776="Private",F776,"")</f>
        <v/>
      </c>
    </row>
    <row r="777">
      <c r="A777" s="8" t="inlineStr">
        <is>
          <t>Otterbein University</t>
        </is>
      </c>
      <c r="B777" s="8" t="inlineStr">
        <is>
          <t>Westerville</t>
        </is>
      </c>
      <c r="C777" s="8" t="inlineStr">
        <is>
          <t>OH</t>
        </is>
      </c>
      <c r="D777" s="8" t="inlineStr">
        <is>
          <t>Private</t>
        </is>
      </c>
      <c r="E777" s="9" t="n">
        <v>21920</v>
      </c>
      <c r="F777" s="9" t="n">
        <v>50687</v>
      </c>
      <c r="G777" s="8">
        <f>RANK(F777,$F$5:$F$1561)</f>
        <v/>
      </c>
      <c r="H777" s="8" t="inlineStr"/>
      <c r="I777" s="9">
        <f>IF(D777="Private",E777,"")</f>
        <v/>
      </c>
      <c r="J777" s="9">
        <f>IF(D777="Private",F777,"")</f>
        <v/>
      </c>
    </row>
    <row r="778">
      <c r="A778" s="8" t="inlineStr">
        <is>
          <t>Keene State College</t>
        </is>
      </c>
      <c r="B778" s="8" t="inlineStr">
        <is>
          <t>Keene</t>
        </is>
      </c>
      <c r="C778" s="8" t="inlineStr">
        <is>
          <t>NH</t>
        </is>
      </c>
      <c r="D778" s="8" t="inlineStr">
        <is>
          <t>Public</t>
        </is>
      </c>
      <c r="E778" s="9" t="n">
        <v>19627</v>
      </c>
      <c r="F778" s="9" t="n">
        <v>50644</v>
      </c>
      <c r="G778" s="8">
        <f>RANK(F778,$F$5:$F$1561)</f>
        <v/>
      </c>
      <c r="H778" s="8" t="inlineStr"/>
      <c r="I778" s="9">
        <f>IF(D778="Private",E778,"")</f>
        <v/>
      </c>
      <c r="J778" s="9">
        <f>IF(D778="Private",F778,"")</f>
        <v/>
      </c>
    </row>
    <row r="779">
      <c r="A779" s="8" t="inlineStr">
        <is>
          <t>Louisiana Tech University</t>
        </is>
      </c>
      <c r="B779" s="8" t="inlineStr">
        <is>
          <t>Ruston</t>
        </is>
      </c>
      <c r="C779" s="8" t="inlineStr">
        <is>
          <t>LA</t>
        </is>
      </c>
      <c r="D779" s="8" t="inlineStr">
        <is>
          <t>Public</t>
        </is>
      </c>
      <c r="E779" s="9" t="n">
        <v>12065</v>
      </c>
      <c r="F779" s="9" t="n">
        <v>50632</v>
      </c>
      <c r="G779" s="8">
        <f>RANK(F779,$F$5:$F$1561)</f>
        <v/>
      </c>
      <c r="H779" s="8" t="inlineStr"/>
      <c r="I779" s="9">
        <f>IF(D779="Private",E779,"")</f>
        <v/>
      </c>
      <c r="J779" s="9">
        <f>IF(D779="Private",F779,"")</f>
        <v/>
      </c>
    </row>
    <row r="780">
      <c r="A780" s="8" t="inlineStr">
        <is>
          <t>Sweet Briar College</t>
        </is>
      </c>
      <c r="B780" s="8" t="inlineStr">
        <is>
          <t>Sweet Briar</t>
        </is>
      </c>
      <c r="C780" s="8" t="inlineStr">
        <is>
          <t>VA</t>
        </is>
      </c>
      <c r="D780" s="8" t="inlineStr">
        <is>
          <t>Private</t>
        </is>
      </c>
      <c r="E780" s="9" t="n">
        <v>19661</v>
      </c>
      <c r="F780" s="9" t="n">
        <v>50618</v>
      </c>
      <c r="G780" s="8">
        <f>RANK(F780,$F$5:$F$1561)</f>
        <v/>
      </c>
      <c r="H780" s="8" t="inlineStr"/>
      <c r="I780" s="9">
        <f>IF(D780="Private",E780,"")</f>
        <v/>
      </c>
      <c r="J780" s="9">
        <f>IF(D780="Private",F780,"")</f>
        <v/>
      </c>
    </row>
    <row r="781">
      <c r="A781" s="8" t="inlineStr">
        <is>
          <t>Brigham Young University-Hawaii</t>
        </is>
      </c>
      <c r="B781" s="8" t="inlineStr">
        <is>
          <t>Laie</t>
        </is>
      </c>
      <c r="C781" s="8" t="inlineStr">
        <is>
          <t>HI</t>
        </is>
      </c>
      <c r="D781" s="8" t="inlineStr">
        <is>
          <t>Private</t>
        </is>
      </c>
      <c r="E781" s="9" t="n">
        <v>14904</v>
      </c>
      <c r="F781" s="9" t="n">
        <v>50616</v>
      </c>
      <c r="G781" s="8">
        <f>RANK(F781,$F$5:$F$1561)</f>
        <v/>
      </c>
      <c r="H781" s="8" t="inlineStr"/>
      <c r="I781" s="9">
        <f>IF(D781="Private",E781,"")</f>
        <v/>
      </c>
      <c r="J781" s="9">
        <f>IF(D781="Private",F781,"")</f>
        <v/>
      </c>
    </row>
    <row r="782">
      <c r="A782" s="8" t="inlineStr">
        <is>
          <t>Southern Illinois University-Carbondale</t>
        </is>
      </c>
      <c r="B782" s="8" t="inlineStr">
        <is>
          <t>Carbondale</t>
        </is>
      </c>
      <c r="C782" s="8" t="inlineStr">
        <is>
          <t>IL</t>
        </is>
      </c>
      <c r="D782" s="8" t="inlineStr">
        <is>
          <t>Public</t>
        </is>
      </c>
      <c r="E782" s="9" t="n">
        <v>16316</v>
      </c>
      <c r="F782" s="9" t="n">
        <v>50562</v>
      </c>
      <c r="G782" s="8">
        <f>RANK(F782,$F$5:$F$1561)</f>
        <v/>
      </c>
      <c r="H782" s="8" t="inlineStr"/>
      <c r="I782" s="9">
        <f>IF(D782="Private",E782,"")</f>
        <v/>
      </c>
      <c r="J782" s="9">
        <f>IF(D782="Private",F782,"")</f>
        <v/>
      </c>
    </row>
    <row r="783">
      <c r="A783" s="8" t="inlineStr">
        <is>
          <t>Millersville University of Pennsylvania</t>
        </is>
      </c>
      <c r="B783" s="8" t="inlineStr">
        <is>
          <t>Millersville</t>
        </is>
      </c>
      <c r="C783" s="8" t="inlineStr">
        <is>
          <t>PA</t>
        </is>
      </c>
      <c r="D783" s="8" t="inlineStr">
        <is>
          <t>Public</t>
        </is>
      </c>
      <c r="E783" s="9" t="n">
        <v>19504</v>
      </c>
      <c r="F783" s="9" t="n">
        <v>50554</v>
      </c>
      <c r="G783" s="8">
        <f>RANK(F783,$F$5:$F$1561)</f>
        <v/>
      </c>
      <c r="H783" s="8" t="inlineStr"/>
      <c r="I783" s="9">
        <f>IF(D783="Private",E783,"")</f>
        <v/>
      </c>
      <c r="J783" s="9">
        <f>IF(D783="Private",F783,"")</f>
        <v/>
      </c>
    </row>
    <row r="784">
      <c r="A784" s="8" t="inlineStr">
        <is>
          <t>Clarke University</t>
        </is>
      </c>
      <c r="B784" s="8" t="inlineStr">
        <is>
          <t>Dubuque</t>
        </is>
      </c>
      <c r="C784" s="8" t="inlineStr">
        <is>
          <t>IA</t>
        </is>
      </c>
      <c r="D784" s="8" t="inlineStr">
        <is>
          <t>Private</t>
        </is>
      </c>
      <c r="E784" s="9" t="n">
        <v>26777</v>
      </c>
      <c r="F784" s="9" t="n">
        <v>50541</v>
      </c>
      <c r="G784" s="8">
        <f>RANK(F784,$F$5:$F$1561)</f>
        <v/>
      </c>
      <c r="H784" s="8" t="inlineStr"/>
      <c r="I784" s="9">
        <f>IF(D784="Private",E784,"")</f>
        <v/>
      </c>
      <c r="J784" s="9">
        <f>IF(D784="Private",F784,"")</f>
        <v/>
      </c>
    </row>
    <row r="785">
      <c r="A785" s="8" t="inlineStr">
        <is>
          <t>University of Mississippi</t>
        </is>
      </c>
      <c r="B785" s="8" t="inlineStr">
        <is>
          <t>University</t>
        </is>
      </c>
      <c r="C785" s="8" t="inlineStr">
        <is>
          <t>MS</t>
        </is>
      </c>
      <c r="D785" s="8" t="inlineStr">
        <is>
          <t>Public</t>
        </is>
      </c>
      <c r="E785" s="9" t="n">
        <v>12454</v>
      </c>
      <c r="F785" s="9" t="n">
        <v>50510</v>
      </c>
      <c r="G785" s="8">
        <f>RANK(F785,$F$5:$F$1561)</f>
        <v/>
      </c>
      <c r="H785" s="8" t="inlineStr"/>
      <c r="I785" s="9">
        <f>IF(D785="Private",E785,"")</f>
        <v/>
      </c>
      <c r="J785" s="9">
        <f>IF(D785="Private",F785,"")</f>
        <v/>
      </c>
    </row>
    <row r="786">
      <c r="A786" s="8" t="inlineStr">
        <is>
          <t>Bridgewater College</t>
        </is>
      </c>
      <c r="B786" s="8" t="inlineStr">
        <is>
          <t>Bridgewater</t>
        </is>
      </c>
      <c r="C786" s="8" t="inlineStr">
        <is>
          <t>VA</t>
        </is>
      </c>
      <c r="D786" s="8" t="inlineStr">
        <is>
          <t>Private</t>
        </is>
      </c>
      <c r="E786" s="9" t="n">
        <v>19119</v>
      </c>
      <c r="F786" s="9" t="n">
        <v>50510</v>
      </c>
      <c r="G786" s="8">
        <f>RANK(F786,$F$5:$F$1561)</f>
        <v/>
      </c>
      <c r="H786" s="8" t="inlineStr"/>
      <c r="I786" s="9">
        <f>IF(D786="Private",E786,"")</f>
        <v/>
      </c>
      <c r="J786" s="9">
        <f>IF(D786="Private",F786,"")</f>
        <v/>
      </c>
    </row>
    <row r="787">
      <c r="A787" s="8" t="inlineStr">
        <is>
          <t>Georgetown College</t>
        </is>
      </c>
      <c r="B787" s="8" t="inlineStr">
        <is>
          <t>Georgetown</t>
        </is>
      </c>
      <c r="C787" s="8" t="inlineStr">
        <is>
          <t>KY</t>
        </is>
      </c>
      <c r="D787" s="8" t="inlineStr">
        <is>
          <t>Private</t>
        </is>
      </c>
      <c r="E787" s="9" t="n">
        <v>14853</v>
      </c>
      <c r="F787" s="9" t="n">
        <v>50486</v>
      </c>
      <c r="G787" s="8">
        <f>RANK(F787,$F$5:$F$1561)</f>
        <v/>
      </c>
      <c r="H787" s="8" t="inlineStr"/>
      <c r="I787" s="9">
        <f>IF(D787="Private",E787,"")</f>
        <v/>
      </c>
      <c r="J787" s="9">
        <f>IF(D787="Private",F787,"")</f>
        <v/>
      </c>
    </row>
    <row r="788">
      <c r="A788" s="8" t="inlineStr">
        <is>
          <t>Indiana University-Purdue University-Indianapolis</t>
        </is>
      </c>
      <c r="B788" s="8" t="inlineStr">
        <is>
          <t>Indianapolis</t>
        </is>
      </c>
      <c r="C788" s="8" t="inlineStr">
        <is>
          <t>IN</t>
        </is>
      </c>
      <c r="D788" s="8" t="inlineStr">
        <is>
          <t>Public</t>
        </is>
      </c>
      <c r="E788" s="9" t="n">
        <v>10947</v>
      </c>
      <c r="F788" s="9" t="n">
        <v>50477</v>
      </c>
      <c r="G788" s="8">
        <f>RANK(F788,$F$5:$F$1561)</f>
        <v/>
      </c>
      <c r="H788" s="8" t="inlineStr"/>
      <c r="I788" s="9">
        <f>IF(D788="Private",E788,"")</f>
        <v/>
      </c>
      <c r="J788" s="9">
        <f>IF(D788="Private",F788,"")</f>
        <v/>
      </c>
    </row>
    <row r="789">
      <c r="A789" s="8" t="inlineStr">
        <is>
          <t>Siena Heights University</t>
        </is>
      </c>
      <c r="B789" s="8" t="inlineStr">
        <is>
          <t>Adrian</t>
        </is>
      </c>
      <c r="C789" s="8" t="inlineStr">
        <is>
          <t>MI</t>
        </is>
      </c>
      <c r="D789" s="8" t="inlineStr">
        <is>
          <t>Private</t>
        </is>
      </c>
      <c r="E789" s="9" t="n">
        <v>21553</v>
      </c>
      <c r="F789" s="9" t="n">
        <v>50438</v>
      </c>
      <c r="G789" s="8">
        <f>RANK(F789,$F$5:$F$1561)</f>
        <v/>
      </c>
      <c r="H789" s="8" t="inlineStr"/>
      <c r="I789" s="9">
        <f>IF(D789="Private",E789,"")</f>
        <v/>
      </c>
      <c r="J789" s="9">
        <f>IF(D789="Private",F789,"")</f>
        <v/>
      </c>
    </row>
    <row r="790">
      <c r="A790" s="8" t="inlineStr">
        <is>
          <t>University of Indianapolis</t>
        </is>
      </c>
      <c r="B790" s="8" t="inlineStr">
        <is>
          <t>Indianapolis</t>
        </is>
      </c>
      <c r="C790" s="8" t="inlineStr">
        <is>
          <t>IN</t>
        </is>
      </c>
      <c r="D790" s="8" t="inlineStr">
        <is>
          <t>Private</t>
        </is>
      </c>
      <c r="E790" s="9" t="n">
        <v>21411</v>
      </c>
      <c r="F790" s="9" t="n">
        <v>50418</v>
      </c>
      <c r="G790" s="8">
        <f>RANK(F790,$F$5:$F$1561)</f>
        <v/>
      </c>
      <c r="H790" s="8" t="inlineStr"/>
      <c r="I790" s="9">
        <f>IF(D790="Private",E790,"")</f>
        <v/>
      </c>
      <c r="J790" s="9">
        <f>IF(D790="Private",F790,"")</f>
        <v/>
      </c>
    </row>
    <row r="791">
      <c r="A791" s="8" t="inlineStr">
        <is>
          <t>New Jersey City University</t>
        </is>
      </c>
      <c r="B791" s="8" t="inlineStr">
        <is>
          <t>Jersey City</t>
        </is>
      </c>
      <c r="C791" s="8" t="inlineStr">
        <is>
          <t>NJ</t>
        </is>
      </c>
      <c r="D791" s="8" t="inlineStr">
        <is>
          <t>Public</t>
        </is>
      </c>
      <c r="E791" s="9" t="n">
        <v>13718</v>
      </c>
      <c r="F791" s="9" t="n">
        <v>50417</v>
      </c>
      <c r="G791" s="8">
        <f>RANK(F791,$F$5:$F$1561)</f>
        <v/>
      </c>
      <c r="H791" s="8" t="inlineStr"/>
      <c r="I791" s="9">
        <f>IF(D791="Private",E791,"")</f>
        <v/>
      </c>
      <c r="J791" s="9">
        <f>IF(D791="Private",F791,"")</f>
        <v/>
      </c>
    </row>
    <row r="792">
      <c r="A792" s="8" t="inlineStr">
        <is>
          <t>University of Sioux Falls</t>
        </is>
      </c>
      <c r="B792" s="8" t="inlineStr">
        <is>
          <t>Sioux Falls</t>
        </is>
      </c>
      <c r="C792" s="8" t="inlineStr">
        <is>
          <t>SD</t>
        </is>
      </c>
      <c r="D792" s="8" t="inlineStr">
        <is>
          <t>Private</t>
        </is>
      </c>
      <c r="E792" s="9" t="n">
        <v>21076</v>
      </c>
      <c r="F792" s="9" t="n">
        <v>50391</v>
      </c>
      <c r="G792" s="8">
        <f>RANK(F792,$F$5:$F$1561)</f>
        <v/>
      </c>
      <c r="H792" s="8" t="inlineStr"/>
      <c r="I792" s="9">
        <f>IF(D792="Private",E792,"")</f>
        <v/>
      </c>
      <c r="J792" s="9">
        <f>IF(D792="Private",F792,"")</f>
        <v/>
      </c>
    </row>
    <row r="793">
      <c r="A793" s="8" t="inlineStr">
        <is>
          <t>Andrews University</t>
        </is>
      </c>
      <c r="B793" s="8" t="inlineStr">
        <is>
          <t>Berrien Springs</t>
        </is>
      </c>
      <c r="C793" s="8" t="inlineStr">
        <is>
          <t>MI</t>
        </is>
      </c>
      <c r="D793" s="8" t="inlineStr">
        <is>
          <t>Private</t>
        </is>
      </c>
      <c r="E793" s="9" t="n">
        <v>20805</v>
      </c>
      <c r="F793" s="9" t="n">
        <v>50391</v>
      </c>
      <c r="G793" s="8">
        <f>RANK(F793,$F$5:$F$1561)</f>
        <v/>
      </c>
      <c r="H793" s="8" t="inlineStr"/>
      <c r="I793" s="9">
        <f>IF(D793="Private",E793,"")</f>
        <v/>
      </c>
      <c r="J793" s="9">
        <f>IF(D793="Private",F793,"")</f>
        <v/>
      </c>
    </row>
    <row r="794">
      <c r="A794" s="8" t="inlineStr">
        <is>
          <t>SUNY College of Technology at Alfred</t>
        </is>
      </c>
      <c r="B794" s="8" t="inlineStr">
        <is>
          <t>Alfred</t>
        </is>
      </c>
      <c r="C794" s="8" t="inlineStr">
        <is>
          <t>NY</t>
        </is>
      </c>
      <c r="D794" s="8" t="inlineStr">
        <is>
          <t>Public</t>
        </is>
      </c>
      <c r="E794" s="9" t="n">
        <v>17248</v>
      </c>
      <c r="F794" s="9" t="n">
        <v>50342</v>
      </c>
      <c r="G794" s="8">
        <f>RANK(F794,$F$5:$F$1561)</f>
        <v/>
      </c>
      <c r="H794" s="8" t="inlineStr"/>
      <c r="I794" s="9">
        <f>IF(D794="Private",E794,"")</f>
        <v/>
      </c>
      <c r="J794" s="9">
        <f>IF(D794="Private",F794,"")</f>
        <v/>
      </c>
    </row>
    <row r="795">
      <c r="A795" s="8" t="inlineStr">
        <is>
          <t>Oklahoma City University</t>
        </is>
      </c>
      <c r="B795" s="8" t="inlineStr">
        <is>
          <t>Oklahoma City</t>
        </is>
      </c>
      <c r="C795" s="8" t="inlineStr">
        <is>
          <t>OK</t>
        </is>
      </c>
      <c r="D795" s="8" t="inlineStr">
        <is>
          <t>Private</t>
        </is>
      </c>
      <c r="E795" s="9" t="n">
        <v>26834</v>
      </c>
      <c r="F795" s="9" t="n">
        <v>50325</v>
      </c>
      <c r="G795" s="8">
        <f>RANK(F795,$F$5:$F$1561)</f>
        <v/>
      </c>
      <c r="H795" s="8" t="inlineStr"/>
      <c r="I795" s="9">
        <f>IF(D795="Private",E795,"")</f>
        <v/>
      </c>
      <c r="J795" s="9">
        <f>IF(D795="Private",F795,"")</f>
        <v/>
      </c>
    </row>
    <row r="796">
      <c r="A796" s="8" t="inlineStr">
        <is>
          <t>Northeastern Illinois University</t>
        </is>
      </c>
      <c r="B796" s="8" t="inlineStr">
        <is>
          <t>Chicago</t>
        </is>
      </c>
      <c r="C796" s="8" t="inlineStr">
        <is>
          <t>IL</t>
        </is>
      </c>
      <c r="D796" s="8" t="inlineStr">
        <is>
          <t>Public</t>
        </is>
      </c>
      <c r="E796" s="9" t="n">
        <v>13555</v>
      </c>
      <c r="F796" s="9" t="n">
        <v>50312</v>
      </c>
      <c r="G796" s="8">
        <f>RANK(F796,$F$5:$F$1561)</f>
        <v/>
      </c>
      <c r="H796" s="8" t="inlineStr"/>
      <c r="I796" s="9">
        <f>IF(D796="Private",E796,"")</f>
        <v/>
      </c>
      <c r="J796" s="9">
        <f>IF(D796="Private",F796,"")</f>
        <v/>
      </c>
    </row>
    <row r="797">
      <c r="A797" s="8" t="inlineStr">
        <is>
          <t>Bemidji State University</t>
        </is>
      </c>
      <c r="B797" s="8" t="inlineStr">
        <is>
          <t>Bemidji</t>
        </is>
      </c>
      <c r="C797" s="8" t="inlineStr">
        <is>
          <t>MN</t>
        </is>
      </c>
      <c r="D797" s="8" t="inlineStr">
        <is>
          <t>Public</t>
        </is>
      </c>
      <c r="E797" s="9" t="n">
        <v>16476</v>
      </c>
      <c r="F797" s="9" t="n">
        <v>50297</v>
      </c>
      <c r="G797" s="8">
        <f>RANK(F797,$F$5:$F$1561)</f>
        <v/>
      </c>
      <c r="H797" s="8" t="inlineStr"/>
      <c r="I797" s="9">
        <f>IF(D797="Private",E797,"")</f>
        <v/>
      </c>
      <c r="J797" s="9">
        <f>IF(D797="Private",F797,"")</f>
        <v/>
      </c>
    </row>
    <row r="798">
      <c r="A798" s="8" t="inlineStr">
        <is>
          <t>Harding University</t>
        </is>
      </c>
      <c r="B798" s="8" t="inlineStr">
        <is>
          <t>Searcy</t>
        </is>
      </c>
      <c r="C798" s="8" t="inlineStr">
        <is>
          <t>AR</t>
        </is>
      </c>
      <c r="D798" s="8" t="inlineStr">
        <is>
          <t>Private</t>
        </is>
      </c>
      <c r="E798" s="9" t="n">
        <v>20429</v>
      </c>
      <c r="F798" s="9" t="n">
        <v>50273</v>
      </c>
      <c r="G798" s="8">
        <f>RANK(F798,$F$5:$F$1561)</f>
        <v/>
      </c>
      <c r="H798" s="8" t="inlineStr"/>
      <c r="I798" s="9">
        <f>IF(D798="Private",E798,"")</f>
        <v/>
      </c>
      <c r="J798" s="9">
        <f>IF(D798="Private",F798,"")</f>
        <v/>
      </c>
    </row>
    <row r="799">
      <c r="A799" s="8" t="inlineStr">
        <is>
          <t>Chestnut Hill College</t>
        </is>
      </c>
      <c r="B799" s="8" t="inlineStr">
        <is>
          <t>Philadelphia</t>
        </is>
      </c>
      <c r="C799" s="8" t="inlineStr">
        <is>
          <t>PA</t>
        </is>
      </c>
      <c r="D799" s="8" t="inlineStr">
        <is>
          <t>Private</t>
        </is>
      </c>
      <c r="E799" s="9" t="n">
        <v>26516</v>
      </c>
      <c r="F799" s="9" t="n">
        <v>50257</v>
      </c>
      <c r="G799" s="8">
        <f>RANK(F799,$F$5:$F$1561)</f>
        <v/>
      </c>
      <c r="H799" s="8" t="inlineStr"/>
      <c r="I799" s="9">
        <f>IF(D799="Private",E799,"")</f>
        <v/>
      </c>
      <c r="J799" s="9">
        <f>IF(D799="Private",F799,"")</f>
        <v/>
      </c>
    </row>
    <row r="800">
      <c r="A800" s="8" t="inlineStr">
        <is>
          <t>University of Lynchburg</t>
        </is>
      </c>
      <c r="B800" s="8" t="inlineStr">
        <is>
          <t>Lynchburg</t>
        </is>
      </c>
      <c r="C800" s="8" t="inlineStr">
        <is>
          <t>VA</t>
        </is>
      </c>
      <c r="D800" s="8" t="inlineStr">
        <is>
          <t>Private</t>
        </is>
      </c>
      <c r="E800" s="9" t="n">
        <v>24265</v>
      </c>
      <c r="F800" s="9" t="n">
        <v>50248</v>
      </c>
      <c r="G800" s="8">
        <f>RANK(F800,$F$5:$F$1561)</f>
        <v/>
      </c>
      <c r="H800" s="8" t="inlineStr"/>
      <c r="I800" s="9">
        <f>IF(D800="Private",E800,"")</f>
        <v/>
      </c>
      <c r="J800" s="9">
        <f>IF(D800="Private",F800,"")</f>
        <v/>
      </c>
    </row>
    <row r="801">
      <c r="A801" s="8" t="inlineStr">
        <is>
          <t>Rhode Island College</t>
        </is>
      </c>
      <c r="B801" s="8" t="inlineStr">
        <is>
          <t>Providence</t>
        </is>
      </c>
      <c r="C801" s="8" t="inlineStr">
        <is>
          <t>RI</t>
        </is>
      </c>
      <c r="D801" s="8" t="inlineStr">
        <is>
          <t>Public</t>
        </is>
      </c>
      <c r="E801" s="9" t="n">
        <v>10986</v>
      </c>
      <c r="F801" s="9" t="n">
        <v>50237</v>
      </c>
      <c r="G801" s="8">
        <f>RANK(F801,$F$5:$F$1561)</f>
        <v/>
      </c>
      <c r="H801" s="8" t="inlineStr"/>
      <c r="I801" s="9">
        <f>IF(D801="Private",E801,"")</f>
        <v/>
      </c>
      <c r="J801" s="9">
        <f>IF(D801="Private",F801,"")</f>
        <v/>
      </c>
    </row>
    <row r="802">
      <c r="A802" s="8" t="inlineStr">
        <is>
          <t>College of Charleston</t>
        </is>
      </c>
      <c r="B802" s="8" t="inlineStr">
        <is>
          <t>Charleston</t>
        </is>
      </c>
      <c r="C802" s="8" t="inlineStr">
        <is>
          <t>SC</t>
        </is>
      </c>
      <c r="D802" s="8" t="inlineStr">
        <is>
          <t>Public</t>
        </is>
      </c>
      <c r="E802" s="9" t="n">
        <v>18394</v>
      </c>
      <c r="F802" s="9" t="n">
        <v>50235</v>
      </c>
      <c r="G802" s="8">
        <f>RANK(F802,$F$5:$F$1561)</f>
        <v/>
      </c>
      <c r="H802" s="8" t="inlineStr"/>
      <c r="I802" s="9">
        <f>IF(D802="Private",E802,"")</f>
        <v/>
      </c>
      <c r="J802" s="9">
        <f>IF(D802="Private",F802,"")</f>
        <v/>
      </c>
    </row>
    <row r="803">
      <c r="A803" s="8" t="inlineStr">
        <is>
          <t>Seton Hill University</t>
        </is>
      </c>
      <c r="B803" s="8" t="inlineStr">
        <is>
          <t>Greensburg</t>
        </is>
      </c>
      <c r="C803" s="8" t="inlineStr">
        <is>
          <t>PA</t>
        </is>
      </c>
      <c r="D803" s="8" t="inlineStr">
        <is>
          <t>Private</t>
        </is>
      </c>
      <c r="E803" s="9" t="n">
        <v>22885</v>
      </c>
      <c r="F803" s="9" t="n">
        <v>50129</v>
      </c>
      <c r="G803" s="8">
        <f>RANK(F803,$F$5:$F$1561)</f>
        <v/>
      </c>
      <c r="H803" s="8" t="inlineStr"/>
      <c r="I803" s="9">
        <f>IF(D803="Private",E803,"")</f>
        <v/>
      </c>
      <c r="J803" s="9">
        <f>IF(D803="Private",F803,"")</f>
        <v/>
      </c>
    </row>
    <row r="804">
      <c r="A804" s="8" t="inlineStr">
        <is>
          <t>Northern Arizona University</t>
        </is>
      </c>
      <c r="B804" s="8" t="inlineStr">
        <is>
          <t>Flagstaff</t>
        </is>
      </c>
      <c r="C804" s="8" t="inlineStr">
        <is>
          <t>AZ</t>
        </is>
      </c>
      <c r="D804" s="8" t="inlineStr">
        <is>
          <t>Public</t>
        </is>
      </c>
      <c r="E804" s="9" t="n">
        <v>14636</v>
      </c>
      <c r="F804" s="9" t="n">
        <v>50118</v>
      </c>
      <c r="G804" s="8">
        <f>RANK(F804,$F$5:$F$1561)</f>
        <v/>
      </c>
      <c r="H804" s="8" t="inlineStr"/>
      <c r="I804" s="9">
        <f>IF(D804="Private",E804,"")</f>
        <v/>
      </c>
      <c r="J804" s="9">
        <f>IF(D804="Private",F804,"")</f>
        <v/>
      </c>
    </row>
    <row r="805">
      <c r="A805" s="8" t="inlineStr">
        <is>
          <t>Rocky Mountain College</t>
        </is>
      </c>
      <c r="B805" s="8" t="inlineStr">
        <is>
          <t>Billings</t>
        </is>
      </c>
      <c r="C805" s="8" t="inlineStr">
        <is>
          <t>MT</t>
        </is>
      </c>
      <c r="D805" s="8" t="inlineStr">
        <is>
          <t>Private</t>
        </is>
      </c>
      <c r="E805" s="9" t="n">
        <v>19930</v>
      </c>
      <c r="F805" s="9" t="n">
        <v>50117</v>
      </c>
      <c r="G805" s="8">
        <f>RANK(F805,$F$5:$F$1561)</f>
        <v/>
      </c>
      <c r="H805" s="8" t="inlineStr"/>
      <c r="I805" s="9">
        <f>IF(D805="Private",E805,"")</f>
        <v/>
      </c>
      <c r="J805" s="9">
        <f>IF(D805="Private",F805,"")</f>
        <v/>
      </c>
    </row>
    <row r="806">
      <c r="A806" s="8" t="inlineStr">
        <is>
          <t>Loyola University New Orleans</t>
        </is>
      </c>
      <c r="B806" s="8" t="inlineStr">
        <is>
          <t>New Orleans</t>
        </is>
      </c>
      <c r="C806" s="8" t="inlineStr">
        <is>
          <t>LA</t>
        </is>
      </c>
      <c r="D806" s="8" t="inlineStr">
        <is>
          <t>Private</t>
        </is>
      </c>
      <c r="E806" s="9" t="n">
        <v>22123</v>
      </c>
      <c r="F806" s="9" t="n">
        <v>50080</v>
      </c>
      <c r="G806" s="8">
        <f>RANK(F806,$F$5:$F$1561)</f>
        <v/>
      </c>
      <c r="H806" s="8" t="inlineStr"/>
      <c r="I806" s="9">
        <f>IF(D806="Private",E806,"")</f>
        <v/>
      </c>
      <c r="J806" s="9">
        <f>IF(D806="Private",F806,"")</f>
        <v/>
      </c>
    </row>
    <row r="807">
      <c r="A807" s="8" t="inlineStr">
        <is>
          <t>San Diego Christian College</t>
        </is>
      </c>
      <c r="B807" s="8" t="inlineStr">
        <is>
          <t>Spring Valley</t>
        </is>
      </c>
      <c r="C807" s="8" t="inlineStr">
        <is>
          <t>CA</t>
        </is>
      </c>
      <c r="D807" s="8" t="inlineStr">
        <is>
          <t>Private</t>
        </is>
      </c>
      <c r="E807" s="9" t="n">
        <v>34359</v>
      </c>
      <c r="F807" s="9" t="n">
        <v>50020</v>
      </c>
      <c r="G807" s="8">
        <f>RANK(F807,$F$5:$F$1561)</f>
        <v/>
      </c>
      <c r="H807" s="8" t="inlineStr"/>
      <c r="I807" s="9">
        <f>IF(D807="Private",E807,"")</f>
        <v/>
      </c>
      <c r="J807" s="9">
        <f>IF(D807="Private",F807,"")</f>
        <v/>
      </c>
    </row>
    <row r="808">
      <c r="A808" s="8" t="inlineStr">
        <is>
          <t>Tarleton State University</t>
        </is>
      </c>
      <c r="B808" s="8" t="inlineStr">
        <is>
          <t>Stephenville</t>
        </is>
      </c>
      <c r="C808" s="8" t="inlineStr">
        <is>
          <t>TX</t>
        </is>
      </c>
      <c r="D808" s="8" t="inlineStr">
        <is>
          <t>Public</t>
        </is>
      </c>
      <c r="E808" s="9" t="n">
        <v>19151</v>
      </c>
      <c r="F808" s="9" t="n">
        <v>49993</v>
      </c>
      <c r="G808" s="8">
        <f>RANK(F808,$F$5:$F$1561)</f>
        <v/>
      </c>
      <c r="H808" s="8" t="inlineStr"/>
      <c r="I808" s="9">
        <f>IF(D808="Private",E808,"")</f>
        <v/>
      </c>
      <c r="J808" s="9">
        <f>IF(D808="Private",F808,"")</f>
        <v/>
      </c>
    </row>
    <row r="809">
      <c r="A809" s="8" t="inlineStr">
        <is>
          <t>University of Toledo</t>
        </is>
      </c>
      <c r="B809" s="8" t="inlineStr">
        <is>
          <t>Toledo</t>
        </is>
      </c>
      <c r="C809" s="8" t="inlineStr">
        <is>
          <t>OH</t>
        </is>
      </c>
      <c r="D809" s="8" t="inlineStr">
        <is>
          <t>Public</t>
        </is>
      </c>
      <c r="E809" s="9" t="n">
        <v>16650</v>
      </c>
      <c r="F809" s="9" t="n">
        <v>49962</v>
      </c>
      <c r="G809" s="8">
        <f>RANK(F809,$F$5:$F$1561)</f>
        <v/>
      </c>
      <c r="H809" s="8" t="inlineStr"/>
      <c r="I809" s="9">
        <f>IF(D809="Private",E809,"")</f>
        <v/>
      </c>
      <c r="J809" s="9">
        <f>IF(D809="Private",F809,"")</f>
        <v/>
      </c>
    </row>
    <row r="810">
      <c r="A810" s="8" t="inlineStr">
        <is>
          <t>Western Oregon University</t>
        </is>
      </c>
      <c r="B810" s="8" t="inlineStr">
        <is>
          <t>Monmouth</t>
        </is>
      </c>
      <c r="C810" s="8" t="inlineStr">
        <is>
          <t>OR</t>
        </is>
      </c>
      <c r="D810" s="8" t="inlineStr">
        <is>
          <t>Public</t>
        </is>
      </c>
      <c r="E810" s="9" t="n">
        <v>15027</v>
      </c>
      <c r="F810" s="9" t="n">
        <v>49954</v>
      </c>
      <c r="G810" s="8">
        <f>RANK(F810,$F$5:$F$1561)</f>
        <v/>
      </c>
      <c r="H810" s="8" t="inlineStr"/>
      <c r="I810" s="9">
        <f>IF(D810="Private",E810,"")</f>
        <v/>
      </c>
      <c r="J810" s="9">
        <f>IF(D810="Private",F810,"")</f>
        <v/>
      </c>
    </row>
    <row r="811">
      <c r="A811" s="8" t="inlineStr">
        <is>
          <t>Cleveland State University</t>
        </is>
      </c>
      <c r="B811" s="8" t="inlineStr">
        <is>
          <t>Cleveland</t>
        </is>
      </c>
      <c r="C811" s="8" t="inlineStr">
        <is>
          <t>OH</t>
        </is>
      </c>
      <c r="D811" s="8" t="inlineStr">
        <is>
          <t>Public</t>
        </is>
      </c>
      <c r="E811" s="9" t="n">
        <v>15544</v>
      </c>
      <c r="F811" s="9" t="n">
        <v>49935</v>
      </c>
      <c r="G811" s="8">
        <f>RANK(F811,$F$5:$F$1561)</f>
        <v/>
      </c>
      <c r="H811" s="8" t="inlineStr"/>
      <c r="I811" s="9">
        <f>IF(D811="Private",E811,"")</f>
        <v/>
      </c>
      <c r="J811" s="9">
        <f>IF(D811="Private",F811,"")</f>
        <v/>
      </c>
    </row>
    <row r="812">
      <c r="A812" s="8" t="inlineStr">
        <is>
          <t>California State University-Dominguez Hills</t>
        </is>
      </c>
      <c r="B812" s="8" t="inlineStr">
        <is>
          <t>Carson</t>
        </is>
      </c>
      <c r="C812" s="8" t="inlineStr">
        <is>
          <t>CA</t>
        </is>
      </c>
      <c r="D812" s="8" t="inlineStr">
        <is>
          <t>Public</t>
        </is>
      </c>
      <c r="E812" s="9" t="n">
        <v>3724</v>
      </c>
      <c r="F812" s="9" t="n">
        <v>49934</v>
      </c>
      <c r="G812" s="8">
        <f>RANK(F812,$F$5:$F$1561)</f>
        <v/>
      </c>
      <c r="H812" s="8" t="inlineStr"/>
      <c r="I812" s="9">
        <f>IF(D812="Private",E812,"")</f>
        <v/>
      </c>
      <c r="J812" s="9">
        <f>IF(D812="Private",F812,"")</f>
        <v/>
      </c>
    </row>
    <row r="813">
      <c r="A813" s="8" t="inlineStr">
        <is>
          <t>Metropolitan State University of Denver</t>
        </is>
      </c>
      <c r="B813" s="8" t="inlineStr">
        <is>
          <t>Denver</t>
        </is>
      </c>
      <c r="C813" s="8" t="inlineStr">
        <is>
          <t>CO</t>
        </is>
      </c>
      <c r="D813" s="8" t="inlineStr">
        <is>
          <t>Public</t>
        </is>
      </c>
      <c r="E813" s="9" t="n">
        <v>13806</v>
      </c>
      <c r="F813" s="9" t="n">
        <v>49932</v>
      </c>
      <c r="G813" s="8">
        <f>RANK(F813,$F$5:$F$1561)</f>
        <v/>
      </c>
      <c r="H813" s="8" t="inlineStr"/>
      <c r="I813" s="9">
        <f>IF(D813="Private",E813,"")</f>
        <v/>
      </c>
      <c r="J813" s="9">
        <f>IF(D813="Private",F813,"")</f>
        <v/>
      </c>
    </row>
    <row r="814">
      <c r="A814" s="8" t="inlineStr">
        <is>
          <t>Oglethorpe University</t>
        </is>
      </c>
      <c r="B814" s="8" t="inlineStr">
        <is>
          <t>Atlanta</t>
        </is>
      </c>
      <c r="C814" s="8" t="inlineStr">
        <is>
          <t>GA</t>
        </is>
      </c>
      <c r="D814" s="8" t="inlineStr">
        <is>
          <t>Private</t>
        </is>
      </c>
      <c r="E814" s="9" t="n">
        <v>14079</v>
      </c>
      <c r="F814" s="9" t="n">
        <v>49918</v>
      </c>
      <c r="G814" s="8">
        <f>RANK(F814,$F$5:$F$1561)</f>
        <v/>
      </c>
      <c r="H814" s="8" t="inlineStr"/>
      <c r="I814" s="9">
        <f>IF(D814="Private",E814,"")</f>
        <v/>
      </c>
      <c r="J814" s="9">
        <f>IF(D814="Private",F814,"")</f>
        <v/>
      </c>
    </row>
    <row r="815">
      <c r="A815" s="8" t="inlineStr">
        <is>
          <t>Geneva College</t>
        </is>
      </c>
      <c r="B815" s="8" t="inlineStr">
        <is>
          <t>Beaver Falls</t>
        </is>
      </c>
      <c r="C815" s="8" t="inlineStr">
        <is>
          <t>PA</t>
        </is>
      </c>
      <c r="D815" s="8" t="inlineStr">
        <is>
          <t>Private</t>
        </is>
      </c>
      <c r="E815" s="9" t="n">
        <v>18409</v>
      </c>
      <c r="F815" s="9" t="n">
        <v>49884</v>
      </c>
      <c r="G815" s="8">
        <f>RANK(F815,$F$5:$F$1561)</f>
        <v/>
      </c>
      <c r="H815" s="8" t="inlineStr"/>
      <c r="I815" s="9">
        <f>IF(D815="Private",E815,"")</f>
        <v/>
      </c>
      <c r="J815" s="9">
        <f>IF(D815="Private",F815,"")</f>
        <v/>
      </c>
    </row>
    <row r="816">
      <c r="A816" s="8" t="inlineStr">
        <is>
          <t>University of Alaska Anchorage</t>
        </is>
      </c>
      <c r="B816" s="8" t="inlineStr">
        <is>
          <t>Anchorage</t>
        </is>
      </c>
      <c r="C816" s="8" t="inlineStr">
        <is>
          <t>AK</t>
        </is>
      </c>
      <c r="D816" s="8" t="inlineStr">
        <is>
          <t>Public</t>
        </is>
      </c>
      <c r="E816" s="9" t="n">
        <v>12531</v>
      </c>
      <c r="F816" s="9" t="n">
        <v>49846</v>
      </c>
      <c r="G816" s="8">
        <f>RANK(F816,$F$5:$F$1561)</f>
        <v/>
      </c>
      <c r="H816" s="8" t="inlineStr"/>
      <c r="I816" s="9">
        <f>IF(D816="Private",E816,"")</f>
        <v/>
      </c>
      <c r="J816" s="9">
        <f>IF(D816="Private",F816,"")</f>
        <v/>
      </c>
    </row>
    <row r="817">
      <c r="A817" s="8" t="inlineStr">
        <is>
          <t>Dakota Wesleyan University</t>
        </is>
      </c>
      <c r="B817" s="8" t="inlineStr">
        <is>
          <t>Mitchell</t>
        </is>
      </c>
      <c r="C817" s="8" t="inlineStr">
        <is>
          <t>SD</t>
        </is>
      </c>
      <c r="D817" s="8" t="inlineStr">
        <is>
          <t>Private</t>
        </is>
      </c>
      <c r="E817" s="9" t="n">
        <v>21847</v>
      </c>
      <c r="F817" s="9" t="n">
        <v>49821</v>
      </c>
      <c r="G817" s="8">
        <f>RANK(F817,$F$5:$F$1561)</f>
        <v/>
      </c>
      <c r="H817" s="8" t="inlineStr"/>
      <c r="I817" s="9">
        <f>IF(D817="Private",E817,"")</f>
        <v/>
      </c>
      <c r="J817" s="9">
        <f>IF(D817="Private",F817,"")</f>
        <v/>
      </c>
    </row>
    <row r="818">
      <c r="A818" s="8" t="inlineStr">
        <is>
          <t>Slippery Rock University of Pennsylvania</t>
        </is>
      </c>
      <c r="B818" s="8" t="inlineStr">
        <is>
          <t>Slippery Rock</t>
        </is>
      </c>
      <c r="C818" s="8" t="inlineStr">
        <is>
          <t>PA</t>
        </is>
      </c>
      <c r="D818" s="8" t="inlineStr">
        <is>
          <t>Public</t>
        </is>
      </c>
      <c r="E818" s="9" t="n">
        <v>14058</v>
      </c>
      <c r="F818" s="9" t="n">
        <v>49804</v>
      </c>
      <c r="G818" s="8">
        <f>RANK(F818,$F$5:$F$1561)</f>
        <v/>
      </c>
      <c r="H818" s="8" t="inlineStr"/>
      <c r="I818" s="9">
        <f>IF(D818="Private",E818,"")</f>
        <v/>
      </c>
      <c r="J818" s="9">
        <f>IF(D818="Private",F818,"")</f>
        <v/>
      </c>
    </row>
    <row r="819">
      <c r="A819" s="8" t="inlineStr">
        <is>
          <t>Hastings College</t>
        </is>
      </c>
      <c r="B819" s="8" t="inlineStr">
        <is>
          <t>Hastings</t>
        </is>
      </c>
      <c r="C819" s="8" t="inlineStr">
        <is>
          <t>NE</t>
        </is>
      </c>
      <c r="D819" s="8" t="inlineStr">
        <is>
          <t>Private</t>
        </is>
      </c>
      <c r="E819" s="9" t="n">
        <v>21518</v>
      </c>
      <c r="F819" s="9" t="n">
        <v>49768</v>
      </c>
      <c r="G819" s="8">
        <f>RANK(F819,$F$5:$F$1561)</f>
        <v/>
      </c>
      <c r="H819" s="8" t="inlineStr"/>
      <c r="I819" s="9">
        <f>IF(D819="Private",E819,"")</f>
        <v/>
      </c>
      <c r="J819" s="9">
        <f>IF(D819="Private",F819,"")</f>
        <v/>
      </c>
    </row>
    <row r="820">
      <c r="A820" s="8" t="inlineStr">
        <is>
          <t>University of Southern Maine</t>
        </is>
      </c>
      <c r="B820" s="8" t="inlineStr">
        <is>
          <t>Portland</t>
        </is>
      </c>
      <c r="C820" s="8" t="inlineStr">
        <is>
          <t>ME</t>
        </is>
      </c>
      <c r="D820" s="8" t="inlineStr">
        <is>
          <t>Public</t>
        </is>
      </c>
      <c r="E820" s="9" t="n">
        <v>9472</v>
      </c>
      <c r="F820" s="9" t="n">
        <v>49735</v>
      </c>
      <c r="G820" s="8">
        <f>RANK(F820,$F$5:$F$1561)</f>
        <v/>
      </c>
      <c r="H820" s="8" t="inlineStr"/>
      <c r="I820" s="9">
        <f>IF(D820="Private",E820,"")</f>
        <v/>
      </c>
      <c r="J820" s="9">
        <f>IF(D820="Private",F820,"")</f>
        <v/>
      </c>
    </row>
    <row r="821">
      <c r="A821" s="8" t="inlineStr">
        <is>
          <t>Ohio University-Main Campus</t>
        </is>
      </c>
      <c r="B821" s="8" t="inlineStr">
        <is>
          <t>Athens</t>
        </is>
      </c>
      <c r="C821" s="8" t="inlineStr">
        <is>
          <t>OH</t>
        </is>
      </c>
      <c r="D821" s="8" t="inlineStr">
        <is>
          <t>Public</t>
        </is>
      </c>
      <c r="E821" s="9" t="n">
        <v>19695</v>
      </c>
      <c r="F821" s="9" t="n">
        <v>49666</v>
      </c>
      <c r="G821" s="8">
        <f>RANK(F821,$F$5:$F$1561)</f>
        <v/>
      </c>
      <c r="H821" s="8" t="inlineStr"/>
      <c r="I821" s="9">
        <f>IF(D821="Private",E821,"")</f>
        <v/>
      </c>
      <c r="J821" s="9">
        <f>IF(D821="Private",F821,"")</f>
        <v/>
      </c>
    </row>
    <row r="822">
      <c r="A822" s="8" t="inlineStr">
        <is>
          <t>Monmouth College</t>
        </is>
      </c>
      <c r="B822" s="8" t="inlineStr">
        <is>
          <t>Monmouth</t>
        </is>
      </c>
      <c r="C822" s="8" t="inlineStr">
        <is>
          <t>IL</t>
        </is>
      </c>
      <c r="D822" s="8" t="inlineStr">
        <is>
          <t>Private</t>
        </is>
      </c>
      <c r="E822" s="9" t="n">
        <v>17467</v>
      </c>
      <c r="F822" s="9" t="n">
        <v>49661</v>
      </c>
      <c r="G822" s="8">
        <f>RANK(F822,$F$5:$F$1561)</f>
        <v/>
      </c>
      <c r="H822" s="8" t="inlineStr"/>
      <c r="I822" s="9">
        <f>IF(D822="Private",E822,"")</f>
        <v/>
      </c>
      <c r="J822" s="9">
        <f>IF(D822="Private",F822,"")</f>
        <v/>
      </c>
    </row>
    <row r="823">
      <c r="A823" s="8" t="inlineStr">
        <is>
          <t>Brenau University</t>
        </is>
      </c>
      <c r="B823" s="8" t="inlineStr">
        <is>
          <t>Gainesville</t>
        </is>
      </c>
      <c r="C823" s="8" t="inlineStr">
        <is>
          <t>GA</t>
        </is>
      </c>
      <c r="D823" s="8" t="inlineStr">
        <is>
          <t>Private</t>
        </is>
      </c>
      <c r="E823" s="9" t="n">
        <v>22771</v>
      </c>
      <c r="F823" s="9" t="n">
        <v>49629</v>
      </c>
      <c r="G823" s="8">
        <f>RANK(F823,$F$5:$F$1561)</f>
        <v/>
      </c>
      <c r="H823" s="8" t="inlineStr"/>
      <c r="I823" s="9">
        <f>IF(D823="Private",E823,"")</f>
        <v/>
      </c>
      <c r="J823" s="9">
        <f>IF(D823="Private",F823,"")</f>
        <v/>
      </c>
    </row>
    <row r="824">
      <c r="A824" s="8" t="inlineStr">
        <is>
          <t>Cumberland University</t>
        </is>
      </c>
      <c r="B824" s="8" t="inlineStr">
        <is>
          <t>Lebanon</t>
        </is>
      </c>
      <c r="C824" s="8" t="inlineStr">
        <is>
          <t>TN</t>
        </is>
      </c>
      <c r="D824" s="8" t="inlineStr">
        <is>
          <t>Private</t>
        </is>
      </c>
      <c r="E824" s="9" t="n">
        <v>25895</v>
      </c>
      <c r="F824" s="9" t="n">
        <v>49591</v>
      </c>
      <c r="G824" s="8">
        <f>RANK(F824,$F$5:$F$1561)</f>
        <v/>
      </c>
      <c r="H824" s="8" t="inlineStr"/>
      <c r="I824" s="9">
        <f>IF(D824="Private",E824,"")</f>
        <v/>
      </c>
      <c r="J824" s="9">
        <f>IF(D824="Private",F824,"")</f>
        <v/>
      </c>
    </row>
    <row r="825">
      <c r="A825" s="8" t="inlineStr">
        <is>
          <t>Texas A &amp; M University-Kingsville</t>
        </is>
      </c>
      <c r="B825" s="8" t="inlineStr">
        <is>
          <t>Kingsville</t>
        </is>
      </c>
      <c r="C825" s="8" t="inlineStr">
        <is>
          <t>TX</t>
        </is>
      </c>
      <c r="D825" s="8" t="inlineStr">
        <is>
          <t>Public</t>
        </is>
      </c>
      <c r="E825" s="9" t="n">
        <v>11524</v>
      </c>
      <c r="F825" s="9" t="n">
        <v>49528</v>
      </c>
      <c r="G825" s="8">
        <f>RANK(F825,$F$5:$F$1561)</f>
        <v/>
      </c>
      <c r="H825" s="8" t="inlineStr"/>
      <c r="I825" s="9">
        <f>IF(D825="Private",E825,"")</f>
        <v/>
      </c>
      <c r="J825" s="9">
        <f>IF(D825="Private",F825,"")</f>
        <v/>
      </c>
    </row>
    <row r="826">
      <c r="A826" s="8" t="inlineStr">
        <is>
          <t>Notre Dame College</t>
        </is>
      </c>
      <c r="B826" s="8" t="inlineStr">
        <is>
          <t>Cleveland</t>
        </is>
      </c>
      <c r="C826" s="8" t="inlineStr">
        <is>
          <t>OH</t>
        </is>
      </c>
      <c r="D826" s="8" t="inlineStr">
        <is>
          <t>Private</t>
        </is>
      </c>
      <c r="E826" s="9" t="n">
        <v>16223</v>
      </c>
      <c r="F826" s="9" t="n">
        <v>49494</v>
      </c>
      <c r="G826" s="8">
        <f>RANK(F826,$F$5:$F$1561)</f>
        <v/>
      </c>
      <c r="H826" s="8" t="inlineStr"/>
      <c r="I826" s="9">
        <f>IF(D826="Private",E826,"")</f>
        <v/>
      </c>
      <c r="J826" s="9">
        <f>IF(D826="Private",F826,"")</f>
        <v/>
      </c>
    </row>
    <row r="827">
      <c r="A827" s="8" t="inlineStr">
        <is>
          <t>Peirce College</t>
        </is>
      </c>
      <c r="B827" s="8" t="inlineStr">
        <is>
          <t>Philadelphia</t>
        </is>
      </c>
      <c r="C827" s="8" t="inlineStr">
        <is>
          <t>PA</t>
        </is>
      </c>
      <c r="D827" s="8" t="inlineStr">
        <is>
          <t>Private</t>
        </is>
      </c>
      <c r="E827" s="9" t="n">
        <v>13714</v>
      </c>
      <c r="F827" s="9" t="n">
        <v>49485</v>
      </c>
      <c r="G827" s="8">
        <f>RANK(F827,$F$5:$F$1561)</f>
        <v/>
      </c>
      <c r="H827" s="8" t="inlineStr"/>
      <c r="I827" s="9">
        <f>IF(D827="Private",E827,"")</f>
        <v/>
      </c>
      <c r="J827" s="9">
        <f>IF(D827="Private",F827,"")</f>
        <v/>
      </c>
    </row>
    <row r="828">
      <c r="A828" s="8" t="inlineStr">
        <is>
          <t>Minnesota State University Moorhead</t>
        </is>
      </c>
      <c r="B828" s="8" t="inlineStr">
        <is>
          <t>Moorhead</t>
        </is>
      </c>
      <c r="C828" s="8" t="inlineStr">
        <is>
          <t>MN</t>
        </is>
      </c>
      <c r="D828" s="8" t="inlineStr">
        <is>
          <t>Public</t>
        </is>
      </c>
      <c r="E828" s="9" t="n">
        <v>17653</v>
      </c>
      <c r="F828" s="9" t="n">
        <v>49476</v>
      </c>
      <c r="G828" s="8">
        <f>RANK(F828,$F$5:$F$1561)</f>
        <v/>
      </c>
      <c r="H828" s="8" t="inlineStr"/>
      <c r="I828" s="9">
        <f>IF(D828="Private",E828,"")</f>
        <v/>
      </c>
      <c r="J828" s="9">
        <f>IF(D828="Private",F828,"")</f>
        <v/>
      </c>
    </row>
    <row r="829">
      <c r="A829" s="8" t="inlineStr">
        <is>
          <t>Florida Southern College</t>
        </is>
      </c>
      <c r="B829" s="8" t="inlineStr">
        <is>
          <t>Lakeland</t>
        </is>
      </c>
      <c r="C829" s="8" t="inlineStr">
        <is>
          <t>FL</t>
        </is>
      </c>
      <c r="D829" s="8" t="inlineStr">
        <is>
          <t>Private</t>
        </is>
      </c>
      <c r="E829" s="9" t="n">
        <v>25434</v>
      </c>
      <c r="F829" s="9" t="n">
        <v>49449</v>
      </c>
      <c r="G829" s="8">
        <f>RANK(F829,$F$5:$F$1561)</f>
        <v/>
      </c>
      <c r="H829" s="8" t="inlineStr"/>
      <c r="I829" s="9">
        <f>IF(D829="Private",E829,"")</f>
        <v/>
      </c>
      <c r="J829" s="9">
        <f>IF(D829="Private",F829,"")</f>
        <v/>
      </c>
    </row>
    <row r="830">
      <c r="A830" s="8" t="inlineStr">
        <is>
          <t>Northwestern College</t>
        </is>
      </c>
      <c r="B830" s="8" t="inlineStr">
        <is>
          <t>Orange City</t>
        </is>
      </c>
      <c r="C830" s="8" t="inlineStr">
        <is>
          <t>IA</t>
        </is>
      </c>
      <c r="D830" s="8" t="inlineStr">
        <is>
          <t>Private</t>
        </is>
      </c>
      <c r="E830" s="9" t="n">
        <v>23185</v>
      </c>
      <c r="F830" s="9" t="n">
        <v>49445</v>
      </c>
      <c r="G830" s="8">
        <f>RANK(F830,$F$5:$F$1561)</f>
        <v/>
      </c>
      <c r="H830" s="8" t="inlineStr"/>
      <c r="I830" s="9">
        <f>IF(D830="Private",E830,"")</f>
        <v/>
      </c>
      <c r="J830" s="9">
        <f>IF(D830="Private",F830,"")</f>
        <v/>
      </c>
    </row>
    <row r="831">
      <c r="A831" s="8" t="inlineStr">
        <is>
          <t>Mercy College</t>
        </is>
      </c>
      <c r="B831" s="8" t="inlineStr">
        <is>
          <t>Dobbs Ferry</t>
        </is>
      </c>
      <c r="C831" s="8" t="inlineStr">
        <is>
          <t>NY</t>
        </is>
      </c>
      <c r="D831" s="8" t="inlineStr">
        <is>
          <t>Private</t>
        </is>
      </c>
      <c r="E831" s="9" t="n">
        <v>14211</v>
      </c>
      <c r="F831" s="9" t="n">
        <v>49429</v>
      </c>
      <c r="G831" s="8">
        <f>RANK(F831,$F$5:$F$1561)</f>
        <v/>
      </c>
      <c r="H831" s="8" t="inlineStr"/>
      <c r="I831" s="9">
        <f>IF(D831="Private",E831,"")</f>
        <v/>
      </c>
      <c r="J831" s="9">
        <f>IF(D831="Private",F831,"")</f>
        <v/>
      </c>
    </row>
    <row r="832">
      <c r="A832" s="8" t="inlineStr">
        <is>
          <t>University of Minnesota-Morris</t>
        </is>
      </c>
      <c r="B832" s="8" t="inlineStr">
        <is>
          <t>Morris</t>
        </is>
      </c>
      <c r="C832" s="8" t="inlineStr">
        <is>
          <t>MN</t>
        </is>
      </c>
      <c r="D832" s="8" t="inlineStr">
        <is>
          <t>Public</t>
        </is>
      </c>
      <c r="E832" s="9" t="n">
        <v>11035</v>
      </c>
      <c r="F832" s="9" t="n">
        <v>49414</v>
      </c>
      <c r="G832" s="8">
        <f>RANK(F832,$F$5:$F$1561)</f>
        <v/>
      </c>
      <c r="H832" s="8" t="inlineStr"/>
      <c r="I832" s="9">
        <f>IF(D832="Private",E832,"")</f>
        <v/>
      </c>
      <c r="J832" s="9">
        <f>IF(D832="Private",F832,"")</f>
        <v/>
      </c>
    </row>
    <row r="833">
      <c r="A833" s="8" t="inlineStr">
        <is>
          <t>New College of Florida</t>
        </is>
      </c>
      <c r="B833" s="8" t="inlineStr">
        <is>
          <t>Sarasota</t>
        </is>
      </c>
      <c r="C833" s="8" t="inlineStr">
        <is>
          <t>FL</t>
        </is>
      </c>
      <c r="D833" s="8" t="inlineStr">
        <is>
          <t>Public</t>
        </is>
      </c>
      <c r="E833" s="9" t="n">
        <v>7238</v>
      </c>
      <c r="F833" s="9" t="n">
        <v>49341</v>
      </c>
      <c r="G833" s="8">
        <f>RANK(F833,$F$5:$F$1561)</f>
        <v/>
      </c>
      <c r="H833" s="8" t="inlineStr"/>
      <c r="I833" s="9">
        <f>IF(D833="Private",E833,"")</f>
        <v/>
      </c>
      <c r="J833" s="9">
        <f>IF(D833="Private",F833,"")</f>
        <v/>
      </c>
    </row>
    <row r="834">
      <c r="A834" s="8" t="inlineStr">
        <is>
          <t>Agnes Scott College</t>
        </is>
      </c>
      <c r="B834" s="8" t="inlineStr">
        <is>
          <t>Decatur</t>
        </is>
      </c>
      <c r="C834" s="8" t="inlineStr">
        <is>
          <t>GA</t>
        </is>
      </c>
      <c r="D834" s="8" t="inlineStr">
        <is>
          <t>Private</t>
        </is>
      </c>
      <c r="E834" s="9" t="n">
        <v>12423</v>
      </c>
      <c r="F834" s="9" t="n">
        <v>49314</v>
      </c>
      <c r="G834" s="8">
        <f>RANK(F834,$F$5:$F$1561)</f>
        <v/>
      </c>
      <c r="H834" s="8" t="inlineStr"/>
      <c r="I834" s="9">
        <f>IF(D834="Private",E834,"")</f>
        <v/>
      </c>
      <c r="J834" s="9">
        <f>IF(D834="Private",F834,"")</f>
        <v/>
      </c>
    </row>
    <row r="835">
      <c r="A835" s="8" t="inlineStr">
        <is>
          <t>Union College</t>
        </is>
      </c>
      <c r="B835" s="8" t="inlineStr">
        <is>
          <t>Lincoln</t>
        </is>
      </c>
      <c r="C835" s="8" t="inlineStr">
        <is>
          <t>NE</t>
        </is>
      </c>
      <c r="D835" s="8" t="inlineStr">
        <is>
          <t>Private</t>
        </is>
      </c>
      <c r="E835" s="9" t="n">
        <v>22959</v>
      </c>
      <c r="F835" s="9" t="n">
        <v>49289</v>
      </c>
      <c r="G835" s="8">
        <f>RANK(F835,$F$5:$F$1561)</f>
        <v/>
      </c>
      <c r="H835" s="8" t="inlineStr"/>
      <c r="I835" s="9">
        <f>IF(D835="Private",E835,"")</f>
        <v/>
      </c>
      <c r="J835" s="9">
        <f>IF(D835="Private",F835,"")</f>
        <v/>
      </c>
    </row>
    <row r="836">
      <c r="A836" s="8" t="inlineStr">
        <is>
          <t>Chatham University</t>
        </is>
      </c>
      <c r="B836" s="8" t="inlineStr">
        <is>
          <t>Pittsburgh</t>
        </is>
      </c>
      <c r="C836" s="8" t="inlineStr">
        <is>
          <t>PA</t>
        </is>
      </c>
      <c r="D836" s="8" t="inlineStr">
        <is>
          <t>Private</t>
        </is>
      </c>
      <c r="E836" s="9" t="n">
        <v>26793</v>
      </c>
      <c r="F836" s="9" t="n">
        <v>49280</v>
      </c>
      <c r="G836" s="8">
        <f>RANK(F836,$F$5:$F$1561)</f>
        <v/>
      </c>
      <c r="H836" s="8" t="inlineStr"/>
      <c r="I836" s="9">
        <f>IF(D836="Private",E836,"")</f>
        <v/>
      </c>
      <c r="J836" s="9">
        <f>IF(D836="Private",F836,"")</f>
        <v/>
      </c>
    </row>
    <row r="837">
      <c r="A837" s="8" t="inlineStr">
        <is>
          <t>West Texas A &amp; M University</t>
        </is>
      </c>
      <c r="B837" s="8" t="inlineStr">
        <is>
          <t>Canyon</t>
        </is>
      </c>
      <c r="C837" s="8" t="inlineStr">
        <is>
          <t>TX</t>
        </is>
      </c>
      <c r="D837" s="8" t="inlineStr">
        <is>
          <t>Public</t>
        </is>
      </c>
      <c r="E837" s="9" t="n">
        <v>18060</v>
      </c>
      <c r="F837" s="9" t="n">
        <v>49266</v>
      </c>
      <c r="G837" s="8">
        <f>RANK(F837,$F$5:$F$1561)</f>
        <v/>
      </c>
      <c r="H837" s="8" t="inlineStr"/>
      <c r="I837" s="9">
        <f>IF(D837="Private",E837,"")</f>
        <v/>
      </c>
      <c r="J837" s="9">
        <f>IF(D837="Private",F837,"")</f>
        <v/>
      </c>
    </row>
    <row r="838">
      <c r="A838" s="8" t="inlineStr">
        <is>
          <t>Southern Adventist University</t>
        </is>
      </c>
      <c r="B838" s="8" t="inlineStr">
        <is>
          <t>Collegedale</t>
        </is>
      </c>
      <c r="C838" s="8" t="inlineStr">
        <is>
          <t>TN</t>
        </is>
      </c>
      <c r="D838" s="8" t="inlineStr">
        <is>
          <t>Private</t>
        </is>
      </c>
      <c r="E838" s="9" t="n">
        <v>23232</v>
      </c>
      <c r="F838" s="9" t="n">
        <v>49250</v>
      </c>
      <c r="G838" s="8">
        <f>RANK(F838,$F$5:$F$1561)</f>
        <v/>
      </c>
      <c r="H838" s="8" t="inlineStr"/>
      <c r="I838" s="9">
        <f>IF(D838="Private",E838,"")</f>
        <v/>
      </c>
      <c r="J838" s="9">
        <f>IF(D838="Private",F838,"")</f>
        <v/>
      </c>
    </row>
    <row r="839">
      <c r="A839" s="8" t="inlineStr">
        <is>
          <t>Briar Cliff University</t>
        </is>
      </c>
      <c r="B839" s="8" t="inlineStr">
        <is>
          <t>Sioux City</t>
        </is>
      </c>
      <c r="C839" s="8" t="inlineStr">
        <is>
          <t>IA</t>
        </is>
      </c>
      <c r="D839" s="8" t="inlineStr">
        <is>
          <t>Private</t>
        </is>
      </c>
      <c r="E839" s="9" t="n">
        <v>21002</v>
      </c>
      <c r="F839" s="9" t="n">
        <v>49246</v>
      </c>
      <c r="G839" s="8">
        <f>RANK(F839,$F$5:$F$1561)</f>
        <v/>
      </c>
      <c r="H839" s="8" t="inlineStr"/>
      <c r="I839" s="9">
        <f>IF(D839="Private",E839,"")</f>
        <v/>
      </c>
      <c r="J839" s="9">
        <f>IF(D839="Private",F839,"")</f>
        <v/>
      </c>
    </row>
    <row r="840">
      <c r="A840" s="8" t="inlineStr">
        <is>
          <t>Palm Beach Atlantic University</t>
        </is>
      </c>
      <c r="B840" s="8" t="inlineStr">
        <is>
          <t>West Palm Beach</t>
        </is>
      </c>
      <c r="C840" s="8" t="inlineStr">
        <is>
          <t>FL</t>
        </is>
      </c>
      <c r="D840" s="8" t="inlineStr">
        <is>
          <t>Private</t>
        </is>
      </c>
      <c r="E840" s="9" t="n">
        <v>27597</v>
      </c>
      <c r="F840" s="9" t="n">
        <v>49234</v>
      </c>
      <c r="G840" s="8">
        <f>RANK(F840,$F$5:$F$1561)</f>
        <v/>
      </c>
      <c r="H840" s="8" t="inlineStr"/>
      <c r="I840" s="9">
        <f>IF(D840="Private",E840,"")</f>
        <v/>
      </c>
      <c r="J840" s="9">
        <f>IF(D840="Private",F840,"")</f>
        <v/>
      </c>
    </row>
    <row r="841">
      <c r="A841" s="8" t="inlineStr">
        <is>
          <t>Empire State University</t>
        </is>
      </c>
      <c r="B841" s="8" t="inlineStr">
        <is>
          <t>Saratoga Springs</t>
        </is>
      </c>
      <c r="C841" s="8" t="inlineStr">
        <is>
          <t>NY</t>
        </is>
      </c>
      <c r="D841" s="8" t="inlineStr">
        <is>
          <t>Public</t>
        </is>
      </c>
      <c r="E841" s="9" t="n">
        <v>11469</v>
      </c>
      <c r="F841" s="9" t="n">
        <v>49205</v>
      </c>
      <c r="G841" s="8">
        <f>RANK(F841,$F$5:$F$1561)</f>
        <v/>
      </c>
      <c r="H841" s="8" t="inlineStr"/>
      <c r="I841" s="9">
        <f>IF(D841="Private",E841,"")</f>
        <v/>
      </c>
      <c r="J841" s="9">
        <f>IF(D841="Private",F841,"")</f>
        <v/>
      </c>
    </row>
    <row r="842">
      <c r="A842" s="8" t="inlineStr">
        <is>
          <t>Texas A &amp; M University-Corpus Christi</t>
        </is>
      </c>
      <c r="B842" s="8" t="inlineStr">
        <is>
          <t>Corpus Christi</t>
        </is>
      </c>
      <c r="C842" s="8" t="inlineStr">
        <is>
          <t>TX</t>
        </is>
      </c>
      <c r="D842" s="8" t="inlineStr">
        <is>
          <t>Public</t>
        </is>
      </c>
      <c r="E842" s="9" t="n">
        <v>17998</v>
      </c>
      <c r="F842" s="9" t="n">
        <v>49203</v>
      </c>
      <c r="G842" s="8">
        <f>RANK(F842,$F$5:$F$1561)</f>
        <v/>
      </c>
      <c r="H842" s="8" t="inlineStr"/>
      <c r="I842" s="9">
        <f>IF(D842="Private",E842,"")</f>
        <v/>
      </c>
      <c r="J842" s="9">
        <f>IF(D842="Private",F842,"")</f>
        <v/>
      </c>
    </row>
    <row r="843">
      <c r="A843" s="8" t="inlineStr">
        <is>
          <t>Kutztown University of Pennsylvania</t>
        </is>
      </c>
      <c r="B843" s="8" t="inlineStr">
        <is>
          <t>Kutztown</t>
        </is>
      </c>
      <c r="C843" s="8" t="inlineStr">
        <is>
          <t>PA</t>
        </is>
      </c>
      <c r="D843" s="8" t="inlineStr">
        <is>
          <t>Public</t>
        </is>
      </c>
      <c r="E843" s="9" t="n">
        <v>21898</v>
      </c>
      <c r="F843" s="9" t="n">
        <v>49199</v>
      </c>
      <c r="G843" s="8">
        <f>RANK(F843,$F$5:$F$1561)</f>
        <v/>
      </c>
      <c r="H843" s="8" t="inlineStr"/>
      <c r="I843" s="9">
        <f>IF(D843="Private",E843,"")</f>
        <v/>
      </c>
      <c r="J843" s="9">
        <f>IF(D843="Private",F843,"")</f>
        <v/>
      </c>
    </row>
    <row r="844">
      <c r="A844" s="8" t="inlineStr">
        <is>
          <t>University of Minnesota-Crookston</t>
        </is>
      </c>
      <c r="B844" s="8" t="inlineStr">
        <is>
          <t>Crookston</t>
        </is>
      </c>
      <c r="C844" s="8" t="inlineStr">
        <is>
          <t>MN</t>
        </is>
      </c>
      <c r="D844" s="8" t="inlineStr">
        <is>
          <t>Public</t>
        </is>
      </c>
      <c r="E844" s="9" t="n">
        <v>10434</v>
      </c>
      <c r="F844" s="9" t="n">
        <v>49197</v>
      </c>
      <c r="G844" s="8">
        <f>RANK(F844,$F$5:$F$1561)</f>
        <v/>
      </c>
      <c r="H844" s="8" t="inlineStr"/>
      <c r="I844" s="9">
        <f>IF(D844="Private",E844,"")</f>
        <v/>
      </c>
      <c r="J844" s="9">
        <f>IF(D844="Private",F844,"")</f>
        <v/>
      </c>
    </row>
    <row r="845">
      <c r="A845" s="8" t="inlineStr">
        <is>
          <t>Ball State University</t>
        </is>
      </c>
      <c r="B845" s="8" t="inlineStr">
        <is>
          <t>Muncie</t>
        </is>
      </c>
      <c r="C845" s="8" t="inlineStr">
        <is>
          <t>IN</t>
        </is>
      </c>
      <c r="D845" s="8" t="inlineStr">
        <is>
          <t>Public</t>
        </is>
      </c>
      <c r="E845" s="9" t="n">
        <v>15464</v>
      </c>
      <c r="F845" s="9" t="n">
        <v>49177</v>
      </c>
      <c r="G845" s="8">
        <f>RANK(F845,$F$5:$F$1561)</f>
        <v/>
      </c>
      <c r="H845" s="8" t="inlineStr"/>
      <c r="I845" s="9">
        <f>IF(D845="Private",E845,"")</f>
        <v/>
      </c>
      <c r="J845" s="9">
        <f>IF(D845="Private",F845,"")</f>
        <v/>
      </c>
    </row>
    <row r="846">
      <c r="A846" s="8" t="inlineStr">
        <is>
          <t>Covenant College</t>
        </is>
      </c>
      <c r="B846" s="8" t="inlineStr">
        <is>
          <t>Lookout Mountain</t>
        </is>
      </c>
      <c r="C846" s="8" t="inlineStr">
        <is>
          <t>GA</t>
        </is>
      </c>
      <c r="D846" s="8" t="inlineStr">
        <is>
          <t>Private</t>
        </is>
      </c>
      <c r="E846" s="9" t="n">
        <v>24467</v>
      </c>
      <c r="F846" s="9" t="n">
        <v>49143</v>
      </c>
      <c r="G846" s="8">
        <f>RANK(F846,$F$5:$F$1561)</f>
        <v/>
      </c>
      <c r="H846" s="8" t="inlineStr"/>
      <c r="I846" s="9">
        <f>IF(D846="Private",E846,"")</f>
        <v/>
      </c>
      <c r="J846" s="9">
        <f>IF(D846="Private",F846,"")</f>
        <v/>
      </c>
    </row>
    <row r="847">
      <c r="A847" s="8" t="inlineStr">
        <is>
          <t>Bethel College-North Newton</t>
        </is>
      </c>
      <c r="B847" s="8" t="inlineStr">
        <is>
          <t>North Newton</t>
        </is>
      </c>
      <c r="C847" s="8" t="inlineStr">
        <is>
          <t>KS</t>
        </is>
      </c>
      <c r="D847" s="8" t="inlineStr">
        <is>
          <t>Private</t>
        </is>
      </c>
      <c r="E847" s="9" t="n">
        <v>24711</v>
      </c>
      <c r="F847" s="9" t="n">
        <v>49126</v>
      </c>
      <c r="G847" s="8">
        <f>RANK(F847,$F$5:$F$1561)</f>
        <v/>
      </c>
      <c r="H847" s="8" t="inlineStr"/>
      <c r="I847" s="9">
        <f>IF(D847="Private",E847,"")</f>
        <v/>
      </c>
      <c r="J847" s="9">
        <f>IF(D847="Private",F847,"")</f>
        <v/>
      </c>
    </row>
    <row r="848">
      <c r="A848" s="8" t="inlineStr">
        <is>
          <t>Dickinson State University</t>
        </is>
      </c>
      <c r="B848" s="8" t="inlineStr">
        <is>
          <t>Dickinson</t>
        </is>
      </c>
      <c r="C848" s="8" t="inlineStr">
        <is>
          <t>ND</t>
        </is>
      </c>
      <c r="D848" s="8" t="inlineStr">
        <is>
          <t>Public</t>
        </is>
      </c>
      <c r="E848" s="9" t="n">
        <v>14557</v>
      </c>
      <c r="F848" s="9" t="n">
        <v>49125</v>
      </c>
      <c r="G848" s="8">
        <f>RANK(F848,$F$5:$F$1561)</f>
        <v/>
      </c>
      <c r="H848" s="8" t="inlineStr"/>
      <c r="I848" s="9">
        <f>IF(D848="Private",E848,"")</f>
        <v/>
      </c>
      <c r="J848" s="9">
        <f>IF(D848="Private",F848,"")</f>
        <v/>
      </c>
    </row>
    <row r="849">
      <c r="A849" s="8" t="inlineStr">
        <is>
          <t>University of Wisconsin-Green Bay</t>
        </is>
      </c>
      <c r="B849" s="8" t="inlineStr">
        <is>
          <t>Green Bay</t>
        </is>
      </c>
      <c r="C849" s="8" t="inlineStr">
        <is>
          <t>WI</t>
        </is>
      </c>
      <c r="D849" s="8" t="inlineStr">
        <is>
          <t>Public</t>
        </is>
      </c>
      <c r="E849" s="9" t="n">
        <v>13654</v>
      </c>
      <c r="F849" s="9" t="n">
        <v>49099</v>
      </c>
      <c r="G849" s="8">
        <f>RANK(F849,$F$5:$F$1561)</f>
        <v/>
      </c>
      <c r="H849" s="8" t="inlineStr"/>
      <c r="I849" s="9">
        <f>IF(D849="Private",E849,"")</f>
        <v/>
      </c>
      <c r="J849" s="9">
        <f>IF(D849="Private",F849,"")</f>
        <v/>
      </c>
    </row>
    <row r="850">
      <c r="A850" s="8" t="inlineStr">
        <is>
          <t>Alderson Broaddus University</t>
        </is>
      </c>
      <c r="B850" s="8" t="inlineStr">
        <is>
          <t>Philippi</t>
        </is>
      </c>
      <c r="C850" s="8" t="inlineStr">
        <is>
          <t>WV</t>
        </is>
      </c>
      <c r="D850" s="8" t="inlineStr">
        <is>
          <t>Private</t>
        </is>
      </c>
      <c r="E850" s="9" t="n">
        <v>21244</v>
      </c>
      <c r="F850" s="9" t="n">
        <v>49097</v>
      </c>
      <c r="G850" s="8">
        <f>RANK(F850,$F$5:$F$1561)</f>
        <v/>
      </c>
      <c r="H850" s="8" t="inlineStr"/>
      <c r="I850" s="9">
        <f>IF(D850="Private",E850,"")</f>
        <v/>
      </c>
      <c r="J850" s="9">
        <f>IF(D850="Private",F850,"")</f>
        <v/>
      </c>
    </row>
    <row r="851">
      <c r="A851" s="8" t="inlineStr">
        <is>
          <t>Corban University</t>
        </is>
      </c>
      <c r="B851" s="8" t="inlineStr">
        <is>
          <t>Salem</t>
        </is>
      </c>
      <c r="C851" s="8" t="inlineStr">
        <is>
          <t>OR</t>
        </is>
      </c>
      <c r="D851" s="8" t="inlineStr">
        <is>
          <t>Private</t>
        </is>
      </c>
      <c r="E851" s="9" t="n">
        <v>26490</v>
      </c>
      <c r="F851" s="9" t="n">
        <v>49092</v>
      </c>
      <c r="G851" s="8">
        <f>RANK(F851,$F$5:$F$1561)</f>
        <v/>
      </c>
      <c r="H851" s="8" t="inlineStr"/>
      <c r="I851" s="9">
        <f>IF(D851="Private",E851,"")</f>
        <v/>
      </c>
      <c r="J851" s="9">
        <f>IF(D851="Private",F851,"")</f>
        <v/>
      </c>
    </row>
    <row r="852">
      <c r="A852" s="8" t="inlineStr">
        <is>
          <t>Lindenwood University</t>
        </is>
      </c>
      <c r="B852" s="8" t="inlineStr">
        <is>
          <t>Saint Charles</t>
        </is>
      </c>
      <c r="C852" s="8" t="inlineStr">
        <is>
          <t>MO</t>
        </is>
      </c>
      <c r="D852" s="8" t="inlineStr">
        <is>
          <t>Private</t>
        </is>
      </c>
      <c r="E852" s="9" t="n">
        <v>17410</v>
      </c>
      <c r="F852" s="9" t="n">
        <v>49080</v>
      </c>
      <c r="G852" s="8">
        <f>RANK(F852,$F$5:$F$1561)</f>
        <v/>
      </c>
      <c r="H852" s="8" t="inlineStr"/>
      <c r="I852" s="9">
        <f>IF(D852="Private",E852,"")</f>
        <v/>
      </c>
      <c r="J852" s="9">
        <f>IF(D852="Private",F852,"")</f>
        <v/>
      </c>
    </row>
    <row r="853">
      <c r="A853" s="8" t="inlineStr">
        <is>
          <t>Centenary College of Louisiana</t>
        </is>
      </c>
      <c r="B853" s="8" t="inlineStr">
        <is>
          <t>Shreveport</t>
        </is>
      </c>
      <c r="C853" s="8" t="inlineStr">
        <is>
          <t>LA</t>
        </is>
      </c>
      <c r="D853" s="8" t="inlineStr">
        <is>
          <t>Private</t>
        </is>
      </c>
      <c r="E853" s="9" t="n">
        <v>29008</v>
      </c>
      <c r="F853" s="9" t="n">
        <v>49077</v>
      </c>
      <c r="G853" s="8">
        <f>RANK(F853,$F$5:$F$1561)</f>
        <v/>
      </c>
      <c r="H853" s="8" t="inlineStr"/>
      <c r="I853" s="9">
        <f>IF(D853="Private",E853,"")</f>
        <v/>
      </c>
      <c r="J853" s="9">
        <f>IF(D853="Private",F853,"")</f>
        <v/>
      </c>
    </row>
    <row r="854">
      <c r="A854" s="8" t="inlineStr">
        <is>
          <t>Longwood University</t>
        </is>
      </c>
      <c r="B854" s="8" t="inlineStr">
        <is>
          <t>Farmville</t>
        </is>
      </c>
      <c r="C854" s="8" t="inlineStr">
        <is>
          <t>VA</t>
        </is>
      </c>
      <c r="D854" s="8" t="inlineStr">
        <is>
          <t>Public</t>
        </is>
      </c>
      <c r="E854" s="9" t="n">
        <v>18974</v>
      </c>
      <c r="F854" s="9" t="n">
        <v>49069</v>
      </c>
      <c r="G854" s="8">
        <f>RANK(F854,$F$5:$F$1561)</f>
        <v/>
      </c>
      <c r="H854" s="8" t="inlineStr"/>
      <c r="I854" s="9">
        <f>IF(D854="Private",E854,"")</f>
        <v/>
      </c>
      <c r="J854" s="9">
        <f>IF(D854="Private",F854,"")</f>
        <v/>
      </c>
    </row>
    <row r="855">
      <c r="A855" s="8" t="inlineStr">
        <is>
          <t>University of Dubuque</t>
        </is>
      </c>
      <c r="B855" s="8" t="inlineStr">
        <is>
          <t>Dubuque</t>
        </is>
      </c>
      <c r="C855" s="8" t="inlineStr">
        <is>
          <t>IA</t>
        </is>
      </c>
      <c r="D855" s="8" t="inlineStr">
        <is>
          <t>Private</t>
        </is>
      </c>
      <c r="E855" s="9" t="n">
        <v>26800</v>
      </c>
      <c r="F855" s="9" t="n">
        <v>49057</v>
      </c>
      <c r="G855" s="8">
        <f>RANK(F855,$F$5:$F$1561)</f>
        <v/>
      </c>
      <c r="H855" s="8" t="inlineStr"/>
      <c r="I855" s="9">
        <f>IF(D855="Private",E855,"")</f>
        <v/>
      </c>
      <c r="J855" s="9">
        <f>IF(D855="Private",F855,"")</f>
        <v/>
      </c>
    </row>
    <row r="856">
      <c r="A856" s="8" t="inlineStr">
        <is>
          <t>Southern Utah University</t>
        </is>
      </c>
      <c r="B856" s="8" t="inlineStr">
        <is>
          <t>Cedar City</t>
        </is>
      </c>
      <c r="C856" s="8" t="inlineStr">
        <is>
          <t>UT</t>
        </is>
      </c>
      <c r="D856" s="8" t="inlineStr">
        <is>
          <t>Public</t>
        </is>
      </c>
      <c r="E856" s="9" t="n">
        <v>13095</v>
      </c>
      <c r="F856" s="9" t="n">
        <v>49051</v>
      </c>
      <c r="G856" s="8">
        <f>RANK(F856,$F$5:$F$1561)</f>
        <v/>
      </c>
      <c r="H856" s="8" t="inlineStr"/>
      <c r="I856" s="9">
        <f>IF(D856="Private",E856,"")</f>
        <v/>
      </c>
      <c r="J856" s="9">
        <f>IF(D856="Private",F856,"")</f>
        <v/>
      </c>
    </row>
    <row r="857">
      <c r="A857" s="8" t="inlineStr">
        <is>
          <t>Pennsylvania College of Technology</t>
        </is>
      </c>
      <c r="B857" s="8" t="inlineStr">
        <is>
          <t>Williamsport</t>
        </is>
      </c>
      <c r="C857" s="8" t="inlineStr">
        <is>
          <t>PA</t>
        </is>
      </c>
      <c r="D857" s="8" t="inlineStr">
        <is>
          <t>Public</t>
        </is>
      </c>
      <c r="E857" s="9" t="n">
        <v>25028</v>
      </c>
      <c r="F857" s="9" t="n">
        <v>49047</v>
      </c>
      <c r="G857" s="8">
        <f>RANK(F857,$F$5:$F$1561)</f>
        <v/>
      </c>
      <c r="H857" s="8" t="inlineStr"/>
      <c r="I857" s="9">
        <f>IF(D857="Private",E857,"")</f>
        <v/>
      </c>
      <c r="J857" s="9">
        <f>IF(D857="Private",F857,"")</f>
        <v/>
      </c>
    </row>
    <row r="858">
      <c r="A858" s="8" t="inlineStr">
        <is>
          <t>LaGrange College</t>
        </is>
      </c>
      <c r="B858" s="8" t="inlineStr">
        <is>
          <t>Lagrange</t>
        </is>
      </c>
      <c r="C858" s="8" t="inlineStr">
        <is>
          <t>GA</t>
        </is>
      </c>
      <c r="D858" s="8" t="inlineStr">
        <is>
          <t>Private</t>
        </is>
      </c>
      <c r="E858" s="9" t="n">
        <v>21748</v>
      </c>
      <c r="F858" s="9" t="n">
        <v>49042</v>
      </c>
      <c r="G858" s="8">
        <f>RANK(F858,$F$5:$F$1561)</f>
        <v/>
      </c>
      <c r="H858" s="8" t="inlineStr"/>
      <c r="I858" s="9">
        <f>IF(D858="Private",E858,"")</f>
        <v/>
      </c>
      <c r="J858" s="9">
        <f>IF(D858="Private",F858,"")</f>
        <v/>
      </c>
    </row>
    <row r="859">
      <c r="A859" s="8" t="inlineStr">
        <is>
          <t>University of South Dakota</t>
        </is>
      </c>
      <c r="B859" s="8" t="inlineStr">
        <is>
          <t>Vermillion</t>
        </is>
      </c>
      <c r="C859" s="8" t="inlineStr">
        <is>
          <t>SD</t>
        </is>
      </c>
      <c r="D859" s="8" t="inlineStr">
        <is>
          <t>Public</t>
        </is>
      </c>
      <c r="E859" s="9" t="n">
        <v>19415</v>
      </c>
      <c r="F859" s="9" t="n">
        <v>49034</v>
      </c>
      <c r="G859" s="8">
        <f>RANK(F859,$F$5:$F$1561)</f>
        <v/>
      </c>
      <c r="H859" s="8" t="inlineStr"/>
      <c r="I859" s="9">
        <f>IF(D859="Private",E859,"")</f>
        <v/>
      </c>
      <c r="J859" s="9">
        <f>IF(D859="Private",F859,"")</f>
        <v/>
      </c>
    </row>
    <row r="860">
      <c r="A860" s="8" t="inlineStr">
        <is>
          <t>Randolph College</t>
        </is>
      </c>
      <c r="B860" s="8" t="inlineStr">
        <is>
          <t>Lynchburg</t>
        </is>
      </c>
      <c r="C860" s="8" t="inlineStr">
        <is>
          <t>VA</t>
        </is>
      </c>
      <c r="D860" s="8" t="inlineStr">
        <is>
          <t>Private</t>
        </is>
      </c>
      <c r="E860" s="9" t="n">
        <v>21985</v>
      </c>
      <c r="F860" s="9" t="n">
        <v>48998</v>
      </c>
      <c r="G860" s="8">
        <f>RANK(F860,$F$5:$F$1561)</f>
        <v/>
      </c>
      <c r="H860" s="8" t="inlineStr"/>
      <c r="I860" s="9">
        <f>IF(D860="Private",E860,"")</f>
        <v/>
      </c>
      <c r="J860" s="9">
        <f>IF(D860="Private",F860,"")</f>
        <v/>
      </c>
    </row>
    <row r="861">
      <c r="A861" s="8" t="inlineStr">
        <is>
          <t>Wayland Baptist University</t>
        </is>
      </c>
      <c r="B861" s="8" t="inlineStr">
        <is>
          <t>Plainview</t>
        </is>
      </c>
      <c r="C861" s="8" t="inlineStr">
        <is>
          <t>TX</t>
        </is>
      </c>
      <c r="D861" s="8" t="inlineStr">
        <is>
          <t>Private</t>
        </is>
      </c>
      <c r="E861" s="9" t="n">
        <v>23601</v>
      </c>
      <c r="F861" s="9" t="n">
        <v>48992</v>
      </c>
      <c r="G861" s="8">
        <f>RANK(F861,$F$5:$F$1561)</f>
        <v/>
      </c>
      <c r="H861" s="8" t="inlineStr"/>
      <c r="I861" s="9">
        <f>IF(D861="Private",E861,"")</f>
        <v/>
      </c>
      <c r="J861" s="9">
        <f>IF(D861="Private",F861,"")</f>
        <v/>
      </c>
    </row>
    <row r="862">
      <c r="A862" s="8" t="inlineStr">
        <is>
          <t>Webster University</t>
        </is>
      </c>
      <c r="B862" s="8" t="inlineStr">
        <is>
          <t>Saint Louis</t>
        </is>
      </c>
      <c r="C862" s="8" t="inlineStr">
        <is>
          <t>MO</t>
        </is>
      </c>
      <c r="D862" s="8" t="inlineStr">
        <is>
          <t>Private</t>
        </is>
      </c>
      <c r="E862" s="9" t="n">
        <v>23953</v>
      </c>
      <c r="F862" s="9" t="n">
        <v>48965</v>
      </c>
      <c r="G862" s="8">
        <f>RANK(F862,$F$5:$F$1561)</f>
        <v/>
      </c>
      <c r="H862" s="8" t="inlineStr"/>
      <c r="I862" s="9">
        <f>IF(D862="Private",E862,"")</f>
        <v/>
      </c>
      <c r="J862" s="9">
        <f>IF(D862="Private",F862,"")</f>
        <v/>
      </c>
    </row>
    <row r="863">
      <c r="A863" s="8" t="inlineStr">
        <is>
          <t>University of Northern Colorado</t>
        </is>
      </c>
      <c r="B863" s="8" t="inlineStr">
        <is>
          <t>Greeley</t>
        </is>
      </c>
      <c r="C863" s="8" t="inlineStr">
        <is>
          <t>CO</t>
        </is>
      </c>
      <c r="D863" s="8" t="inlineStr">
        <is>
          <t>Public</t>
        </is>
      </c>
      <c r="E863" s="9" t="n">
        <v>16075</v>
      </c>
      <c r="F863" s="9" t="n">
        <v>48942</v>
      </c>
      <c r="G863" s="8">
        <f>RANK(F863,$F$5:$F$1561)</f>
        <v/>
      </c>
      <c r="H863" s="8" t="inlineStr"/>
      <c r="I863" s="9">
        <f>IF(D863="Private",E863,"")</f>
        <v/>
      </c>
      <c r="J863" s="9">
        <f>IF(D863="Private",F863,"")</f>
        <v/>
      </c>
    </row>
    <row r="864">
      <c r="A864" s="8" t="inlineStr">
        <is>
          <t>SUNY College at Potsdam</t>
        </is>
      </c>
      <c r="B864" s="8" t="inlineStr">
        <is>
          <t>Potsdam</t>
        </is>
      </c>
      <c r="C864" s="8" t="inlineStr">
        <is>
          <t>NY</t>
        </is>
      </c>
      <c r="D864" s="8" t="inlineStr">
        <is>
          <t>Public</t>
        </is>
      </c>
      <c r="E864" s="9" t="n">
        <v>14510</v>
      </c>
      <c r="F864" s="9" t="n">
        <v>48940</v>
      </c>
      <c r="G864" s="8">
        <f>RANK(F864,$F$5:$F$1561)</f>
        <v/>
      </c>
      <c r="H864" s="8" t="inlineStr"/>
      <c r="I864" s="9">
        <f>IF(D864="Private",E864,"")</f>
        <v/>
      </c>
      <c r="J864" s="9">
        <f>IF(D864="Private",F864,"")</f>
        <v/>
      </c>
    </row>
    <row r="865">
      <c r="A865" s="8" t="inlineStr">
        <is>
          <t>Carlow University</t>
        </is>
      </c>
      <c r="B865" s="8" t="inlineStr">
        <is>
          <t>Pittsburgh</t>
        </is>
      </c>
      <c r="C865" s="8" t="inlineStr">
        <is>
          <t>PA</t>
        </is>
      </c>
      <c r="D865" s="8" t="inlineStr">
        <is>
          <t>Private</t>
        </is>
      </c>
      <c r="E865" s="9" t="n">
        <v>19581</v>
      </c>
      <c r="F865" s="9" t="n">
        <v>48929</v>
      </c>
      <c r="G865" s="8">
        <f>RANK(F865,$F$5:$F$1561)</f>
        <v/>
      </c>
      <c r="H865" s="8" t="inlineStr"/>
      <c r="I865" s="9">
        <f>IF(D865="Private",E865,"")</f>
        <v/>
      </c>
      <c r="J865" s="9">
        <f>IF(D865="Private",F865,"")</f>
        <v/>
      </c>
    </row>
    <row r="866">
      <c r="A866" s="8" t="inlineStr">
        <is>
          <t>Ohio Dominican University</t>
        </is>
      </c>
      <c r="B866" s="8" t="inlineStr">
        <is>
          <t>Columbus</t>
        </is>
      </c>
      <c r="C866" s="8" t="inlineStr">
        <is>
          <t>OH</t>
        </is>
      </c>
      <c r="D866" s="8" t="inlineStr">
        <is>
          <t>Private</t>
        </is>
      </c>
      <c r="E866" s="9" t="n">
        <v>21015</v>
      </c>
      <c r="F866" s="9" t="n">
        <v>48904</v>
      </c>
      <c r="G866" s="8">
        <f>RANK(F866,$F$5:$F$1561)</f>
        <v/>
      </c>
      <c r="H866" s="8" t="inlineStr"/>
      <c r="I866" s="9">
        <f>IF(D866="Private",E866,"")</f>
        <v/>
      </c>
      <c r="J866" s="9">
        <f>IF(D866="Private",F866,"")</f>
        <v/>
      </c>
    </row>
    <row r="867">
      <c r="A867" s="8" t="inlineStr">
        <is>
          <t>The King's College</t>
        </is>
      </c>
      <c r="B867" s="8" t="inlineStr">
        <is>
          <t>New York</t>
        </is>
      </c>
      <c r="C867" s="8" t="inlineStr">
        <is>
          <t>NY</t>
        </is>
      </c>
      <c r="D867" s="8" t="inlineStr">
        <is>
          <t>Private</t>
        </is>
      </c>
      <c r="E867" s="9" t="n">
        <v>33868</v>
      </c>
      <c r="F867" s="9" t="n">
        <v>48900</v>
      </c>
      <c r="G867" s="8">
        <f>RANK(F867,$F$5:$F$1561)</f>
        <v/>
      </c>
      <c r="H867" s="8" t="inlineStr"/>
      <c r="I867" s="9">
        <f>IF(D867="Private",E867,"")</f>
        <v/>
      </c>
      <c r="J867" s="9">
        <f>IF(D867="Private",F867,"")</f>
        <v/>
      </c>
    </row>
    <row r="868">
      <c r="A868" s="8" t="inlineStr">
        <is>
          <t>Colorado Christian University</t>
        </is>
      </c>
      <c r="B868" s="8" t="inlineStr">
        <is>
          <t>Lakewood</t>
        </is>
      </c>
      <c r="C868" s="8" t="inlineStr">
        <is>
          <t>CO</t>
        </is>
      </c>
      <c r="D868" s="8" t="inlineStr">
        <is>
          <t>Private</t>
        </is>
      </c>
      <c r="E868" s="9" t="n">
        <v>25681</v>
      </c>
      <c r="F868" s="9" t="n">
        <v>48890</v>
      </c>
      <c r="G868" s="8">
        <f>RANK(F868,$F$5:$F$1561)</f>
        <v/>
      </c>
      <c r="H868" s="8" t="inlineStr"/>
      <c r="I868" s="9">
        <f>IF(D868="Private",E868,"")</f>
        <v/>
      </c>
      <c r="J868" s="9">
        <f>IF(D868="Private",F868,"")</f>
        <v/>
      </c>
    </row>
    <row r="869">
      <c r="A869" s="8" t="inlineStr">
        <is>
          <t>University of Wisconsin-Stevens Point</t>
        </is>
      </c>
      <c r="B869" s="8" t="inlineStr">
        <is>
          <t>Stevens Point</t>
        </is>
      </c>
      <c r="C869" s="8" t="inlineStr">
        <is>
          <t>WI</t>
        </is>
      </c>
      <c r="D869" s="8" t="inlineStr">
        <is>
          <t>Public</t>
        </is>
      </c>
      <c r="E869" s="9" t="n">
        <v>14434</v>
      </c>
      <c r="F869" s="9" t="n">
        <v>48872</v>
      </c>
      <c r="G869" s="8">
        <f>RANK(F869,$F$5:$F$1561)</f>
        <v/>
      </c>
      <c r="H869" s="8" t="inlineStr"/>
      <c r="I869" s="9">
        <f>IF(D869="Private",E869,"")</f>
        <v/>
      </c>
      <c r="J869" s="9">
        <f>IF(D869="Private",F869,"")</f>
        <v/>
      </c>
    </row>
    <row r="870">
      <c r="A870" s="8" t="inlineStr">
        <is>
          <t>Ottawa University-Ottawa</t>
        </is>
      </c>
      <c r="B870" s="8" t="inlineStr">
        <is>
          <t>Ottawa</t>
        </is>
      </c>
      <c r="C870" s="8" t="inlineStr">
        <is>
          <t>KS</t>
        </is>
      </c>
      <c r="D870" s="8" t="inlineStr">
        <is>
          <t>Private</t>
        </is>
      </c>
      <c r="E870" s="9" t="n">
        <v>26214</v>
      </c>
      <c r="F870" s="9" t="n">
        <v>48846</v>
      </c>
      <c r="G870" s="8">
        <f>RANK(F870,$F$5:$F$1561)</f>
        <v/>
      </c>
      <c r="H870" s="8" t="inlineStr"/>
      <c r="I870" s="9">
        <f>IF(D870="Private",E870,"")</f>
        <v/>
      </c>
      <c r="J870" s="9">
        <f>IF(D870="Private",F870,"")</f>
        <v/>
      </c>
    </row>
    <row r="871">
      <c r="A871" s="8" t="inlineStr">
        <is>
          <t>Ottawa University-Surprise</t>
        </is>
      </c>
      <c r="B871" s="8" t="inlineStr">
        <is>
          <t>Surprise</t>
        </is>
      </c>
      <c r="C871" s="8" t="inlineStr">
        <is>
          <t>AZ</t>
        </is>
      </c>
      <c r="D871" s="8" t="inlineStr">
        <is>
          <t>Private</t>
        </is>
      </c>
      <c r="E871" s="9" t="n">
        <v>32348</v>
      </c>
      <c r="F871" s="9" t="n">
        <v>48846</v>
      </c>
      <c r="G871" s="8">
        <f>RANK(F871,$F$5:$F$1561)</f>
        <v/>
      </c>
      <c r="H871" s="8" t="inlineStr"/>
      <c r="I871" s="9">
        <f>IF(D871="Private",E871,"")</f>
        <v/>
      </c>
      <c r="J871" s="9">
        <f>IF(D871="Private",F871,"")</f>
        <v/>
      </c>
    </row>
    <row r="872">
      <c r="A872" s="8" t="inlineStr">
        <is>
          <t>University of Saint Francis-Fort Wayne</t>
        </is>
      </c>
      <c r="B872" s="8" t="inlineStr">
        <is>
          <t>Fort Wayne</t>
        </is>
      </c>
      <c r="C872" s="8" t="inlineStr">
        <is>
          <t>IN</t>
        </is>
      </c>
      <c r="D872" s="8" t="inlineStr">
        <is>
          <t>Private</t>
        </is>
      </c>
      <c r="E872" s="9" t="n">
        <v>17773</v>
      </c>
      <c r="F872" s="9" t="n">
        <v>48788</v>
      </c>
      <c r="G872" s="8">
        <f>RANK(F872,$F$5:$F$1561)</f>
        <v/>
      </c>
      <c r="H872" s="8" t="inlineStr"/>
      <c r="I872" s="9">
        <f>IF(D872="Private",E872,"")</f>
        <v/>
      </c>
      <c r="J872" s="9">
        <f>IF(D872="Private",F872,"")</f>
        <v/>
      </c>
    </row>
    <row r="873">
      <c r="A873" s="8" t="inlineStr">
        <is>
          <t>Wayne State University</t>
        </is>
      </c>
      <c r="B873" s="8" t="inlineStr">
        <is>
          <t>Detroit</t>
        </is>
      </c>
      <c r="C873" s="8" t="inlineStr">
        <is>
          <t>MI</t>
        </is>
      </c>
      <c r="D873" s="8" t="inlineStr">
        <is>
          <t>Public</t>
        </is>
      </c>
      <c r="E873" s="9" t="n">
        <v>14728</v>
      </c>
      <c r="F873" s="9" t="n">
        <v>48752</v>
      </c>
      <c r="G873" s="8">
        <f>RANK(F873,$F$5:$F$1561)</f>
        <v/>
      </c>
      <c r="H873" s="8" t="inlineStr"/>
      <c r="I873" s="9">
        <f>IF(D873="Private",E873,"")</f>
        <v/>
      </c>
      <c r="J873" s="9">
        <f>IF(D873="Private",F873,"")</f>
        <v/>
      </c>
    </row>
    <row r="874">
      <c r="A874" s="8" t="inlineStr">
        <is>
          <t>Malone University</t>
        </is>
      </c>
      <c r="B874" s="8" t="inlineStr">
        <is>
          <t>Canton</t>
        </is>
      </c>
      <c r="C874" s="8" t="inlineStr">
        <is>
          <t>OH</t>
        </is>
      </c>
      <c r="D874" s="8" t="inlineStr">
        <is>
          <t>Private</t>
        </is>
      </c>
      <c r="E874" s="9" t="n">
        <v>18203</v>
      </c>
      <c r="F874" s="9" t="n">
        <v>48729</v>
      </c>
      <c r="G874" s="8">
        <f>RANK(F874,$F$5:$F$1561)</f>
        <v/>
      </c>
      <c r="H874" s="8" t="inlineStr"/>
      <c r="I874" s="9">
        <f>IF(D874="Private",E874,"")</f>
        <v/>
      </c>
      <c r="J874" s="9">
        <f>IF(D874="Private",F874,"")</f>
        <v/>
      </c>
    </row>
    <row r="875">
      <c r="A875" s="8" t="inlineStr">
        <is>
          <t>Granite State College</t>
        </is>
      </c>
      <c r="B875" s="8" t="inlineStr">
        <is>
          <t>Concord</t>
        </is>
      </c>
      <c r="C875" s="8" t="inlineStr">
        <is>
          <t>NH</t>
        </is>
      </c>
      <c r="D875" s="8" t="inlineStr">
        <is>
          <t>Public</t>
        </is>
      </c>
      <c r="E875" s="9" t="n">
        <v>11615</v>
      </c>
      <c r="F875" s="9" t="n">
        <v>48686</v>
      </c>
      <c r="G875" s="8">
        <f>RANK(F875,$F$5:$F$1561)</f>
        <v/>
      </c>
      <c r="H875" s="8" t="inlineStr"/>
      <c r="I875" s="9">
        <f>IF(D875="Private",E875,"")</f>
        <v/>
      </c>
      <c r="J875" s="9">
        <f>IF(D875="Private",F875,"")</f>
        <v/>
      </c>
    </row>
    <row r="876">
      <c r="A876" s="8" t="inlineStr">
        <is>
          <t>Colorado State University Pueblo</t>
        </is>
      </c>
      <c r="B876" s="8" t="inlineStr">
        <is>
          <t>Pueblo</t>
        </is>
      </c>
      <c r="C876" s="8" t="inlineStr">
        <is>
          <t>CO</t>
        </is>
      </c>
      <c r="D876" s="8" t="inlineStr">
        <is>
          <t>Public</t>
        </is>
      </c>
      <c r="E876" s="9" t="n">
        <v>13999</v>
      </c>
      <c r="F876" s="9" t="n">
        <v>48674</v>
      </c>
      <c r="G876" s="8">
        <f>RANK(F876,$F$5:$F$1561)</f>
        <v/>
      </c>
      <c r="H876" s="8" t="inlineStr"/>
      <c r="I876" s="9">
        <f>IF(D876="Private",E876,"")</f>
        <v/>
      </c>
      <c r="J876" s="9">
        <f>IF(D876="Private",F876,"")</f>
        <v/>
      </c>
    </row>
    <row r="877">
      <c r="A877" s="8" t="inlineStr">
        <is>
          <t>Valley City State University</t>
        </is>
      </c>
      <c r="B877" s="8" t="inlineStr">
        <is>
          <t>Valley City</t>
        </is>
      </c>
      <c r="C877" s="8" t="inlineStr">
        <is>
          <t>ND</t>
        </is>
      </c>
      <c r="D877" s="8" t="inlineStr">
        <is>
          <t>Public</t>
        </is>
      </c>
      <c r="E877" s="9" t="n">
        <v>13060</v>
      </c>
      <c r="F877" s="9" t="n">
        <v>48672</v>
      </c>
      <c r="G877" s="8">
        <f>RANK(F877,$F$5:$F$1561)</f>
        <v/>
      </c>
      <c r="H877" s="8" t="inlineStr"/>
      <c r="I877" s="9">
        <f>IF(D877="Private",E877,"")</f>
        <v/>
      </c>
      <c r="J877" s="9">
        <f>IF(D877="Private",F877,"")</f>
        <v/>
      </c>
    </row>
    <row r="878">
      <c r="A878" s="8" t="inlineStr">
        <is>
          <t>Averett University</t>
        </is>
      </c>
      <c r="B878" s="8" t="inlineStr">
        <is>
          <t>Danville</t>
        </is>
      </c>
      <c r="C878" s="8" t="inlineStr">
        <is>
          <t>VA</t>
        </is>
      </c>
      <c r="D878" s="8" t="inlineStr">
        <is>
          <t>Private</t>
        </is>
      </c>
      <c r="E878" s="9" t="n">
        <v>22914</v>
      </c>
      <c r="F878" s="9" t="n">
        <v>48621</v>
      </c>
      <c r="G878" s="8">
        <f>RANK(F878,$F$5:$F$1561)</f>
        <v/>
      </c>
      <c r="H878" s="8" t="inlineStr"/>
      <c r="I878" s="9">
        <f>IF(D878="Private",E878,"")</f>
        <v/>
      </c>
      <c r="J878" s="9">
        <f>IF(D878="Private",F878,"")</f>
        <v/>
      </c>
    </row>
    <row r="879">
      <c r="A879" s="8" t="inlineStr">
        <is>
          <t>La Roche University</t>
        </is>
      </c>
      <c r="B879" s="8" t="inlineStr">
        <is>
          <t>Pittsburgh</t>
        </is>
      </c>
      <c r="C879" s="8" t="inlineStr">
        <is>
          <t>PA</t>
        </is>
      </c>
      <c r="D879" s="8" t="inlineStr">
        <is>
          <t>Private</t>
        </is>
      </c>
      <c r="E879" s="9" t="n">
        <v>22044</v>
      </c>
      <c r="F879" s="9" t="n">
        <v>48621</v>
      </c>
      <c r="G879" s="8">
        <f>RANK(F879,$F$5:$F$1561)</f>
        <v/>
      </c>
      <c r="H879" s="8" t="inlineStr"/>
      <c r="I879" s="9">
        <f>IF(D879="Private",E879,"")</f>
        <v/>
      </c>
      <c r="J879" s="9">
        <f>IF(D879="Private",F879,"")</f>
        <v/>
      </c>
    </row>
    <row r="880">
      <c r="A880" s="8" t="inlineStr">
        <is>
          <t>Rosemont College</t>
        </is>
      </c>
      <c r="B880" s="8" t="inlineStr">
        <is>
          <t>Rosemont</t>
        </is>
      </c>
      <c r="C880" s="8" t="inlineStr">
        <is>
          <t>PA</t>
        </is>
      </c>
      <c r="D880" s="8" t="inlineStr">
        <is>
          <t>Private</t>
        </is>
      </c>
      <c r="E880" s="9" t="n">
        <v>22806</v>
      </c>
      <c r="F880" s="9" t="n">
        <v>48596</v>
      </c>
      <c r="G880" s="8">
        <f>RANK(F880,$F$5:$F$1561)</f>
        <v/>
      </c>
      <c r="H880" s="8" t="inlineStr"/>
      <c r="I880" s="9">
        <f>IF(D880="Private",E880,"")</f>
        <v/>
      </c>
      <c r="J880" s="9">
        <f>IF(D880="Private",F880,"")</f>
        <v/>
      </c>
    </row>
    <row r="881">
      <c r="A881" s="8" t="inlineStr">
        <is>
          <t>Saint Joseph's College of Maine</t>
        </is>
      </c>
      <c r="B881" s="8" t="inlineStr">
        <is>
          <t>Standish</t>
        </is>
      </c>
      <c r="C881" s="8" t="inlineStr">
        <is>
          <t>ME</t>
        </is>
      </c>
      <c r="D881" s="8" t="inlineStr">
        <is>
          <t>Private</t>
        </is>
      </c>
      <c r="E881" s="9" t="n">
        <v>29195</v>
      </c>
      <c r="F881" s="9" t="n">
        <v>48562</v>
      </c>
      <c r="G881" s="8">
        <f>RANK(F881,$F$5:$F$1561)</f>
        <v/>
      </c>
      <c r="H881" s="8" t="inlineStr"/>
      <c r="I881" s="9">
        <f>IF(D881="Private",E881,"")</f>
        <v/>
      </c>
      <c r="J881" s="9">
        <f>IF(D881="Private",F881,"")</f>
        <v/>
      </c>
    </row>
    <row r="882">
      <c r="A882" s="8" t="inlineStr">
        <is>
          <t>University of Maine</t>
        </is>
      </c>
      <c r="B882" s="8" t="inlineStr">
        <is>
          <t>Orono</t>
        </is>
      </c>
      <c r="C882" s="8" t="inlineStr">
        <is>
          <t>ME</t>
        </is>
      </c>
      <c r="D882" s="8" t="inlineStr">
        <is>
          <t>Public</t>
        </is>
      </c>
      <c r="E882" s="9" t="n">
        <v>17067</v>
      </c>
      <c r="F882" s="9" t="n">
        <v>48550</v>
      </c>
      <c r="G882" s="8">
        <f>RANK(F882,$F$5:$F$1561)</f>
        <v/>
      </c>
      <c r="H882" s="8" t="inlineStr"/>
      <c r="I882" s="9">
        <f>IF(D882="Private",E882,"")</f>
        <v/>
      </c>
      <c r="J882" s="9">
        <f>IF(D882="Private",F882,"")</f>
        <v/>
      </c>
    </row>
    <row r="883">
      <c r="A883" s="8" t="inlineStr">
        <is>
          <t>Alverno College</t>
        </is>
      </c>
      <c r="B883" s="8" t="inlineStr">
        <is>
          <t>Milwaukee</t>
        </is>
      </c>
      <c r="C883" s="8" t="inlineStr">
        <is>
          <t>WI</t>
        </is>
      </c>
      <c r="D883" s="8" t="inlineStr">
        <is>
          <t>Private</t>
        </is>
      </c>
      <c r="E883" s="9" t="n">
        <v>17586</v>
      </c>
      <c r="F883" s="9" t="n">
        <v>48547</v>
      </c>
      <c r="G883" s="8">
        <f>RANK(F883,$F$5:$F$1561)</f>
        <v/>
      </c>
      <c r="H883" s="8" t="inlineStr"/>
      <c r="I883" s="9">
        <f>IF(D883="Private",E883,"")</f>
        <v/>
      </c>
      <c r="J883" s="9">
        <f>IF(D883="Private",F883,"")</f>
        <v/>
      </c>
    </row>
    <row r="884">
      <c r="A884" s="8" t="inlineStr">
        <is>
          <t>Goldey-Beacom College</t>
        </is>
      </c>
      <c r="B884" s="8" t="inlineStr">
        <is>
          <t>Wilmington</t>
        </is>
      </c>
      <c r="C884" s="8" t="inlineStr">
        <is>
          <t>DE</t>
        </is>
      </c>
      <c r="D884" s="8" t="inlineStr">
        <is>
          <t>Private</t>
        </is>
      </c>
      <c r="E884" s="9" t="n">
        <v>13206</v>
      </c>
      <c r="F884" s="9" t="n">
        <v>48508</v>
      </c>
      <c r="G884" s="8">
        <f>RANK(F884,$F$5:$F$1561)</f>
        <v/>
      </c>
      <c r="H884" s="8" t="inlineStr"/>
      <c r="I884" s="9">
        <f>IF(D884="Private",E884,"")</f>
        <v/>
      </c>
      <c r="J884" s="9">
        <f>IF(D884="Private",F884,"")</f>
        <v/>
      </c>
    </row>
    <row r="885">
      <c r="A885" s="8" t="inlineStr">
        <is>
          <t>Manchester University</t>
        </is>
      </c>
      <c r="B885" s="8" t="inlineStr">
        <is>
          <t>North Manchester</t>
        </is>
      </c>
      <c r="C885" s="8" t="inlineStr">
        <is>
          <t>IN</t>
        </is>
      </c>
      <c r="D885" s="8" t="inlineStr">
        <is>
          <t>Private</t>
        </is>
      </c>
      <c r="E885" s="9" t="n">
        <v>16986</v>
      </c>
      <c r="F885" s="9" t="n">
        <v>48502</v>
      </c>
      <c r="G885" s="8">
        <f>RANK(F885,$F$5:$F$1561)</f>
        <v/>
      </c>
      <c r="H885" s="8" t="inlineStr"/>
      <c r="I885" s="9">
        <f>IF(D885="Private",E885,"")</f>
        <v/>
      </c>
      <c r="J885" s="9">
        <f>IF(D885="Private",F885,"")</f>
        <v/>
      </c>
    </row>
    <row r="886">
      <c r="A886" s="8" t="inlineStr">
        <is>
          <t>Texas A &amp; M University-Commerce</t>
        </is>
      </c>
      <c r="B886" s="8" t="inlineStr">
        <is>
          <t>Commerce</t>
        </is>
      </c>
      <c r="C886" s="8" t="inlineStr">
        <is>
          <t>TX</t>
        </is>
      </c>
      <c r="D886" s="8" t="inlineStr">
        <is>
          <t>Public</t>
        </is>
      </c>
      <c r="E886" s="9" t="n">
        <v>13931</v>
      </c>
      <c r="F886" s="9" t="n">
        <v>48471</v>
      </c>
      <c r="G886" s="8">
        <f>RANK(F886,$F$5:$F$1561)</f>
        <v/>
      </c>
      <c r="H886" s="8" t="inlineStr"/>
      <c r="I886" s="9">
        <f>IF(D886="Private",E886,"")</f>
        <v/>
      </c>
      <c r="J886" s="9">
        <f>IF(D886="Private",F886,"")</f>
        <v/>
      </c>
    </row>
    <row r="887">
      <c r="A887" s="8" t="inlineStr">
        <is>
          <t>University of Northwestern Ohio</t>
        </is>
      </c>
      <c r="B887" s="8" t="inlineStr">
        <is>
          <t>Lima</t>
        </is>
      </c>
      <c r="C887" s="8" t="inlineStr">
        <is>
          <t>OH</t>
        </is>
      </c>
      <c r="D887" s="8" t="inlineStr">
        <is>
          <t>Private</t>
        </is>
      </c>
      <c r="E887" s="9" t="n">
        <v>20004</v>
      </c>
      <c r="F887" s="9" t="n">
        <v>48453</v>
      </c>
      <c r="G887" s="8">
        <f>RANK(F887,$F$5:$F$1561)</f>
        <v/>
      </c>
      <c r="H887" s="8" t="inlineStr"/>
      <c r="I887" s="9">
        <f>IF(D887="Private",E887,"")</f>
        <v/>
      </c>
      <c r="J887" s="9">
        <f>IF(D887="Private",F887,"")</f>
        <v/>
      </c>
    </row>
    <row r="888">
      <c r="A888" s="8" t="inlineStr">
        <is>
          <t>University of Nebraska at Kearney</t>
        </is>
      </c>
      <c r="B888" s="8" t="inlineStr">
        <is>
          <t>Kearney</t>
        </is>
      </c>
      <c r="C888" s="8" t="inlineStr">
        <is>
          <t>NE</t>
        </is>
      </c>
      <c r="D888" s="8" t="inlineStr">
        <is>
          <t>Public</t>
        </is>
      </c>
      <c r="E888" s="9" t="n">
        <v>16611</v>
      </c>
      <c r="F888" s="9" t="n">
        <v>48453</v>
      </c>
      <c r="G888" s="8">
        <f>RANK(F888,$F$5:$F$1561)</f>
        <v/>
      </c>
      <c r="H888" s="8" t="inlineStr"/>
      <c r="I888" s="9">
        <f>IF(D888="Private",E888,"")</f>
        <v/>
      </c>
      <c r="J888" s="9">
        <f>IF(D888="Private",F888,"")</f>
        <v/>
      </c>
    </row>
    <row r="889">
      <c r="A889" s="8" t="inlineStr">
        <is>
          <t>Bryan College-Dayton</t>
        </is>
      </c>
      <c r="B889" s="8" t="inlineStr">
        <is>
          <t>Dayton</t>
        </is>
      </c>
      <c r="C889" s="8" t="inlineStr">
        <is>
          <t>TN</t>
        </is>
      </c>
      <c r="D889" s="8" t="inlineStr">
        <is>
          <t>Private</t>
        </is>
      </c>
      <c r="E889" s="9" t="n">
        <v>15470</v>
      </c>
      <c r="F889" s="9" t="n">
        <v>48386</v>
      </c>
      <c r="G889" s="8">
        <f>RANK(F889,$F$5:$F$1561)</f>
        <v/>
      </c>
      <c r="H889" s="8" t="inlineStr"/>
      <c r="I889" s="9">
        <f>IF(D889="Private",E889,"")</f>
        <v/>
      </c>
      <c r="J889" s="9">
        <f>IF(D889="Private",F889,"")</f>
        <v/>
      </c>
    </row>
    <row r="890">
      <c r="A890" s="8" t="inlineStr">
        <is>
          <t>Lake Erie College</t>
        </is>
      </c>
      <c r="B890" s="8" t="inlineStr">
        <is>
          <t>Painesville</t>
        </is>
      </c>
      <c r="C890" s="8" t="inlineStr">
        <is>
          <t>OH</t>
        </is>
      </c>
      <c r="D890" s="8" t="inlineStr">
        <is>
          <t>Private</t>
        </is>
      </c>
      <c r="E890" s="9" t="n">
        <v>21216</v>
      </c>
      <c r="F890" s="9" t="n">
        <v>48356</v>
      </c>
      <c r="G890" s="8">
        <f>RANK(F890,$F$5:$F$1561)</f>
        <v/>
      </c>
      <c r="H890" s="8" t="inlineStr"/>
      <c r="I890" s="9">
        <f>IF(D890="Private",E890,"")</f>
        <v/>
      </c>
      <c r="J890" s="9">
        <f>IF(D890="Private",F890,"")</f>
        <v/>
      </c>
    </row>
    <row r="891">
      <c r="A891" s="8" t="inlineStr">
        <is>
          <t>Appalachian State University</t>
        </is>
      </c>
      <c r="B891" s="8" t="inlineStr">
        <is>
          <t>Boone</t>
        </is>
      </c>
      <c r="C891" s="8" t="inlineStr">
        <is>
          <t>NC</t>
        </is>
      </c>
      <c r="D891" s="8" t="inlineStr">
        <is>
          <t>Public</t>
        </is>
      </c>
      <c r="E891" s="9" t="n">
        <v>13897</v>
      </c>
      <c r="F891" s="9" t="n">
        <v>48352</v>
      </c>
      <c r="G891" s="8">
        <f>RANK(F891,$F$5:$F$1561)</f>
        <v/>
      </c>
      <c r="H891" s="8" t="inlineStr"/>
      <c r="I891" s="9">
        <f>IF(D891="Private",E891,"")</f>
        <v/>
      </c>
      <c r="J891" s="9">
        <f>IF(D891="Private",F891,"")</f>
        <v/>
      </c>
    </row>
    <row r="892">
      <c r="A892" s="8" t="inlineStr">
        <is>
          <t>Saint Elizabeth University</t>
        </is>
      </c>
      <c r="B892" s="8" t="inlineStr">
        <is>
          <t>Morristown</t>
        </is>
      </c>
      <c r="C892" s="8" t="inlineStr">
        <is>
          <t>NJ</t>
        </is>
      </c>
      <c r="D892" s="8" t="inlineStr">
        <is>
          <t>Private</t>
        </is>
      </c>
      <c r="E892" s="9" t="n">
        <v>21452</v>
      </c>
      <c r="F892" s="9" t="n">
        <v>48352</v>
      </c>
      <c r="G892" s="8">
        <f>RANK(F892,$F$5:$F$1561)</f>
        <v/>
      </c>
      <c r="H892" s="8" t="inlineStr"/>
      <c r="I892" s="9">
        <f>IF(D892="Private",E892,"")</f>
        <v/>
      </c>
      <c r="J892" s="9">
        <f>IF(D892="Private",F892,"")</f>
        <v/>
      </c>
    </row>
    <row r="893">
      <c r="A893" s="8" t="inlineStr">
        <is>
          <t>Bennington College</t>
        </is>
      </c>
      <c r="B893" s="8" t="inlineStr">
        <is>
          <t>Bennington</t>
        </is>
      </c>
      <c r="C893" s="8" t="inlineStr">
        <is>
          <t>VT</t>
        </is>
      </c>
      <c r="D893" s="8" t="inlineStr">
        <is>
          <t>Private</t>
        </is>
      </c>
      <c r="E893" s="9" t="n">
        <v>28502</v>
      </c>
      <c r="F893" s="9" t="n">
        <v>48343</v>
      </c>
      <c r="G893" s="8">
        <f>RANK(F893,$F$5:$F$1561)</f>
        <v/>
      </c>
      <c r="H893" s="8" t="inlineStr"/>
      <c r="I893" s="9">
        <f>IF(D893="Private",E893,"")</f>
        <v/>
      </c>
      <c r="J893" s="9">
        <f>IF(D893="Private",F893,"")</f>
        <v/>
      </c>
    </row>
    <row r="894">
      <c r="A894" s="8" t="inlineStr">
        <is>
          <t>Fontbonne University</t>
        </is>
      </c>
      <c r="B894" s="8" t="inlineStr">
        <is>
          <t>Saint Louis</t>
        </is>
      </c>
      <c r="C894" s="8" t="inlineStr">
        <is>
          <t>MO</t>
        </is>
      </c>
      <c r="D894" s="8" t="inlineStr">
        <is>
          <t>Private</t>
        </is>
      </c>
      <c r="E894" s="9" t="n">
        <v>18111</v>
      </c>
      <c r="F894" s="9" t="n">
        <v>48326</v>
      </c>
      <c r="G894" s="8">
        <f>RANK(F894,$F$5:$F$1561)</f>
        <v/>
      </c>
      <c r="H894" s="8" t="inlineStr"/>
      <c r="I894" s="9">
        <f>IF(D894="Private",E894,"")</f>
        <v/>
      </c>
      <c r="J894" s="9">
        <f>IF(D894="Private",F894,"")</f>
        <v/>
      </c>
    </row>
    <row r="895">
      <c r="A895" s="8" t="inlineStr">
        <is>
          <t>Marymount Manhattan College</t>
        </is>
      </c>
      <c r="B895" s="8" t="inlineStr">
        <is>
          <t>New York</t>
        </is>
      </c>
      <c r="C895" s="8" t="inlineStr">
        <is>
          <t>NY</t>
        </is>
      </c>
      <c r="D895" s="8" t="inlineStr">
        <is>
          <t>Private</t>
        </is>
      </c>
      <c r="E895" s="9" t="n">
        <v>30721</v>
      </c>
      <c r="F895" s="9" t="n">
        <v>48320</v>
      </c>
      <c r="G895" s="8">
        <f>RANK(F895,$F$5:$F$1561)</f>
        <v/>
      </c>
      <c r="H895" s="8" t="inlineStr"/>
      <c r="I895" s="9">
        <f>IF(D895="Private",E895,"")</f>
        <v/>
      </c>
      <c r="J895" s="9">
        <f>IF(D895="Private",F895,"")</f>
        <v/>
      </c>
    </row>
    <row r="896">
      <c r="A896" s="8" t="inlineStr">
        <is>
          <t>Benedictine College</t>
        </is>
      </c>
      <c r="B896" s="8" t="inlineStr">
        <is>
          <t>Atchison</t>
        </is>
      </c>
      <c r="C896" s="8" t="inlineStr">
        <is>
          <t>KS</t>
        </is>
      </c>
      <c r="D896" s="8" t="inlineStr">
        <is>
          <t>Private</t>
        </is>
      </c>
      <c r="E896" s="9" t="n">
        <v>26321</v>
      </c>
      <c r="F896" s="9" t="n">
        <v>48297</v>
      </c>
      <c r="G896" s="8">
        <f>RANK(F896,$F$5:$F$1561)</f>
        <v/>
      </c>
      <c r="H896" s="8" t="inlineStr"/>
      <c r="I896" s="9">
        <f>IF(D896="Private",E896,"")</f>
        <v/>
      </c>
      <c r="J896" s="9">
        <f>IF(D896="Private",F896,"")</f>
        <v/>
      </c>
    </row>
    <row r="897">
      <c r="A897" s="8" t="inlineStr">
        <is>
          <t>Mississippi State University</t>
        </is>
      </c>
      <c r="B897" s="8" t="inlineStr">
        <is>
          <t>Mississippi State</t>
        </is>
      </c>
      <c r="C897" s="8" t="inlineStr">
        <is>
          <t>MS</t>
        </is>
      </c>
      <c r="D897" s="8" t="inlineStr">
        <is>
          <t>Public</t>
        </is>
      </c>
      <c r="E897" s="9" t="n">
        <v>15891</v>
      </c>
      <c r="F897" s="9" t="n">
        <v>48296</v>
      </c>
      <c r="G897" s="8">
        <f>RANK(F897,$F$5:$F$1561)</f>
        <v/>
      </c>
      <c r="H897" s="8" t="inlineStr"/>
      <c r="I897" s="9">
        <f>IF(D897="Private",E897,"")</f>
        <v/>
      </c>
      <c r="J897" s="9">
        <f>IF(D897="Private",F897,"")</f>
        <v/>
      </c>
    </row>
    <row r="898">
      <c r="A898" s="8" t="inlineStr">
        <is>
          <t>Stephen F Austin State University</t>
        </is>
      </c>
      <c r="B898" s="8" t="inlineStr">
        <is>
          <t>Nacogdoches</t>
        </is>
      </c>
      <c r="C898" s="8" t="inlineStr">
        <is>
          <t>TX</t>
        </is>
      </c>
      <c r="D898" s="8" t="inlineStr">
        <is>
          <t>Public</t>
        </is>
      </c>
      <c r="E898" s="9" t="n">
        <v>15708</v>
      </c>
      <c r="F898" s="9" t="n">
        <v>48292</v>
      </c>
      <c r="G898" s="8">
        <f>RANK(F898,$F$5:$F$1561)</f>
        <v/>
      </c>
      <c r="H898" s="8" t="inlineStr"/>
      <c r="I898" s="9">
        <f>IF(D898="Private",E898,"")</f>
        <v/>
      </c>
      <c r="J898" s="9">
        <f>IF(D898="Private",F898,"")</f>
        <v/>
      </c>
    </row>
    <row r="899">
      <c r="A899" s="8" t="inlineStr">
        <is>
          <t>Howard Payne University</t>
        </is>
      </c>
      <c r="B899" s="8" t="inlineStr">
        <is>
          <t>Brownwood</t>
        </is>
      </c>
      <c r="C899" s="8" t="inlineStr">
        <is>
          <t>TX</t>
        </is>
      </c>
      <c r="D899" s="8" t="inlineStr">
        <is>
          <t>Private</t>
        </is>
      </c>
      <c r="E899" s="9" t="n">
        <v>23310</v>
      </c>
      <c r="F899" s="9" t="n">
        <v>48283</v>
      </c>
      <c r="G899" s="8">
        <f>RANK(F899,$F$5:$F$1561)</f>
        <v/>
      </c>
      <c r="H899" s="8" t="inlineStr"/>
      <c r="I899" s="9">
        <f>IF(D899="Private",E899,"")</f>
        <v/>
      </c>
      <c r="J899" s="9">
        <f>IF(D899="Private",F899,"")</f>
        <v/>
      </c>
    </row>
    <row r="900">
      <c r="A900" s="8" t="inlineStr">
        <is>
          <t>Saginaw Valley State University</t>
        </is>
      </c>
      <c r="B900" s="8" t="inlineStr">
        <is>
          <t>University Center</t>
        </is>
      </c>
      <c r="C900" s="8" t="inlineStr">
        <is>
          <t>MI</t>
        </is>
      </c>
      <c r="D900" s="8" t="inlineStr">
        <is>
          <t>Public</t>
        </is>
      </c>
      <c r="E900" s="9" t="n">
        <v>15335</v>
      </c>
      <c r="F900" s="9" t="n">
        <v>48256</v>
      </c>
      <c r="G900" s="8">
        <f>RANK(F900,$F$5:$F$1561)</f>
        <v/>
      </c>
      <c r="H900" s="8" t="inlineStr"/>
      <c r="I900" s="9">
        <f>IF(D900="Private",E900,"")</f>
        <v/>
      </c>
      <c r="J900" s="9">
        <f>IF(D900="Private",F900,"")</f>
        <v/>
      </c>
    </row>
    <row r="901">
      <c r="A901" s="8" t="inlineStr">
        <is>
          <t>SUNY at Fredonia</t>
        </is>
      </c>
      <c r="B901" s="8" t="inlineStr">
        <is>
          <t>Fredonia</t>
        </is>
      </c>
      <c r="C901" s="8" t="inlineStr">
        <is>
          <t>NY</t>
        </is>
      </c>
      <c r="D901" s="8" t="inlineStr">
        <is>
          <t>Public</t>
        </is>
      </c>
      <c r="E901" s="9" t="n">
        <v>15792</v>
      </c>
      <c r="F901" s="9" t="n">
        <v>48236</v>
      </c>
      <c r="G901" s="8">
        <f>RANK(F901,$F$5:$F$1561)</f>
        <v/>
      </c>
      <c r="H901" s="8" t="inlineStr"/>
      <c r="I901" s="9">
        <f>IF(D901="Private",E901,"")</f>
        <v/>
      </c>
      <c r="J901" s="9">
        <f>IF(D901="Private",F901,"")</f>
        <v/>
      </c>
    </row>
    <row r="902">
      <c r="A902" s="8" t="inlineStr">
        <is>
          <t>Hendrix College</t>
        </is>
      </c>
      <c r="B902" s="8" t="inlineStr">
        <is>
          <t>Conway</t>
        </is>
      </c>
      <c r="C902" s="8" t="inlineStr">
        <is>
          <t>AR</t>
        </is>
      </c>
      <c r="D902" s="8" t="inlineStr">
        <is>
          <t>Private</t>
        </is>
      </c>
      <c r="E902" s="9" t="n">
        <v>10299</v>
      </c>
      <c r="F902" s="9" t="n">
        <v>48230</v>
      </c>
      <c r="G902" s="8">
        <f>RANK(F902,$F$5:$F$1561)</f>
        <v/>
      </c>
      <c r="H902" s="8" t="inlineStr"/>
      <c r="I902" s="9">
        <f>IF(D902="Private",E902,"")</f>
        <v/>
      </c>
      <c r="J902" s="9">
        <f>IF(D902="Private",F902,"")</f>
        <v/>
      </c>
    </row>
    <row r="903">
      <c r="A903" s="8" t="inlineStr">
        <is>
          <t>Georgia Gwinnett College</t>
        </is>
      </c>
      <c r="B903" s="8" t="inlineStr">
        <is>
          <t>Lawrenceville</t>
        </is>
      </c>
      <c r="C903" s="8" t="inlineStr">
        <is>
          <t>GA</t>
        </is>
      </c>
      <c r="D903" s="8" t="inlineStr">
        <is>
          <t>Public</t>
        </is>
      </c>
      <c r="E903" s="9" t="n">
        <v>11400</v>
      </c>
      <c r="F903" s="9" t="n">
        <v>48225</v>
      </c>
      <c r="G903" s="8">
        <f>RANK(F903,$F$5:$F$1561)</f>
        <v/>
      </c>
      <c r="H903" s="8" t="inlineStr"/>
      <c r="I903" s="9">
        <f>IF(D903="Private",E903,"")</f>
        <v/>
      </c>
      <c r="J903" s="9">
        <f>IF(D903="Private",F903,"")</f>
        <v/>
      </c>
    </row>
    <row r="904">
      <c r="A904" s="8" t="inlineStr">
        <is>
          <t>Bethel University</t>
        </is>
      </c>
      <c r="B904" s="8" t="inlineStr">
        <is>
          <t>Mishawaka</t>
        </is>
      </c>
      <c r="C904" s="8" t="inlineStr">
        <is>
          <t>IN</t>
        </is>
      </c>
      <c r="D904" s="8" t="inlineStr">
        <is>
          <t>Private</t>
        </is>
      </c>
      <c r="E904" s="9" t="n">
        <v>17597</v>
      </c>
      <c r="F904" s="9" t="n">
        <v>48166</v>
      </c>
      <c r="G904" s="8">
        <f>RANK(F904,$F$5:$F$1561)</f>
        <v/>
      </c>
      <c r="H904" s="8" t="inlineStr"/>
      <c r="I904" s="9">
        <f>IF(D904="Private",E904,"")</f>
        <v/>
      </c>
      <c r="J904" s="9">
        <f>IF(D904="Private",F904,"")</f>
        <v/>
      </c>
    </row>
    <row r="905">
      <c r="A905" s="8" t="inlineStr">
        <is>
          <t>Castleton University</t>
        </is>
      </c>
      <c r="B905" s="8" t="inlineStr">
        <is>
          <t>Castleton</t>
        </is>
      </c>
      <c r="C905" s="8" t="inlineStr">
        <is>
          <t>VT</t>
        </is>
      </c>
      <c r="D905" s="8" t="inlineStr">
        <is>
          <t>Public</t>
        </is>
      </c>
      <c r="E905" s="9" t="n">
        <v>17575</v>
      </c>
      <c r="F905" s="9" t="n">
        <v>48163</v>
      </c>
      <c r="G905" s="8">
        <f>RANK(F905,$F$5:$F$1561)</f>
        <v/>
      </c>
      <c r="H905" s="8" t="inlineStr"/>
      <c r="I905" s="9">
        <f>IF(D905="Private",E905,"")</f>
        <v/>
      </c>
      <c r="J905" s="9">
        <f>IF(D905="Private",F905,"")</f>
        <v/>
      </c>
    </row>
    <row r="906">
      <c r="A906" s="8" t="inlineStr">
        <is>
          <t>Spalding University</t>
        </is>
      </c>
      <c r="B906" s="8" t="inlineStr">
        <is>
          <t>Louisville</t>
        </is>
      </c>
      <c r="C906" s="8" t="inlineStr">
        <is>
          <t>KY</t>
        </is>
      </c>
      <c r="D906" s="8" t="inlineStr">
        <is>
          <t>Private</t>
        </is>
      </c>
      <c r="E906" s="9" t="n">
        <v>22977</v>
      </c>
      <c r="F906" s="9" t="n">
        <v>48144</v>
      </c>
      <c r="G906" s="8">
        <f>RANK(F906,$F$5:$F$1561)</f>
        <v/>
      </c>
      <c r="H906" s="8" t="inlineStr"/>
      <c r="I906" s="9">
        <f>IF(D906="Private",E906,"")</f>
        <v/>
      </c>
      <c r="J906" s="9">
        <f>IF(D906="Private",F906,"")</f>
        <v/>
      </c>
    </row>
    <row r="907">
      <c r="A907" s="8" t="inlineStr">
        <is>
          <t>Concordia University-Nebraska</t>
        </is>
      </c>
      <c r="B907" s="8" t="inlineStr">
        <is>
          <t>Seward</t>
        </is>
      </c>
      <c r="C907" s="8" t="inlineStr">
        <is>
          <t>NE</t>
        </is>
      </c>
      <c r="D907" s="8" t="inlineStr">
        <is>
          <t>Private</t>
        </is>
      </c>
      <c r="E907" s="9" t="n">
        <v>22029</v>
      </c>
      <c r="F907" s="9" t="n">
        <v>48132</v>
      </c>
      <c r="G907" s="8">
        <f>RANK(F907,$F$5:$F$1561)</f>
        <v/>
      </c>
      <c r="H907" s="8" t="inlineStr"/>
      <c r="I907" s="9">
        <f>IF(D907="Private",E907,"")</f>
        <v/>
      </c>
      <c r="J907" s="9">
        <f>IF(D907="Private",F907,"")</f>
        <v/>
      </c>
    </row>
    <row r="908">
      <c r="A908" s="8" t="inlineStr">
        <is>
          <t>Lock Haven University</t>
        </is>
      </c>
      <c r="B908" s="8" t="inlineStr">
        <is>
          <t>Lock Haven</t>
        </is>
      </c>
      <c r="C908" s="8" t="inlineStr">
        <is>
          <t>PA</t>
        </is>
      </c>
      <c r="D908" s="8" t="inlineStr">
        <is>
          <t>Public</t>
        </is>
      </c>
      <c r="E908" s="9" t="n">
        <v>15583</v>
      </c>
      <c r="F908" s="9" t="n">
        <v>48116</v>
      </c>
      <c r="G908" s="8">
        <f>RANK(F908,$F$5:$F$1561)</f>
        <v/>
      </c>
      <c r="H908" s="8" t="inlineStr"/>
      <c r="I908" s="9">
        <f>IF(D908="Private",E908,"")</f>
        <v/>
      </c>
      <c r="J908" s="9">
        <f>IF(D908="Private",F908,"")</f>
        <v/>
      </c>
    </row>
    <row r="909">
      <c r="A909" s="8" t="inlineStr">
        <is>
          <t>Piedmont University</t>
        </is>
      </c>
      <c r="B909" s="8" t="inlineStr">
        <is>
          <t>Demorest</t>
        </is>
      </c>
      <c r="C909" s="8" t="inlineStr">
        <is>
          <t>GA</t>
        </is>
      </c>
      <c r="D909" s="8" t="inlineStr">
        <is>
          <t>Private</t>
        </is>
      </c>
      <c r="E909" s="9" t="n">
        <v>19827</v>
      </c>
      <c r="F909" s="9" t="n">
        <v>48097</v>
      </c>
      <c r="G909" s="8">
        <f>RANK(F909,$F$5:$F$1561)</f>
        <v/>
      </c>
      <c r="H909" s="8" t="inlineStr"/>
      <c r="I909" s="9">
        <f>IF(D909="Private",E909,"")</f>
        <v/>
      </c>
      <c r="J909" s="9">
        <f>IF(D909="Private",F909,"")</f>
        <v/>
      </c>
    </row>
    <row r="910">
      <c r="A910" s="8" t="inlineStr">
        <is>
          <t>Indiana Institute of Technology</t>
        </is>
      </c>
      <c r="B910" s="8" t="inlineStr">
        <is>
          <t>Fort Wayne</t>
        </is>
      </c>
      <c r="C910" s="8" t="inlineStr">
        <is>
          <t>IN</t>
        </is>
      </c>
      <c r="D910" s="8" t="inlineStr">
        <is>
          <t>Private</t>
        </is>
      </c>
      <c r="E910" s="9" t="n">
        <v>20893</v>
      </c>
      <c r="F910" s="9" t="n">
        <v>48091</v>
      </c>
      <c r="G910" s="8">
        <f>RANK(F910,$F$5:$F$1561)</f>
        <v/>
      </c>
      <c r="H910" s="8" t="inlineStr"/>
      <c r="I910" s="9">
        <f>IF(D910="Private",E910,"")</f>
        <v/>
      </c>
      <c r="J910" s="9">
        <f>IF(D910="Private",F910,"")</f>
        <v/>
      </c>
    </row>
    <row r="911">
      <c r="A911" s="8" t="inlineStr">
        <is>
          <t>Indiana Institute of Technology-College of Professional Studies</t>
        </is>
      </c>
      <c r="B911" s="8" t="inlineStr">
        <is>
          <t>Fort Wayne</t>
        </is>
      </c>
      <c r="C911" s="8" t="inlineStr">
        <is>
          <t>IN</t>
        </is>
      </c>
      <c r="D911" s="8" t="inlineStr">
        <is>
          <t>Private</t>
        </is>
      </c>
      <c r="E911" s="9" t="n">
        <v>18740</v>
      </c>
      <c r="F911" s="9" t="n">
        <v>48091</v>
      </c>
      <c r="G911" s="8">
        <f>RANK(F911,$F$5:$F$1561)</f>
        <v/>
      </c>
      <c r="H911" s="8" t="inlineStr"/>
      <c r="I911" s="9">
        <f>IF(D911="Private",E911,"")</f>
        <v/>
      </c>
      <c r="J911" s="9">
        <f>IF(D911="Private",F911,"")</f>
        <v/>
      </c>
    </row>
    <row r="912">
      <c r="A912" s="8" t="inlineStr">
        <is>
          <t>Heidelberg University</t>
        </is>
      </c>
      <c r="B912" s="8" t="inlineStr">
        <is>
          <t>Tiffin</t>
        </is>
      </c>
      <c r="C912" s="8" t="inlineStr">
        <is>
          <t>OH</t>
        </is>
      </c>
      <c r="D912" s="8" t="inlineStr">
        <is>
          <t>Private</t>
        </is>
      </c>
      <c r="E912" s="9" t="n">
        <v>22116</v>
      </c>
      <c r="F912" s="9" t="n">
        <v>48089</v>
      </c>
      <c r="G912" s="8">
        <f>RANK(F912,$F$5:$F$1561)</f>
        <v/>
      </c>
      <c r="H912" s="8" t="inlineStr"/>
      <c r="I912" s="9">
        <f>IF(D912="Private",E912,"")</f>
        <v/>
      </c>
      <c r="J912" s="9">
        <f>IF(D912="Private",F912,"")</f>
        <v/>
      </c>
    </row>
    <row r="913">
      <c r="A913" s="8" t="inlineStr">
        <is>
          <t>West Virginia Wesleyan College</t>
        </is>
      </c>
      <c r="B913" s="8" t="inlineStr">
        <is>
          <t>Buckhannon</t>
        </is>
      </c>
      <c r="C913" s="8" t="inlineStr">
        <is>
          <t>WV</t>
        </is>
      </c>
      <c r="D913" s="8" t="inlineStr">
        <is>
          <t>Private</t>
        </is>
      </c>
      <c r="E913" s="9" t="n">
        <v>20404</v>
      </c>
      <c r="F913" s="9" t="n">
        <v>48086</v>
      </c>
      <c r="G913" s="8">
        <f>RANK(F913,$F$5:$F$1561)</f>
        <v/>
      </c>
      <c r="H913" s="8" t="inlineStr"/>
      <c r="I913" s="9">
        <f>IF(D913="Private",E913,"")</f>
        <v/>
      </c>
      <c r="J913" s="9">
        <f>IF(D913="Private",F913,"")</f>
        <v/>
      </c>
    </row>
    <row r="914">
      <c r="A914" s="8" t="inlineStr">
        <is>
          <t>Wells College</t>
        </is>
      </c>
      <c r="B914" s="8" t="inlineStr">
        <is>
          <t>Aurora</t>
        </is>
      </c>
      <c r="C914" s="8" t="inlineStr">
        <is>
          <t>NY</t>
        </is>
      </c>
      <c r="D914" s="8" t="inlineStr">
        <is>
          <t>Private</t>
        </is>
      </c>
      <c r="E914" s="9" t="n">
        <v>19897</v>
      </c>
      <c r="F914" s="9" t="n">
        <v>48069</v>
      </c>
      <c r="G914" s="8">
        <f>RANK(F914,$F$5:$F$1561)</f>
        <v/>
      </c>
      <c r="H914" s="8" t="inlineStr"/>
      <c r="I914" s="9">
        <f>IF(D914="Private",E914,"")</f>
        <v/>
      </c>
      <c r="J914" s="9">
        <f>IF(D914="Private",F914,"")</f>
        <v/>
      </c>
    </row>
    <row r="915">
      <c r="A915" s="8" t="inlineStr">
        <is>
          <t>Mount Vernon Nazarene University</t>
        </is>
      </c>
      <c r="B915" s="8" t="inlineStr">
        <is>
          <t>Mount Vernon</t>
        </is>
      </c>
      <c r="C915" s="8" t="inlineStr">
        <is>
          <t>OH</t>
        </is>
      </c>
      <c r="D915" s="8" t="inlineStr">
        <is>
          <t>Private</t>
        </is>
      </c>
      <c r="E915" s="9" t="n">
        <v>21698</v>
      </c>
      <c r="F915" s="9" t="n">
        <v>48060</v>
      </c>
      <c r="G915" s="8">
        <f>RANK(F915,$F$5:$F$1561)</f>
        <v/>
      </c>
      <c r="H915" s="8" t="inlineStr"/>
      <c r="I915" s="9">
        <f>IF(D915="Private",E915,"")</f>
        <v/>
      </c>
      <c r="J915" s="9">
        <f>IF(D915="Private",F915,"")</f>
        <v/>
      </c>
    </row>
    <row r="916">
      <c r="A916" s="8" t="inlineStr">
        <is>
          <t>Holy Cross College</t>
        </is>
      </c>
      <c r="B916" s="8" t="inlineStr">
        <is>
          <t>Notre Dame</t>
        </is>
      </c>
      <c r="C916" s="8" t="inlineStr">
        <is>
          <t>IN</t>
        </is>
      </c>
      <c r="D916" s="8" t="inlineStr">
        <is>
          <t>Private</t>
        </is>
      </c>
      <c r="E916" s="9" t="n">
        <v>23745</v>
      </c>
      <c r="F916" s="9" t="n">
        <v>48030</v>
      </c>
      <c r="G916" s="8">
        <f>RANK(F916,$F$5:$F$1561)</f>
        <v/>
      </c>
      <c r="H916" s="8" t="inlineStr"/>
      <c r="I916" s="9">
        <f>IF(D916="Private",E916,"")</f>
        <v/>
      </c>
      <c r="J916" s="9">
        <f>IF(D916="Private",F916,"")</f>
        <v/>
      </c>
    </row>
    <row r="917">
      <c r="A917" s="8" t="inlineStr">
        <is>
          <t>Goshen College</t>
        </is>
      </c>
      <c r="B917" s="8" t="inlineStr">
        <is>
          <t>Goshen</t>
        </is>
      </c>
      <c r="C917" s="8" t="inlineStr">
        <is>
          <t>IN</t>
        </is>
      </c>
      <c r="D917" s="8" t="inlineStr">
        <is>
          <t>Private</t>
        </is>
      </c>
      <c r="E917" s="9" t="n">
        <v>16407</v>
      </c>
      <c r="F917" s="9" t="n">
        <v>48025</v>
      </c>
      <c r="G917" s="8">
        <f>RANK(F917,$F$5:$F$1561)</f>
        <v/>
      </c>
      <c r="H917" s="8" t="inlineStr"/>
      <c r="I917" s="9">
        <f>IF(D917="Private",E917,"")</f>
        <v/>
      </c>
      <c r="J917" s="9">
        <f>IF(D917="Private",F917,"")</f>
        <v/>
      </c>
    </row>
    <row r="918">
      <c r="A918" s="8" t="inlineStr">
        <is>
          <t>The College of Idaho</t>
        </is>
      </c>
      <c r="B918" s="8" t="inlineStr">
        <is>
          <t>Caldwell</t>
        </is>
      </c>
      <c r="C918" s="8" t="inlineStr">
        <is>
          <t>ID</t>
        </is>
      </c>
      <c r="D918" s="8" t="inlineStr">
        <is>
          <t>Private</t>
        </is>
      </c>
      <c r="E918" s="9" t="n">
        <v>23787</v>
      </c>
      <c r="F918" s="9" t="n">
        <v>48012</v>
      </c>
      <c r="G918" s="8">
        <f>RANK(F918,$F$5:$F$1561)</f>
        <v/>
      </c>
      <c r="H918" s="8" t="inlineStr"/>
      <c r="I918" s="9">
        <f>IF(D918="Private",E918,"")</f>
        <v/>
      </c>
      <c r="J918" s="9">
        <f>IF(D918="Private",F918,"")</f>
        <v/>
      </c>
    </row>
    <row r="919">
      <c r="A919" s="8" t="inlineStr">
        <is>
          <t>Eastern University</t>
        </is>
      </c>
      <c r="B919" s="8" t="inlineStr">
        <is>
          <t>Saint Davids</t>
        </is>
      </c>
      <c r="C919" s="8" t="inlineStr">
        <is>
          <t>PA</t>
        </is>
      </c>
      <c r="D919" s="8" t="inlineStr">
        <is>
          <t>Private</t>
        </is>
      </c>
      <c r="E919" s="9" t="n">
        <v>23338</v>
      </c>
      <c r="F919" s="9" t="n">
        <v>48006</v>
      </c>
      <c r="G919" s="8">
        <f>RANK(F919,$F$5:$F$1561)</f>
        <v/>
      </c>
      <c r="H919" s="8" t="inlineStr"/>
      <c r="I919" s="9">
        <f>IF(D919="Private",E919,"")</f>
        <v/>
      </c>
      <c r="J919" s="9">
        <f>IF(D919="Private",F919,"")</f>
        <v/>
      </c>
    </row>
    <row r="920">
      <c r="A920" s="8" t="inlineStr">
        <is>
          <t>Mount Mary University</t>
        </is>
      </c>
      <c r="B920" s="8" t="inlineStr">
        <is>
          <t>Milwaukee</t>
        </is>
      </c>
      <c r="C920" s="8" t="inlineStr">
        <is>
          <t>WI</t>
        </is>
      </c>
      <c r="D920" s="8" t="inlineStr">
        <is>
          <t>Private</t>
        </is>
      </c>
      <c r="E920" s="9" t="n">
        <v>23991</v>
      </c>
      <c r="F920" s="9" t="n">
        <v>47959</v>
      </c>
      <c r="G920" s="8">
        <f>RANK(F920,$F$5:$F$1561)</f>
        <v/>
      </c>
      <c r="H920" s="8" t="inlineStr"/>
      <c r="I920" s="9">
        <f>IF(D920="Private",E920,"")</f>
        <v/>
      </c>
      <c r="J920" s="9">
        <f>IF(D920="Private",F920,"")</f>
        <v/>
      </c>
    </row>
    <row r="921">
      <c r="A921" s="8" t="inlineStr">
        <is>
          <t>Eastern Oregon University</t>
        </is>
      </c>
      <c r="B921" s="8" t="inlineStr">
        <is>
          <t>La Grande</t>
        </is>
      </c>
      <c r="C921" s="8" t="inlineStr">
        <is>
          <t>OR</t>
        </is>
      </c>
      <c r="D921" s="8" t="inlineStr">
        <is>
          <t>Public</t>
        </is>
      </c>
      <c r="E921" s="9" t="n">
        <v>15620</v>
      </c>
      <c r="F921" s="9" t="n">
        <v>47898</v>
      </c>
      <c r="G921" s="8">
        <f>RANK(F921,$F$5:$F$1561)</f>
        <v/>
      </c>
      <c r="H921" s="8" t="inlineStr"/>
      <c r="I921" s="9">
        <f>IF(D921="Private",E921,"")</f>
        <v/>
      </c>
      <c r="J921" s="9">
        <f>IF(D921="Private",F921,"")</f>
        <v/>
      </c>
    </row>
    <row r="922">
      <c r="A922" s="8" t="inlineStr">
        <is>
          <t>McPherson College</t>
        </is>
      </c>
      <c r="B922" s="8" t="inlineStr">
        <is>
          <t>McPherson</t>
        </is>
      </c>
      <c r="C922" s="8" t="inlineStr">
        <is>
          <t>KS</t>
        </is>
      </c>
      <c r="D922" s="8" t="inlineStr">
        <is>
          <t>Private</t>
        </is>
      </c>
      <c r="E922" s="9" t="n">
        <v>24423</v>
      </c>
      <c r="F922" s="9" t="n">
        <v>47891</v>
      </c>
      <c r="G922" s="8">
        <f>RANK(F922,$F$5:$F$1561)</f>
        <v/>
      </c>
      <c r="H922" s="8" t="inlineStr"/>
      <c r="I922" s="9">
        <f>IF(D922="Private",E922,"")</f>
        <v/>
      </c>
      <c r="J922" s="9">
        <f>IF(D922="Private",F922,"")</f>
        <v/>
      </c>
    </row>
    <row r="923">
      <c r="A923" s="8" t="inlineStr">
        <is>
          <t>Quincy University</t>
        </is>
      </c>
      <c r="B923" s="8" t="inlineStr">
        <is>
          <t>Quincy</t>
        </is>
      </c>
      <c r="C923" s="8" t="inlineStr">
        <is>
          <t>IL</t>
        </is>
      </c>
      <c r="D923" s="8" t="inlineStr">
        <is>
          <t>Private</t>
        </is>
      </c>
      <c r="E923" s="9" t="n">
        <v>16178</v>
      </c>
      <c r="F923" s="9" t="n">
        <v>47879</v>
      </c>
      <c r="G923" s="8">
        <f>RANK(F923,$F$5:$F$1561)</f>
        <v/>
      </c>
      <c r="H923" s="8" t="inlineStr"/>
      <c r="I923" s="9">
        <f>IF(D923="Private",E923,"")</f>
        <v/>
      </c>
      <c r="J923" s="9">
        <f>IF(D923="Private",F923,"")</f>
        <v/>
      </c>
    </row>
    <row r="924">
      <c r="A924" s="8" t="inlineStr">
        <is>
          <t>Thomas Aquinas College</t>
        </is>
      </c>
      <c r="B924" s="8" t="inlineStr">
        <is>
          <t>Santa Paula</t>
        </is>
      </c>
      <c r="C924" s="8" t="inlineStr">
        <is>
          <t>CA</t>
        </is>
      </c>
      <c r="D924" s="8" t="inlineStr">
        <is>
          <t>Private</t>
        </is>
      </c>
      <c r="E924" s="9" t="n">
        <v>26228</v>
      </c>
      <c r="F924" s="9" t="n">
        <v>47874</v>
      </c>
      <c r="G924" s="8">
        <f>RANK(F924,$F$5:$F$1561)</f>
        <v/>
      </c>
      <c r="H924" s="8" t="inlineStr"/>
      <c r="I924" s="9">
        <f>IF(D924="Private",E924,"")</f>
        <v/>
      </c>
      <c r="J924" s="9">
        <f>IF(D924="Private",F924,"")</f>
        <v/>
      </c>
    </row>
    <row r="925">
      <c r="A925" s="8" t="inlineStr">
        <is>
          <t>Missouri State University-Springfield</t>
        </is>
      </c>
      <c r="B925" s="8" t="inlineStr">
        <is>
          <t>Springfield</t>
        </is>
      </c>
      <c r="C925" s="8" t="inlineStr">
        <is>
          <t>MO</t>
        </is>
      </c>
      <c r="D925" s="8" t="inlineStr">
        <is>
          <t>Public</t>
        </is>
      </c>
      <c r="E925" s="9" t="n">
        <v>16625</v>
      </c>
      <c r="F925" s="9" t="n">
        <v>47850</v>
      </c>
      <c r="G925" s="8">
        <f>RANK(F925,$F$5:$F$1561)</f>
        <v/>
      </c>
      <c r="H925" s="8" t="inlineStr"/>
      <c r="I925" s="9">
        <f>IF(D925="Private",E925,"")</f>
        <v/>
      </c>
      <c r="J925" s="9">
        <f>IF(D925="Private",F925,"")</f>
        <v/>
      </c>
    </row>
    <row r="926">
      <c r="A926" s="8" t="inlineStr">
        <is>
          <t>Erskine College</t>
        </is>
      </c>
      <c r="B926" s="8" t="inlineStr">
        <is>
          <t>Due West</t>
        </is>
      </c>
      <c r="C926" s="8" t="inlineStr">
        <is>
          <t>SC</t>
        </is>
      </c>
      <c r="D926" s="8" t="inlineStr">
        <is>
          <t>Private</t>
        </is>
      </c>
      <c r="E926" s="9" t="n">
        <v>37868</v>
      </c>
      <c r="F926" s="9" t="n">
        <v>47825</v>
      </c>
      <c r="G926" s="8">
        <f>RANK(F926,$F$5:$F$1561)</f>
        <v/>
      </c>
      <c r="H926" s="8" t="inlineStr"/>
      <c r="I926" s="9">
        <f>IF(D926="Private",E926,"")</f>
        <v/>
      </c>
      <c r="J926" s="9">
        <f>IF(D926="Private",F926,"")</f>
        <v/>
      </c>
    </row>
    <row r="927">
      <c r="A927" s="8" t="inlineStr">
        <is>
          <t>Lesley University</t>
        </is>
      </c>
      <c r="B927" s="8" t="inlineStr">
        <is>
          <t>Cambridge</t>
        </is>
      </c>
      <c r="C927" s="8" t="inlineStr">
        <is>
          <t>MA</t>
        </is>
      </c>
      <c r="D927" s="8" t="inlineStr">
        <is>
          <t>Private</t>
        </is>
      </c>
      <c r="E927" s="9" t="n">
        <v>30399</v>
      </c>
      <c r="F927" s="9" t="n">
        <v>47821</v>
      </c>
      <c r="G927" s="8">
        <f>RANK(F927,$F$5:$F$1561)</f>
        <v/>
      </c>
      <c r="H927" s="8" t="inlineStr"/>
      <c r="I927" s="9">
        <f>IF(D927="Private",E927,"")</f>
        <v/>
      </c>
      <c r="J927" s="9">
        <f>IF(D927="Private",F927,"")</f>
        <v/>
      </c>
    </row>
    <row r="928">
      <c r="A928" s="8" t="inlineStr">
        <is>
          <t>Touro University</t>
        </is>
      </c>
      <c r="B928" s="8" t="inlineStr">
        <is>
          <t>New York</t>
        </is>
      </c>
      <c r="C928" s="8" t="inlineStr">
        <is>
          <t>NY</t>
        </is>
      </c>
      <c r="D928" s="8" t="inlineStr">
        <is>
          <t>Private</t>
        </is>
      </c>
      <c r="E928" s="9" t="n">
        <v>22550</v>
      </c>
      <c r="F928" s="9" t="n">
        <v>47806</v>
      </c>
      <c r="G928" s="8">
        <f>RANK(F928,$F$5:$F$1561)</f>
        <v/>
      </c>
      <c r="H928" s="8" t="inlineStr"/>
      <c r="I928" s="9">
        <f>IF(D928="Private",E928,"")</f>
        <v/>
      </c>
      <c r="J928" s="9">
        <f>IF(D928="Private",F928,"")</f>
        <v/>
      </c>
    </row>
    <row r="929">
      <c r="A929" s="8" t="inlineStr">
        <is>
          <t>University of Michigan-Flint</t>
        </is>
      </c>
      <c r="B929" s="8" t="inlineStr">
        <is>
          <t>Flint</t>
        </is>
      </c>
      <c r="C929" s="8" t="inlineStr">
        <is>
          <t>MI</t>
        </is>
      </c>
      <c r="D929" s="8" t="inlineStr">
        <is>
          <t>Public</t>
        </is>
      </c>
      <c r="E929" s="9" t="n">
        <v>13218</v>
      </c>
      <c r="F929" s="9" t="n">
        <v>47757</v>
      </c>
      <c r="G929" s="8">
        <f>RANK(F929,$F$5:$F$1561)</f>
        <v/>
      </c>
      <c r="H929" s="8" t="inlineStr"/>
      <c r="I929" s="9">
        <f>IF(D929="Private",E929,"")</f>
        <v/>
      </c>
      <c r="J929" s="9">
        <f>IF(D929="Private",F929,"")</f>
        <v/>
      </c>
    </row>
    <row r="930">
      <c r="A930" s="8" t="inlineStr">
        <is>
          <t>SUNY Buffalo State University</t>
        </is>
      </c>
      <c r="B930" s="8" t="inlineStr">
        <is>
          <t>Buffalo</t>
        </is>
      </c>
      <c r="C930" s="8" t="inlineStr">
        <is>
          <t>NY</t>
        </is>
      </c>
      <c r="D930" s="8" t="inlineStr">
        <is>
          <t>Public</t>
        </is>
      </c>
      <c r="E930" s="9" t="n">
        <v>9945</v>
      </c>
      <c r="F930" s="9" t="n">
        <v>47728</v>
      </c>
      <c r="G930" s="8">
        <f>RANK(F930,$F$5:$F$1561)</f>
        <v/>
      </c>
      <c r="H930" s="8" t="inlineStr"/>
      <c r="I930" s="9">
        <f>IF(D930="Private",E930,"")</f>
        <v/>
      </c>
      <c r="J930" s="9">
        <f>IF(D930="Private",F930,"")</f>
        <v/>
      </c>
    </row>
    <row r="931">
      <c r="A931" s="8" t="inlineStr">
        <is>
          <t>Pittsburg State University</t>
        </is>
      </c>
      <c r="B931" s="8" t="inlineStr">
        <is>
          <t>Pittsburg</t>
        </is>
      </c>
      <c r="C931" s="8" t="inlineStr">
        <is>
          <t>KS</t>
        </is>
      </c>
      <c r="D931" s="8" t="inlineStr">
        <is>
          <t>Public</t>
        </is>
      </c>
      <c r="E931" s="9" t="n">
        <v>14255</v>
      </c>
      <c r="F931" s="9" t="n">
        <v>47714</v>
      </c>
      <c r="G931" s="8">
        <f>RANK(F931,$F$5:$F$1561)</f>
        <v/>
      </c>
      <c r="H931" s="8" t="inlineStr"/>
      <c r="I931" s="9">
        <f>IF(D931="Private",E931,"")</f>
        <v/>
      </c>
      <c r="J931" s="9">
        <f>IF(D931="Private",F931,"")</f>
        <v/>
      </c>
    </row>
    <row r="932">
      <c r="A932" s="8" t="inlineStr">
        <is>
          <t>Eckerd College</t>
        </is>
      </c>
      <c r="B932" s="8" t="inlineStr">
        <is>
          <t>Saint Petersburg</t>
        </is>
      </c>
      <c r="C932" s="8" t="inlineStr">
        <is>
          <t>FL</t>
        </is>
      </c>
      <c r="D932" s="8" t="inlineStr">
        <is>
          <t>Private</t>
        </is>
      </c>
      <c r="E932" s="9" t="n">
        <v>35367</v>
      </c>
      <c r="F932" s="9" t="n">
        <v>47708</v>
      </c>
      <c r="G932" s="8">
        <f>RANK(F932,$F$5:$F$1561)</f>
        <v/>
      </c>
      <c r="H932" s="8" t="inlineStr"/>
      <c r="I932" s="9">
        <f>IF(D932="Private",E932,"")</f>
        <v/>
      </c>
      <c r="J932" s="9">
        <f>IF(D932="Private",F932,"")</f>
        <v/>
      </c>
    </row>
    <row r="933">
      <c r="A933" s="8" t="inlineStr">
        <is>
          <t>Eastern Mennonite University</t>
        </is>
      </c>
      <c r="B933" s="8" t="inlineStr">
        <is>
          <t>Harrisonburg</t>
        </is>
      </c>
      <c r="C933" s="8" t="inlineStr">
        <is>
          <t>VA</t>
        </is>
      </c>
      <c r="D933" s="8" t="inlineStr">
        <is>
          <t>Private</t>
        </is>
      </c>
      <c r="E933" s="9" t="n">
        <v>22424</v>
      </c>
      <c r="F933" s="9" t="n">
        <v>47702</v>
      </c>
      <c r="G933" s="8">
        <f>RANK(F933,$F$5:$F$1561)</f>
        <v/>
      </c>
      <c r="H933" s="8" t="inlineStr"/>
      <c r="I933" s="9">
        <f>IF(D933="Private",E933,"")</f>
        <v/>
      </c>
      <c r="J933" s="9">
        <f>IF(D933="Private",F933,"")</f>
        <v/>
      </c>
    </row>
    <row r="934">
      <c r="A934" s="8" t="inlineStr">
        <is>
          <t>The University of Texas Rio Grande Valley</t>
        </is>
      </c>
      <c r="B934" s="8" t="inlineStr">
        <is>
          <t>Edinburg</t>
        </is>
      </c>
      <c r="C934" s="8" t="inlineStr">
        <is>
          <t>TX</t>
        </is>
      </c>
      <c r="D934" s="8" t="inlineStr">
        <is>
          <t>Public</t>
        </is>
      </c>
      <c r="E934" s="9" t="n">
        <v>5363</v>
      </c>
      <c r="F934" s="9" t="n">
        <v>47698</v>
      </c>
      <c r="G934" s="8">
        <f>RANK(F934,$F$5:$F$1561)</f>
        <v/>
      </c>
      <c r="H934" s="8" t="inlineStr"/>
      <c r="I934" s="9">
        <f>IF(D934="Private",E934,"")</f>
        <v/>
      </c>
      <c r="J934" s="9">
        <f>IF(D934="Private",F934,"")</f>
        <v/>
      </c>
    </row>
    <row r="935">
      <c r="A935" s="8" t="inlineStr">
        <is>
          <t>Hesston College</t>
        </is>
      </c>
      <c r="B935" s="8" t="inlineStr">
        <is>
          <t>Hesston</t>
        </is>
      </c>
      <c r="C935" s="8" t="inlineStr">
        <is>
          <t>KS</t>
        </is>
      </c>
      <c r="D935" s="8" t="inlineStr">
        <is>
          <t>Private</t>
        </is>
      </c>
      <c r="E935" s="9" t="n">
        <v>22503</v>
      </c>
      <c r="F935" s="9" t="n">
        <v>47693</v>
      </c>
      <c r="G935" s="8">
        <f>RANK(F935,$F$5:$F$1561)</f>
        <v/>
      </c>
      <c r="H935" s="8" t="inlineStr"/>
      <c r="I935" s="9">
        <f>IF(D935="Private",E935,"")</f>
        <v/>
      </c>
      <c r="J935" s="9">
        <f>IF(D935="Private",F935,"")</f>
        <v/>
      </c>
    </row>
    <row r="936">
      <c r="A936" s="8" t="inlineStr">
        <is>
          <t>Schreiner University</t>
        </is>
      </c>
      <c r="B936" s="8" t="inlineStr">
        <is>
          <t>Kerrville</t>
        </is>
      </c>
      <c r="C936" s="8" t="inlineStr">
        <is>
          <t>TX</t>
        </is>
      </c>
      <c r="D936" s="8" t="inlineStr">
        <is>
          <t>Private</t>
        </is>
      </c>
      <c r="E936" s="9" t="n">
        <v>24028</v>
      </c>
      <c r="F936" s="9" t="n">
        <v>47674</v>
      </c>
      <c r="G936" s="8">
        <f>RANK(F936,$F$5:$F$1561)</f>
        <v/>
      </c>
      <c r="H936" s="8" t="inlineStr"/>
      <c r="I936" s="9">
        <f>IF(D936="Private",E936,"")</f>
        <v/>
      </c>
      <c r="J936" s="9">
        <f>IF(D936="Private",F936,"")</f>
        <v/>
      </c>
    </row>
    <row r="937">
      <c r="A937" s="8" t="inlineStr">
        <is>
          <t>Lake Superior State University</t>
        </is>
      </c>
      <c r="B937" s="8" t="inlineStr">
        <is>
          <t>Sault Ste Marie</t>
        </is>
      </c>
      <c r="C937" s="8" t="inlineStr">
        <is>
          <t>MI</t>
        </is>
      </c>
      <c r="D937" s="8" t="inlineStr">
        <is>
          <t>Public</t>
        </is>
      </c>
      <c r="E937" s="9" t="n">
        <v>14035</v>
      </c>
      <c r="F937" s="9" t="n">
        <v>47666</v>
      </c>
      <c r="G937" s="8">
        <f>RANK(F937,$F$5:$F$1561)</f>
        <v/>
      </c>
      <c r="H937" s="8" t="inlineStr"/>
      <c r="I937" s="9">
        <f>IF(D937="Private",E937,"")</f>
        <v/>
      </c>
      <c r="J937" s="9">
        <f>IF(D937="Private",F937,"")</f>
        <v/>
      </c>
    </row>
    <row r="938">
      <c r="A938" s="8" t="inlineStr">
        <is>
          <t>Sarah Lawrence College</t>
        </is>
      </c>
      <c r="B938" s="8" t="inlineStr">
        <is>
          <t>Bronxville</t>
        </is>
      </c>
      <c r="C938" s="8" t="inlineStr">
        <is>
          <t>NY</t>
        </is>
      </c>
      <c r="D938" s="8" t="inlineStr">
        <is>
          <t>Private</t>
        </is>
      </c>
      <c r="E938" s="9" t="n">
        <v>20104</v>
      </c>
      <c r="F938" s="9" t="n">
        <v>47659</v>
      </c>
      <c r="G938" s="8">
        <f>RANK(F938,$F$5:$F$1561)</f>
        <v/>
      </c>
      <c r="H938" s="8" t="inlineStr"/>
      <c r="I938" s="9">
        <f>IF(D938="Private",E938,"")</f>
        <v/>
      </c>
      <c r="J938" s="9">
        <f>IF(D938="Private",F938,"")</f>
        <v/>
      </c>
    </row>
    <row r="939">
      <c r="A939" s="8" t="inlineStr">
        <is>
          <t>Spring Arbor University</t>
        </is>
      </c>
      <c r="B939" s="8" t="inlineStr">
        <is>
          <t>Spring Arbor</t>
        </is>
      </c>
      <c r="C939" s="8" t="inlineStr">
        <is>
          <t>MI</t>
        </is>
      </c>
      <c r="D939" s="8" t="inlineStr">
        <is>
          <t>Private</t>
        </is>
      </c>
      <c r="E939" s="9" t="n">
        <v>20235</v>
      </c>
      <c r="F939" s="9" t="n">
        <v>47632</v>
      </c>
      <c r="G939" s="8">
        <f>RANK(F939,$F$5:$F$1561)</f>
        <v/>
      </c>
      <c r="H939" s="8" t="inlineStr"/>
      <c r="I939" s="9">
        <f>IF(D939="Private",E939,"")</f>
        <v/>
      </c>
      <c r="J939" s="9">
        <f>IF(D939="Private",F939,"")</f>
        <v/>
      </c>
    </row>
    <row r="940">
      <c r="A940" s="8" t="inlineStr">
        <is>
          <t>Sierra Nevada University</t>
        </is>
      </c>
      <c r="B940" s="8" t="inlineStr">
        <is>
          <t>Incline Village</t>
        </is>
      </c>
      <c r="C940" s="8" t="inlineStr">
        <is>
          <t>NV</t>
        </is>
      </c>
      <c r="D940" s="8" t="inlineStr">
        <is>
          <t>Private</t>
        </is>
      </c>
      <c r="E940" s="9" t="n">
        <v>30173</v>
      </c>
      <c r="F940" s="9" t="n">
        <v>47610</v>
      </c>
      <c r="G940" s="8">
        <f>RANK(F940,$F$5:$F$1561)</f>
        <v/>
      </c>
      <c r="H940" s="8" t="inlineStr"/>
      <c r="I940" s="9">
        <f>IF(D940="Private",E940,"")</f>
        <v/>
      </c>
      <c r="J940" s="9">
        <f>IF(D940="Private",F940,"")</f>
        <v/>
      </c>
    </row>
    <row r="941">
      <c r="A941" s="8" t="inlineStr">
        <is>
          <t>Curry College</t>
        </is>
      </c>
      <c r="B941" s="8" t="inlineStr">
        <is>
          <t>Milton</t>
        </is>
      </c>
      <c r="C941" s="8" t="inlineStr">
        <is>
          <t>MA</t>
        </is>
      </c>
      <c r="D941" s="8" t="inlineStr">
        <is>
          <t>Private</t>
        </is>
      </c>
      <c r="E941" s="9" t="n">
        <v>28417</v>
      </c>
      <c r="F941" s="9" t="n">
        <v>47598</v>
      </c>
      <c r="G941" s="8">
        <f>RANK(F941,$F$5:$F$1561)</f>
        <v/>
      </c>
      <c r="H941" s="8" t="inlineStr"/>
      <c r="I941" s="9">
        <f>IF(D941="Private",E941,"")</f>
        <v/>
      </c>
      <c r="J941" s="9">
        <f>IF(D941="Private",F941,"")</f>
        <v/>
      </c>
    </row>
    <row r="942">
      <c r="A942" s="8" t="inlineStr">
        <is>
          <t>East Texas Baptist University</t>
        </is>
      </c>
      <c r="B942" s="8" t="inlineStr">
        <is>
          <t>Marshall</t>
        </is>
      </c>
      <c r="C942" s="8" t="inlineStr">
        <is>
          <t>TX</t>
        </is>
      </c>
      <c r="D942" s="8" t="inlineStr">
        <is>
          <t>Private</t>
        </is>
      </c>
      <c r="E942" s="9" t="n">
        <v>22832</v>
      </c>
      <c r="F942" s="9" t="n">
        <v>47521</v>
      </c>
      <c r="G942" s="8">
        <f>RANK(F942,$F$5:$F$1561)</f>
        <v/>
      </c>
      <c r="H942" s="8" t="inlineStr"/>
      <c r="I942" s="9">
        <f>IF(D942="Private",E942,"")</f>
        <v/>
      </c>
      <c r="J942" s="9">
        <f>IF(D942="Private",F942,"")</f>
        <v/>
      </c>
    </row>
    <row r="943">
      <c r="A943" s="8" t="inlineStr">
        <is>
          <t>Berry College</t>
        </is>
      </c>
      <c r="B943" s="8" t="inlineStr">
        <is>
          <t>Mount Berry</t>
        </is>
      </c>
      <c r="C943" s="8" t="inlineStr">
        <is>
          <t>GA</t>
        </is>
      </c>
      <c r="D943" s="8" t="inlineStr">
        <is>
          <t>Private</t>
        </is>
      </c>
      <c r="E943" s="9" t="n">
        <v>21980</v>
      </c>
      <c r="F943" s="9" t="n">
        <v>47499</v>
      </c>
      <c r="G943" s="8">
        <f>RANK(F943,$F$5:$F$1561)</f>
        <v/>
      </c>
      <c r="H943" s="8" t="inlineStr"/>
      <c r="I943" s="9">
        <f>IF(D943="Private",E943,"")</f>
        <v/>
      </c>
      <c r="J943" s="9">
        <f>IF(D943="Private",F943,"")</f>
        <v/>
      </c>
    </row>
    <row r="944">
      <c r="A944" s="8" t="inlineStr">
        <is>
          <t>Taylor University</t>
        </is>
      </c>
      <c r="B944" s="8" t="inlineStr">
        <is>
          <t>Upland</t>
        </is>
      </c>
      <c r="C944" s="8" t="inlineStr">
        <is>
          <t>IN</t>
        </is>
      </c>
      <c r="D944" s="8" t="inlineStr">
        <is>
          <t>Private</t>
        </is>
      </c>
      <c r="E944" s="9" t="n">
        <v>26401</v>
      </c>
      <c r="F944" s="9" t="n">
        <v>47467</v>
      </c>
      <c r="G944" s="8">
        <f>RANK(F944,$F$5:$F$1561)</f>
        <v/>
      </c>
      <c r="H944" s="8" t="inlineStr"/>
      <c r="I944" s="9">
        <f>IF(D944="Private",E944,"")</f>
        <v/>
      </c>
      <c r="J944" s="9">
        <f>IF(D944="Private",F944,"")</f>
        <v/>
      </c>
    </row>
    <row r="945">
      <c r="A945" s="8" t="inlineStr">
        <is>
          <t>University of Central Oklahoma</t>
        </is>
      </c>
      <c r="B945" s="8" t="inlineStr">
        <is>
          <t>Edmond</t>
        </is>
      </c>
      <c r="C945" s="8" t="inlineStr">
        <is>
          <t>OK</t>
        </is>
      </c>
      <c r="D945" s="8" t="inlineStr">
        <is>
          <t>Public</t>
        </is>
      </c>
      <c r="E945" s="9" t="n">
        <v>17116</v>
      </c>
      <c r="F945" s="9" t="n">
        <v>47453</v>
      </c>
      <c r="G945" s="8">
        <f>RANK(F945,$F$5:$F$1561)</f>
        <v/>
      </c>
      <c r="H945" s="8" t="inlineStr"/>
      <c r="I945" s="9">
        <f>IF(D945="Private",E945,"")</f>
        <v/>
      </c>
      <c r="J945" s="9">
        <f>IF(D945="Private",F945,"")</f>
        <v/>
      </c>
    </row>
    <row r="946">
      <c r="A946" s="8" t="inlineStr">
        <is>
          <t>Saint Leo University</t>
        </is>
      </c>
      <c r="B946" s="8" t="inlineStr">
        <is>
          <t>Saint Leo</t>
        </is>
      </c>
      <c r="C946" s="8" t="inlineStr">
        <is>
          <t>FL</t>
        </is>
      </c>
      <c r="D946" s="8" t="inlineStr">
        <is>
          <t>Private</t>
        </is>
      </c>
      <c r="E946" s="9" t="n">
        <v>17321</v>
      </c>
      <c r="F946" s="9" t="n">
        <v>47428</v>
      </c>
      <c r="G946" s="8">
        <f>RANK(F946,$F$5:$F$1561)</f>
        <v/>
      </c>
      <c r="H946" s="8" t="inlineStr"/>
      <c r="I946" s="9">
        <f>IF(D946="Private",E946,"")</f>
        <v/>
      </c>
      <c r="J946" s="9">
        <f>IF(D946="Private",F946,"")</f>
        <v/>
      </c>
    </row>
    <row r="947">
      <c r="A947" s="8" t="inlineStr">
        <is>
          <t>Lubbock Christian University</t>
        </is>
      </c>
      <c r="B947" s="8" t="inlineStr">
        <is>
          <t>Lubbock</t>
        </is>
      </c>
      <c r="C947" s="8" t="inlineStr">
        <is>
          <t>TX</t>
        </is>
      </c>
      <c r="D947" s="8" t="inlineStr">
        <is>
          <t>Private</t>
        </is>
      </c>
      <c r="E947" s="9" t="n">
        <v>24311</v>
      </c>
      <c r="F947" s="9" t="n">
        <v>47426</v>
      </c>
      <c r="G947" s="8">
        <f>RANK(F947,$F$5:$F$1561)</f>
        <v/>
      </c>
      <c r="H947" s="8" t="inlineStr"/>
      <c r="I947" s="9">
        <f>IF(D947="Private",E947,"")</f>
        <v/>
      </c>
      <c r="J947" s="9">
        <f>IF(D947="Private",F947,"")</f>
        <v/>
      </c>
    </row>
    <row r="948">
      <c r="A948" s="8" t="inlineStr">
        <is>
          <t>Muskingum University</t>
        </is>
      </c>
      <c r="B948" s="8" t="inlineStr">
        <is>
          <t>New Concord</t>
        </is>
      </c>
      <c r="C948" s="8" t="inlineStr">
        <is>
          <t>OH</t>
        </is>
      </c>
      <c r="D948" s="8" t="inlineStr">
        <is>
          <t>Private</t>
        </is>
      </c>
      <c r="E948" s="9" t="n">
        <v>19874</v>
      </c>
      <c r="F948" s="9" t="n">
        <v>47396</v>
      </c>
      <c r="G948" s="8">
        <f>RANK(F948,$F$5:$F$1561)</f>
        <v/>
      </c>
      <c r="H948" s="8" t="inlineStr"/>
      <c r="I948" s="9">
        <f>IF(D948="Private",E948,"")</f>
        <v/>
      </c>
      <c r="J948" s="9">
        <f>IF(D948="Private",F948,"")</f>
        <v/>
      </c>
    </row>
    <row r="949">
      <c r="A949" s="8" t="inlineStr">
        <is>
          <t>Southern Oregon University</t>
        </is>
      </c>
      <c r="B949" s="8" t="inlineStr">
        <is>
          <t>Ashland</t>
        </is>
      </c>
      <c r="C949" s="8" t="inlineStr">
        <is>
          <t>OR</t>
        </is>
      </c>
      <c r="D949" s="8" t="inlineStr">
        <is>
          <t>Public</t>
        </is>
      </c>
      <c r="E949" s="9" t="n">
        <v>9931</v>
      </c>
      <c r="F949" s="9" t="n">
        <v>47362</v>
      </c>
      <c r="G949" s="8">
        <f>RANK(F949,$F$5:$F$1561)</f>
        <v/>
      </c>
      <c r="H949" s="8" t="inlineStr"/>
      <c r="I949" s="9">
        <f>IF(D949="Private",E949,"")</f>
        <v/>
      </c>
      <c r="J949" s="9">
        <f>IF(D949="Private",F949,"")</f>
        <v/>
      </c>
    </row>
    <row r="950">
      <c r="A950" s="8" t="inlineStr">
        <is>
          <t>Wright State University-Lake Campus</t>
        </is>
      </c>
      <c r="B950" s="8" t="inlineStr">
        <is>
          <t>Celina</t>
        </is>
      </c>
      <c r="C950" s="8" t="inlineStr">
        <is>
          <t>OH</t>
        </is>
      </c>
      <c r="D950" s="8" t="inlineStr">
        <is>
          <t>Public</t>
        </is>
      </c>
      <c r="E950" s="9" t="n">
        <v>11477</v>
      </c>
      <c r="F950" s="9" t="n">
        <v>47344</v>
      </c>
      <c r="G950" s="8">
        <f>RANK(F950,$F$5:$F$1561)</f>
        <v/>
      </c>
      <c r="H950" s="8" t="inlineStr"/>
      <c r="I950" s="9">
        <f>IF(D950="Private",E950,"")</f>
        <v/>
      </c>
      <c r="J950" s="9">
        <f>IF(D950="Private",F950,"")</f>
        <v/>
      </c>
    </row>
    <row r="951">
      <c r="A951" s="8" t="inlineStr">
        <is>
          <t>Wright State University-Main Campus</t>
        </is>
      </c>
      <c r="B951" s="8" t="inlineStr">
        <is>
          <t>Dayton</t>
        </is>
      </c>
      <c r="C951" s="8" t="inlineStr">
        <is>
          <t>OH</t>
        </is>
      </c>
      <c r="D951" s="8" t="inlineStr">
        <is>
          <t>Public</t>
        </is>
      </c>
      <c r="E951" s="9" t="n">
        <v>15455</v>
      </c>
      <c r="F951" s="9" t="n">
        <v>47344</v>
      </c>
      <c r="G951" s="8">
        <f>RANK(F951,$F$5:$F$1561)</f>
        <v/>
      </c>
      <c r="H951" s="8" t="inlineStr"/>
      <c r="I951" s="9">
        <f>IF(D951="Private",E951,"")</f>
        <v/>
      </c>
      <c r="J951" s="9">
        <f>IF(D951="Private",F951,"")</f>
        <v/>
      </c>
    </row>
    <row r="952">
      <c r="A952" s="8" t="inlineStr">
        <is>
          <t>Huntingdon College</t>
        </is>
      </c>
      <c r="B952" s="8" t="inlineStr">
        <is>
          <t>Montgomery</t>
        </is>
      </c>
      <c r="C952" s="8" t="inlineStr">
        <is>
          <t>AL</t>
        </is>
      </c>
      <c r="D952" s="8" t="inlineStr">
        <is>
          <t>Private</t>
        </is>
      </c>
      <c r="E952" s="9" t="n">
        <v>23330</v>
      </c>
      <c r="F952" s="9" t="n">
        <v>47328</v>
      </c>
      <c r="G952" s="8">
        <f>RANK(F952,$F$5:$F$1561)</f>
        <v/>
      </c>
      <c r="H952" s="8" t="inlineStr"/>
      <c r="I952" s="9">
        <f>IF(D952="Private",E952,"")</f>
        <v/>
      </c>
      <c r="J952" s="9">
        <f>IF(D952="Private",F952,"")</f>
        <v/>
      </c>
    </row>
    <row r="953">
      <c r="A953" s="8" t="inlineStr">
        <is>
          <t>California University of Pennsylvania</t>
        </is>
      </c>
      <c r="B953" s="8" t="inlineStr">
        <is>
          <t>California</t>
        </is>
      </c>
      <c r="C953" s="8" t="inlineStr">
        <is>
          <t>PA</t>
        </is>
      </c>
      <c r="D953" s="8" t="inlineStr">
        <is>
          <t>Public</t>
        </is>
      </c>
      <c r="E953" s="9" t="n">
        <v>19932</v>
      </c>
      <c r="F953" s="9" t="n">
        <v>47323</v>
      </c>
      <c r="G953" s="8">
        <f>RANK(F953,$F$5:$F$1561)</f>
        <v/>
      </c>
      <c r="H953" s="8" t="inlineStr"/>
      <c r="I953" s="9">
        <f>IF(D953="Private",E953,"")</f>
        <v/>
      </c>
      <c r="J953" s="9">
        <f>IF(D953="Private",F953,"")</f>
        <v/>
      </c>
    </row>
    <row r="954">
      <c r="A954" s="8" t="inlineStr">
        <is>
          <t>Shepherd University</t>
        </is>
      </c>
      <c r="B954" s="8" t="inlineStr">
        <is>
          <t>Shepherdstown</t>
        </is>
      </c>
      <c r="C954" s="8" t="inlineStr">
        <is>
          <t>WV</t>
        </is>
      </c>
      <c r="D954" s="8" t="inlineStr">
        <is>
          <t>Public</t>
        </is>
      </c>
      <c r="E954" s="9" t="n">
        <v>11109</v>
      </c>
      <c r="F954" s="9" t="n">
        <v>47268</v>
      </c>
      <c r="G954" s="8">
        <f>RANK(F954,$F$5:$F$1561)</f>
        <v/>
      </c>
      <c r="H954" s="8" t="inlineStr"/>
      <c r="I954" s="9">
        <f>IF(D954="Private",E954,"")</f>
        <v/>
      </c>
      <c r="J954" s="9">
        <f>IF(D954="Private",F954,"")</f>
        <v/>
      </c>
    </row>
    <row r="955">
      <c r="A955" s="8" t="inlineStr">
        <is>
          <t>CUNY New York City College of Technology</t>
        </is>
      </c>
      <c r="B955" s="8" t="inlineStr">
        <is>
          <t>Brooklyn</t>
        </is>
      </c>
      <c r="C955" s="8" t="inlineStr">
        <is>
          <t>NY</t>
        </is>
      </c>
      <c r="D955" s="8" t="inlineStr">
        <is>
          <t>Public</t>
        </is>
      </c>
      <c r="E955" s="9" t="n">
        <v>3476</v>
      </c>
      <c r="F955" s="9" t="n">
        <v>47242</v>
      </c>
      <c r="G955" s="8">
        <f>RANK(F955,$F$5:$F$1561)</f>
        <v/>
      </c>
      <c r="H955" s="8" t="inlineStr"/>
      <c r="I955" s="9">
        <f>IF(D955="Private",E955,"")</f>
        <v/>
      </c>
      <c r="J955" s="9">
        <f>IF(D955="Private",F955,"")</f>
        <v/>
      </c>
    </row>
    <row r="956">
      <c r="A956" s="8" t="inlineStr">
        <is>
          <t>Texas A &amp; M International University</t>
        </is>
      </c>
      <c r="B956" s="8" t="inlineStr">
        <is>
          <t>Laredo</t>
        </is>
      </c>
      <c r="C956" s="8" t="inlineStr">
        <is>
          <t>TX</t>
        </is>
      </c>
      <c r="D956" s="8" t="inlineStr">
        <is>
          <t>Public</t>
        </is>
      </c>
      <c r="E956" s="9" t="n">
        <v>4667</v>
      </c>
      <c r="F956" s="9" t="n">
        <v>47235</v>
      </c>
      <c r="G956" s="8">
        <f>RANK(F956,$F$5:$F$1561)</f>
        <v/>
      </c>
      <c r="H956" s="8" t="inlineStr"/>
      <c r="I956" s="9">
        <f>IF(D956="Private",E956,"")</f>
        <v/>
      </c>
      <c r="J956" s="9">
        <f>IF(D956="Private",F956,"")</f>
        <v/>
      </c>
    </row>
    <row r="957">
      <c r="A957" s="8" t="inlineStr">
        <is>
          <t>Bushnell University</t>
        </is>
      </c>
      <c r="B957" s="8" t="inlineStr">
        <is>
          <t>Eugene</t>
        </is>
      </c>
      <c r="C957" s="8" t="inlineStr">
        <is>
          <t>OR</t>
        </is>
      </c>
      <c r="D957" s="8" t="inlineStr">
        <is>
          <t>Private</t>
        </is>
      </c>
      <c r="E957" s="9" t="n">
        <v>19991</v>
      </c>
      <c r="F957" s="9" t="n">
        <v>47221</v>
      </c>
      <c r="G957" s="8">
        <f>RANK(F957,$F$5:$F$1561)</f>
        <v/>
      </c>
      <c r="H957" s="8" t="inlineStr"/>
      <c r="I957" s="9">
        <f>IF(D957="Private",E957,"")</f>
        <v/>
      </c>
      <c r="J957" s="9">
        <f>IF(D957="Private",F957,"")</f>
        <v/>
      </c>
    </row>
    <row r="958">
      <c r="A958" s="8" t="inlineStr">
        <is>
          <t>Simpson University</t>
        </is>
      </c>
      <c r="B958" s="8" t="inlineStr">
        <is>
          <t>Redding</t>
        </is>
      </c>
      <c r="C958" s="8" t="inlineStr">
        <is>
          <t>CA</t>
        </is>
      </c>
      <c r="D958" s="8" t="inlineStr">
        <is>
          <t>Private</t>
        </is>
      </c>
      <c r="E958" s="9" t="n">
        <v>25093</v>
      </c>
      <c r="F958" s="9" t="n">
        <v>47218</v>
      </c>
      <c r="G958" s="8">
        <f>RANK(F958,$F$5:$F$1561)</f>
        <v/>
      </c>
      <c r="H958" s="8" t="inlineStr"/>
      <c r="I958" s="9">
        <f>IF(D958="Private",E958,"")</f>
        <v/>
      </c>
      <c r="J958" s="9">
        <f>IF(D958="Private",F958,"")</f>
        <v/>
      </c>
    </row>
    <row r="959">
      <c r="A959" s="8" t="inlineStr">
        <is>
          <t>Cazenovia College</t>
        </is>
      </c>
      <c r="B959" s="8" t="inlineStr">
        <is>
          <t>Cazenovia</t>
        </is>
      </c>
      <c r="C959" s="8" t="inlineStr">
        <is>
          <t>NY</t>
        </is>
      </c>
      <c r="D959" s="8" t="inlineStr">
        <is>
          <t>Private</t>
        </is>
      </c>
      <c r="E959" s="9" t="n">
        <v>17405</v>
      </c>
      <c r="F959" s="9" t="n">
        <v>47211</v>
      </c>
      <c r="G959" s="8">
        <f>RANK(F959,$F$5:$F$1561)</f>
        <v/>
      </c>
      <c r="H959" s="8" t="inlineStr"/>
      <c r="I959" s="9">
        <f>IF(D959="Private",E959,"")</f>
        <v/>
      </c>
      <c r="J959" s="9">
        <f>IF(D959="Private",F959,"")</f>
        <v/>
      </c>
    </row>
    <row r="960">
      <c r="A960" s="8" t="inlineStr">
        <is>
          <t>University of Northwestern-St Paul</t>
        </is>
      </c>
      <c r="B960" s="8" t="inlineStr">
        <is>
          <t>Saint Paul</t>
        </is>
      </c>
      <c r="C960" s="8" t="inlineStr">
        <is>
          <t>MN</t>
        </is>
      </c>
      <c r="D960" s="8" t="inlineStr">
        <is>
          <t>Private</t>
        </is>
      </c>
      <c r="E960" s="9" t="n">
        <v>20703</v>
      </c>
      <c r="F960" s="9" t="n">
        <v>47202</v>
      </c>
      <c r="G960" s="8">
        <f>RANK(F960,$F$5:$F$1561)</f>
        <v/>
      </c>
      <c r="H960" s="8" t="inlineStr"/>
      <c r="I960" s="9">
        <f>IF(D960="Private",E960,"")</f>
        <v/>
      </c>
      <c r="J960" s="9">
        <f>IF(D960="Private",F960,"")</f>
        <v/>
      </c>
    </row>
    <row r="961">
      <c r="A961" s="8" t="inlineStr">
        <is>
          <t>Roberts Wesleyan University</t>
        </is>
      </c>
      <c r="B961" s="8" t="inlineStr">
        <is>
          <t>Rochester</t>
        </is>
      </c>
      <c r="C961" s="8" t="inlineStr">
        <is>
          <t>NY</t>
        </is>
      </c>
      <c r="D961" s="8" t="inlineStr">
        <is>
          <t>Private</t>
        </is>
      </c>
      <c r="E961" s="9" t="n">
        <v>25860</v>
      </c>
      <c r="F961" s="9" t="n">
        <v>47191</v>
      </c>
      <c r="G961" s="8">
        <f>RANK(F961,$F$5:$F$1561)</f>
        <v/>
      </c>
      <c r="H961" s="8" t="inlineStr"/>
      <c r="I961" s="9">
        <f>IF(D961="Private",E961,"")</f>
        <v/>
      </c>
      <c r="J961" s="9">
        <f>IF(D961="Private",F961,"")</f>
        <v/>
      </c>
    </row>
    <row r="962">
      <c r="A962" s="8" t="inlineStr">
        <is>
          <t>Georgian Court University</t>
        </is>
      </c>
      <c r="B962" s="8" t="inlineStr">
        <is>
          <t>Lakewood</t>
        </is>
      </c>
      <c r="C962" s="8" t="inlineStr">
        <is>
          <t>NJ</t>
        </is>
      </c>
      <c r="D962" s="8" t="inlineStr">
        <is>
          <t>Private</t>
        </is>
      </c>
      <c r="E962" s="9" t="n">
        <v>19753</v>
      </c>
      <c r="F962" s="9" t="n">
        <v>47161</v>
      </c>
      <c r="G962" s="8">
        <f>RANK(F962,$F$5:$F$1561)</f>
        <v/>
      </c>
      <c r="H962" s="8" t="inlineStr"/>
      <c r="I962" s="9">
        <f>IF(D962="Private",E962,"")</f>
        <v/>
      </c>
      <c r="J962" s="9">
        <f>IF(D962="Private",F962,"")</f>
        <v/>
      </c>
    </row>
    <row r="963">
      <c r="A963" s="8" t="inlineStr">
        <is>
          <t>Alaska Pacific University</t>
        </is>
      </c>
      <c r="B963" s="8" t="inlineStr">
        <is>
          <t>Anchorage</t>
        </is>
      </c>
      <c r="C963" s="8" t="inlineStr">
        <is>
          <t>AK</t>
        </is>
      </c>
      <c r="D963" s="8" t="inlineStr">
        <is>
          <t>Private</t>
        </is>
      </c>
      <c r="E963" s="9" t="n">
        <v>20550</v>
      </c>
      <c r="F963" s="9" t="n">
        <v>47105</v>
      </c>
      <c r="G963" s="8">
        <f>RANK(F963,$F$5:$F$1561)</f>
        <v/>
      </c>
      <c r="H963" s="8" t="inlineStr"/>
      <c r="I963" s="9">
        <f>IF(D963="Private",E963,"")</f>
        <v/>
      </c>
      <c r="J963" s="9">
        <f>IF(D963="Private",F963,"")</f>
        <v/>
      </c>
    </row>
    <row r="964">
      <c r="A964" s="8" t="inlineStr">
        <is>
          <t>The University of Texas at El Paso</t>
        </is>
      </c>
      <c r="B964" s="8" t="inlineStr">
        <is>
          <t>El Paso</t>
        </is>
      </c>
      <c r="C964" s="8" t="inlineStr">
        <is>
          <t>TX</t>
        </is>
      </c>
      <c r="D964" s="8" t="inlineStr">
        <is>
          <t>Public</t>
        </is>
      </c>
      <c r="E964" s="9" t="n">
        <v>10798</v>
      </c>
      <c r="F964" s="9" t="n">
        <v>47101</v>
      </c>
      <c r="G964" s="8">
        <f>RANK(F964,$F$5:$F$1561)</f>
        <v/>
      </c>
      <c r="H964" s="8" t="inlineStr"/>
      <c r="I964" s="9">
        <f>IF(D964="Private",E964,"")</f>
        <v/>
      </c>
      <c r="J964" s="9">
        <f>IF(D964="Private",F964,"")</f>
        <v/>
      </c>
    </row>
    <row r="965">
      <c r="A965" s="8" t="inlineStr">
        <is>
          <t>Eastern Michigan University</t>
        </is>
      </c>
      <c r="B965" s="8" t="inlineStr">
        <is>
          <t>Ypsilanti</t>
        </is>
      </c>
      <c r="C965" s="8" t="inlineStr">
        <is>
          <t>MI</t>
        </is>
      </c>
      <c r="D965" s="8" t="inlineStr">
        <is>
          <t>Public</t>
        </is>
      </c>
      <c r="E965" s="9" t="n">
        <v>16445</v>
      </c>
      <c r="F965" s="9" t="n">
        <v>47087</v>
      </c>
      <c r="G965" s="8">
        <f>RANK(F965,$F$5:$F$1561)</f>
        <v/>
      </c>
      <c r="H965" s="8" t="inlineStr"/>
      <c r="I965" s="9">
        <f>IF(D965="Private",E965,"")</f>
        <v/>
      </c>
      <c r="J965" s="9">
        <f>IF(D965="Private",F965,"")</f>
        <v/>
      </c>
    </row>
    <row r="966">
      <c r="A966" s="8" t="inlineStr">
        <is>
          <t>University of West Georgia</t>
        </is>
      </c>
      <c r="B966" s="8" t="inlineStr">
        <is>
          <t>Carrollton</t>
        </is>
      </c>
      <c r="C966" s="8" t="inlineStr">
        <is>
          <t>GA</t>
        </is>
      </c>
      <c r="D966" s="8" t="inlineStr">
        <is>
          <t>Public</t>
        </is>
      </c>
      <c r="E966" s="9" t="n">
        <v>16239</v>
      </c>
      <c r="F966" s="9" t="n">
        <v>47080</v>
      </c>
      <c r="G966" s="8">
        <f>RANK(F966,$F$5:$F$1561)</f>
        <v/>
      </c>
      <c r="H966" s="8" t="inlineStr"/>
      <c r="I966" s="9">
        <f>IF(D966="Private",E966,"")</f>
        <v/>
      </c>
      <c r="J966" s="9">
        <f>IF(D966="Private",F966,"")</f>
        <v/>
      </c>
    </row>
    <row r="967">
      <c r="A967" s="8" t="inlineStr">
        <is>
          <t>Buena Vista University</t>
        </is>
      </c>
      <c r="B967" s="8" t="inlineStr">
        <is>
          <t>Storm Lake</t>
        </is>
      </c>
      <c r="C967" s="8" t="inlineStr">
        <is>
          <t>IA</t>
        </is>
      </c>
      <c r="D967" s="8" t="inlineStr">
        <is>
          <t>Private</t>
        </is>
      </c>
      <c r="E967" s="9" t="n">
        <v>18031</v>
      </c>
      <c r="F967" s="9" t="n">
        <v>47076</v>
      </c>
      <c r="G967" s="8">
        <f>RANK(F967,$F$5:$F$1561)</f>
        <v/>
      </c>
      <c r="H967" s="8" t="inlineStr"/>
      <c r="I967" s="9">
        <f>IF(D967="Private",E967,"")</f>
        <v/>
      </c>
      <c r="J967" s="9">
        <f>IF(D967="Private",F967,"")</f>
        <v/>
      </c>
    </row>
    <row r="968">
      <c r="A968" s="8" t="inlineStr">
        <is>
          <t>Franciscan University of Steubenville</t>
        </is>
      </c>
      <c r="B968" s="8" t="inlineStr">
        <is>
          <t>Steubenville</t>
        </is>
      </c>
      <c r="C968" s="8" t="inlineStr">
        <is>
          <t>OH</t>
        </is>
      </c>
      <c r="D968" s="8" t="inlineStr">
        <is>
          <t>Private</t>
        </is>
      </c>
      <c r="E968" s="9" t="n">
        <v>18769</v>
      </c>
      <c r="F968" s="9" t="n">
        <v>47070</v>
      </c>
      <c r="G968" s="8">
        <f>RANK(F968,$F$5:$F$1561)</f>
        <v/>
      </c>
      <c r="H968" s="8" t="inlineStr"/>
      <c r="I968" s="9">
        <f>IF(D968="Private",E968,"")</f>
        <v/>
      </c>
      <c r="J968" s="9">
        <f>IF(D968="Private",F968,"")</f>
        <v/>
      </c>
    </row>
    <row r="969">
      <c r="A969" s="8" t="inlineStr">
        <is>
          <t>Oklahoma Christian University</t>
        </is>
      </c>
      <c r="B969" s="8" t="inlineStr">
        <is>
          <t>Edmond</t>
        </is>
      </c>
      <c r="C969" s="8" t="inlineStr">
        <is>
          <t>OK</t>
        </is>
      </c>
      <c r="D969" s="8" t="inlineStr">
        <is>
          <t>Private</t>
        </is>
      </c>
      <c r="E969" s="9" t="n">
        <v>18369</v>
      </c>
      <c r="F969" s="9" t="n">
        <v>47069</v>
      </c>
      <c r="G969" s="8">
        <f>RANK(F969,$F$5:$F$1561)</f>
        <v/>
      </c>
      <c r="H969" s="8" t="inlineStr"/>
      <c r="I969" s="9">
        <f>IF(D969="Private",E969,"")</f>
        <v/>
      </c>
      <c r="J969" s="9">
        <f>IF(D969="Private",F969,"")</f>
        <v/>
      </c>
    </row>
    <row r="970">
      <c r="A970" s="8" t="inlineStr">
        <is>
          <t>Franklin Pierce University</t>
        </is>
      </c>
      <c r="B970" s="8" t="inlineStr">
        <is>
          <t>Rindge</t>
        </is>
      </c>
      <c r="C970" s="8" t="inlineStr">
        <is>
          <t>NH</t>
        </is>
      </c>
      <c r="D970" s="8" t="inlineStr">
        <is>
          <t>Private</t>
        </is>
      </c>
      <c r="E970" s="9" t="n">
        <v>27876</v>
      </c>
      <c r="F970" s="9" t="n">
        <v>47068</v>
      </c>
      <c r="G970" s="8">
        <f>RANK(F970,$F$5:$F$1561)</f>
        <v/>
      </c>
      <c r="H970" s="8" t="inlineStr"/>
      <c r="I970" s="9">
        <f>IF(D970="Private",E970,"")</f>
        <v/>
      </c>
      <c r="J970" s="9">
        <f>IF(D970="Private",F970,"")</f>
        <v/>
      </c>
    </row>
    <row r="971">
      <c r="A971" s="8" t="inlineStr">
        <is>
          <t>Springfield College</t>
        </is>
      </c>
      <c r="B971" s="8" t="inlineStr">
        <is>
          <t>Springfield</t>
        </is>
      </c>
      <c r="C971" s="8" t="inlineStr">
        <is>
          <t>MA</t>
        </is>
      </c>
      <c r="D971" s="8" t="inlineStr">
        <is>
          <t>Private</t>
        </is>
      </c>
      <c r="E971" s="9" t="n">
        <v>27837</v>
      </c>
      <c r="F971" s="9" t="n">
        <v>47049</v>
      </c>
      <c r="G971" s="8">
        <f>RANK(F971,$F$5:$F$1561)</f>
        <v/>
      </c>
      <c r="H971" s="8" t="inlineStr"/>
      <c r="I971" s="9">
        <f>IF(D971="Private",E971,"")</f>
        <v/>
      </c>
      <c r="J971" s="9">
        <f>IF(D971="Private",F971,"")</f>
        <v/>
      </c>
    </row>
    <row r="972">
      <c r="A972" s="8" t="inlineStr">
        <is>
          <t>Washburn University</t>
        </is>
      </c>
      <c r="B972" s="8" t="inlineStr">
        <is>
          <t>Topeka</t>
        </is>
      </c>
      <c r="C972" s="8" t="inlineStr">
        <is>
          <t>KS</t>
        </is>
      </c>
      <c r="D972" s="8" t="inlineStr">
        <is>
          <t>Public</t>
        </is>
      </c>
      <c r="E972" s="9" t="n">
        <v>14194</v>
      </c>
      <c r="F972" s="9" t="n">
        <v>47031</v>
      </c>
      <c r="G972" s="8">
        <f>RANK(F972,$F$5:$F$1561)</f>
        <v/>
      </c>
      <c r="H972" s="8" t="inlineStr"/>
      <c r="I972" s="9">
        <f>IF(D972="Private",E972,"")</f>
        <v/>
      </c>
      <c r="J972" s="9">
        <f>IF(D972="Private",F972,"")</f>
        <v/>
      </c>
    </row>
    <row r="973">
      <c r="A973" s="8" t="inlineStr">
        <is>
          <t>Lake Washington Institute of Technology</t>
        </is>
      </c>
      <c r="B973" s="8" t="inlineStr">
        <is>
          <t>Kirkland</t>
        </is>
      </c>
      <c r="C973" s="8" t="inlineStr">
        <is>
          <t>WA</t>
        </is>
      </c>
      <c r="D973" s="8" t="inlineStr">
        <is>
          <t>Public</t>
        </is>
      </c>
      <c r="E973" s="9" t="n">
        <v>8075</v>
      </c>
      <c r="F973" s="9" t="n">
        <v>47026</v>
      </c>
      <c r="G973" s="8">
        <f>RANK(F973,$F$5:$F$1561)</f>
        <v/>
      </c>
      <c r="H973" s="8" t="inlineStr"/>
      <c r="I973" s="9">
        <f>IF(D973="Private",E973,"")</f>
        <v/>
      </c>
      <c r="J973" s="9">
        <f>IF(D973="Private",F973,"")</f>
        <v/>
      </c>
    </row>
    <row r="974">
      <c r="A974" s="8" t="inlineStr">
        <is>
          <t>Rochester University</t>
        </is>
      </c>
      <c r="B974" s="8" t="inlineStr">
        <is>
          <t>Rochester Hills</t>
        </is>
      </c>
      <c r="C974" s="8" t="inlineStr">
        <is>
          <t>MI</t>
        </is>
      </c>
      <c r="D974" s="8" t="inlineStr">
        <is>
          <t>Private</t>
        </is>
      </c>
      <c r="E974" s="9" t="n">
        <v>26137</v>
      </c>
      <c r="F974" s="9" t="n">
        <v>47021</v>
      </c>
      <c r="G974" s="8">
        <f>RANK(F974,$F$5:$F$1561)</f>
        <v/>
      </c>
      <c r="H974" s="8" t="inlineStr"/>
      <c r="I974" s="9">
        <f>IF(D974="Private",E974,"")</f>
        <v/>
      </c>
      <c r="J974" s="9">
        <f>IF(D974="Private",F974,"")</f>
        <v/>
      </c>
    </row>
    <row r="975">
      <c r="A975" s="8" t="inlineStr">
        <is>
          <t>Minot State University</t>
        </is>
      </c>
      <c r="B975" s="8" t="inlineStr">
        <is>
          <t>Minot</t>
        </is>
      </c>
      <c r="C975" s="8" t="inlineStr">
        <is>
          <t>ND</t>
        </is>
      </c>
      <c r="D975" s="8" t="inlineStr">
        <is>
          <t>Public</t>
        </is>
      </c>
      <c r="E975" s="9" t="n">
        <v>12993</v>
      </c>
      <c r="F975" s="9" t="n">
        <v>47001</v>
      </c>
      <c r="G975" s="8">
        <f>RANK(F975,$F$5:$F$1561)</f>
        <v/>
      </c>
      <c r="H975" s="8" t="inlineStr"/>
      <c r="I975" s="9">
        <f>IF(D975="Private",E975,"")</f>
        <v/>
      </c>
      <c r="J975" s="9">
        <f>IF(D975="Private",F975,"")</f>
        <v/>
      </c>
    </row>
    <row r="976">
      <c r="A976" s="8" t="inlineStr">
        <is>
          <t>Western Colorado University</t>
        </is>
      </c>
      <c r="B976" s="8" t="inlineStr">
        <is>
          <t>Gunnison</t>
        </is>
      </c>
      <c r="C976" s="8" t="inlineStr">
        <is>
          <t>CO</t>
        </is>
      </c>
      <c r="D976" s="8" t="inlineStr">
        <is>
          <t>Public</t>
        </is>
      </c>
      <c r="E976" s="9" t="n">
        <v>17437</v>
      </c>
      <c r="F976" s="9" t="n">
        <v>46955</v>
      </c>
      <c r="G976" s="8">
        <f>RANK(F976,$F$5:$F$1561)</f>
        <v/>
      </c>
      <c r="H976" s="8" t="inlineStr"/>
      <c r="I976" s="9">
        <f>IF(D976="Private",E976,"")</f>
        <v/>
      </c>
      <c r="J976" s="9">
        <f>IF(D976="Private",F976,"")</f>
        <v/>
      </c>
    </row>
    <row r="977">
      <c r="A977" s="8" t="inlineStr">
        <is>
          <t>Bowling Green State University-Main Campus</t>
        </is>
      </c>
      <c r="B977" s="8" t="inlineStr">
        <is>
          <t>Bowling Green</t>
        </is>
      </c>
      <c r="C977" s="8" t="inlineStr">
        <is>
          <t>OH</t>
        </is>
      </c>
      <c r="D977" s="8" t="inlineStr">
        <is>
          <t>Public</t>
        </is>
      </c>
      <c r="E977" s="9" t="n">
        <v>16310</v>
      </c>
      <c r="F977" s="9" t="n">
        <v>46918</v>
      </c>
      <c r="G977" s="8">
        <f>RANK(F977,$F$5:$F$1561)</f>
        <v/>
      </c>
      <c r="H977" s="8" t="inlineStr"/>
      <c r="I977" s="9">
        <f>IF(D977="Private",E977,"")</f>
        <v/>
      </c>
      <c r="J977" s="9">
        <f>IF(D977="Private",F977,"")</f>
        <v/>
      </c>
    </row>
    <row r="978">
      <c r="A978" s="8" t="inlineStr">
        <is>
          <t>University of South Carolina Aiken</t>
        </is>
      </c>
      <c r="B978" s="8" t="inlineStr">
        <is>
          <t>Aiken</t>
        </is>
      </c>
      <c r="C978" s="8" t="inlineStr">
        <is>
          <t>SC</t>
        </is>
      </c>
      <c r="D978" s="8" t="inlineStr">
        <is>
          <t>Public</t>
        </is>
      </c>
      <c r="E978" s="9" t="n">
        <v>12309</v>
      </c>
      <c r="F978" s="9" t="n">
        <v>46909</v>
      </c>
      <c r="G978" s="8">
        <f>RANK(F978,$F$5:$F$1561)</f>
        <v/>
      </c>
      <c r="H978" s="8" t="inlineStr"/>
      <c r="I978" s="9">
        <f>IF(D978="Private",E978,"")</f>
        <v/>
      </c>
      <c r="J978" s="9">
        <f>IF(D978="Private",F978,"")</f>
        <v/>
      </c>
    </row>
    <row r="979">
      <c r="A979" s="8" t="inlineStr">
        <is>
          <t>University of New England</t>
        </is>
      </c>
      <c r="B979" s="8" t="inlineStr">
        <is>
          <t>Biddeford</t>
        </is>
      </c>
      <c r="C979" s="8" t="inlineStr">
        <is>
          <t>ME</t>
        </is>
      </c>
      <c r="D979" s="8" t="inlineStr">
        <is>
          <t>Private</t>
        </is>
      </c>
      <c r="E979" s="9" t="n">
        <v>35936</v>
      </c>
      <c r="F979" s="9" t="n">
        <v>46880</v>
      </c>
      <c r="G979" s="8">
        <f>RANK(F979,$F$5:$F$1561)</f>
        <v/>
      </c>
      <c r="H979" s="8" t="inlineStr"/>
      <c r="I979" s="9">
        <f>IF(D979="Private",E979,"")</f>
        <v/>
      </c>
      <c r="J979" s="9">
        <f>IF(D979="Private",F979,"")</f>
        <v/>
      </c>
    </row>
    <row r="980">
      <c r="A980" s="8" t="inlineStr">
        <is>
          <t>Boise State University</t>
        </is>
      </c>
      <c r="B980" s="8" t="inlineStr">
        <is>
          <t>Boise</t>
        </is>
      </c>
      <c r="C980" s="8" t="inlineStr">
        <is>
          <t>ID</t>
        </is>
      </c>
      <c r="D980" s="8" t="inlineStr">
        <is>
          <t>Public</t>
        </is>
      </c>
      <c r="E980" s="9" t="n">
        <v>17107</v>
      </c>
      <c r="F980" s="9" t="n">
        <v>46869</v>
      </c>
      <c r="G980" s="8">
        <f>RANK(F980,$F$5:$F$1561)</f>
        <v/>
      </c>
      <c r="H980" s="8" t="inlineStr"/>
      <c r="I980" s="9">
        <f>IF(D980="Private",E980,"")</f>
        <v/>
      </c>
      <c r="J980" s="9">
        <f>IF(D980="Private",F980,"")</f>
        <v/>
      </c>
    </row>
    <row r="981">
      <c r="A981" s="8" t="inlineStr">
        <is>
          <t>Northwest Nazarene University</t>
        </is>
      </c>
      <c r="B981" s="8" t="inlineStr">
        <is>
          <t>Nampa</t>
        </is>
      </c>
      <c r="C981" s="8" t="inlineStr">
        <is>
          <t>ID</t>
        </is>
      </c>
      <c r="D981" s="8" t="inlineStr">
        <is>
          <t>Private</t>
        </is>
      </c>
      <c r="E981" s="9" t="n">
        <v>22893</v>
      </c>
      <c r="F981" s="9" t="n">
        <v>46841</v>
      </c>
      <c r="G981" s="8">
        <f>RANK(F981,$F$5:$F$1561)</f>
        <v/>
      </c>
      <c r="H981" s="8" t="inlineStr"/>
      <c r="I981" s="9">
        <f>IF(D981="Private",E981,"")</f>
        <v/>
      </c>
      <c r="J981" s="9">
        <f>IF(D981="Private",F981,"")</f>
        <v/>
      </c>
    </row>
    <row r="982">
      <c r="A982" s="8" t="inlineStr">
        <is>
          <t>Northern Kentucky University</t>
        </is>
      </c>
      <c r="B982" s="8" t="inlineStr">
        <is>
          <t>Highland Heights</t>
        </is>
      </c>
      <c r="C982" s="8" t="inlineStr">
        <is>
          <t>KY</t>
        </is>
      </c>
      <c r="D982" s="8" t="inlineStr">
        <is>
          <t>Public</t>
        </is>
      </c>
      <c r="E982" s="9" t="n">
        <v>6575</v>
      </c>
      <c r="F982" s="9" t="n">
        <v>46832</v>
      </c>
      <c r="G982" s="8">
        <f>RANK(F982,$F$5:$F$1561)</f>
        <v/>
      </c>
      <c r="H982" s="8" t="inlineStr"/>
      <c r="I982" s="9">
        <f>IF(D982="Private",E982,"")</f>
        <v/>
      </c>
      <c r="J982" s="9">
        <f>IF(D982="Private",F982,"")</f>
        <v/>
      </c>
    </row>
    <row r="983">
      <c r="A983" s="8" t="inlineStr">
        <is>
          <t>Belmont Abbey College</t>
        </is>
      </c>
      <c r="B983" s="8" t="inlineStr">
        <is>
          <t>Belmont</t>
        </is>
      </c>
      <c r="C983" s="8" t="inlineStr">
        <is>
          <t>NC</t>
        </is>
      </c>
      <c r="D983" s="8" t="inlineStr">
        <is>
          <t>Private</t>
        </is>
      </c>
      <c r="E983" s="9" t="n">
        <v>21238</v>
      </c>
      <c r="F983" s="9" t="n">
        <v>46832</v>
      </c>
      <c r="G983" s="8">
        <f>RANK(F983,$F$5:$F$1561)</f>
        <v/>
      </c>
      <c r="H983" s="8" t="inlineStr"/>
      <c r="I983" s="9">
        <f>IF(D983="Private",E983,"")</f>
        <v/>
      </c>
      <c r="J983" s="9">
        <f>IF(D983="Private",F983,"")</f>
        <v/>
      </c>
    </row>
    <row r="984">
      <c r="A984" s="8" t="inlineStr">
        <is>
          <t>University of North Georgia</t>
        </is>
      </c>
      <c r="B984" s="8" t="inlineStr">
        <is>
          <t>Dahlonega</t>
        </is>
      </c>
      <c r="C984" s="8" t="inlineStr">
        <is>
          <t>GA</t>
        </is>
      </c>
      <c r="D984" s="8" t="inlineStr">
        <is>
          <t>Public</t>
        </is>
      </c>
      <c r="E984" s="9" t="n">
        <v>10623</v>
      </c>
      <c r="F984" s="9" t="n">
        <v>46829</v>
      </c>
      <c r="G984" s="8">
        <f>RANK(F984,$F$5:$F$1561)</f>
        <v/>
      </c>
      <c r="H984" s="8" t="inlineStr"/>
      <c r="I984" s="9">
        <f>IF(D984="Private",E984,"")</f>
        <v/>
      </c>
      <c r="J984" s="9">
        <f>IF(D984="Private",F984,"")</f>
        <v/>
      </c>
    </row>
    <row r="985">
      <c r="A985" s="8" t="inlineStr">
        <is>
          <t>Southwestern Adventist University</t>
        </is>
      </c>
      <c r="B985" s="8" t="inlineStr">
        <is>
          <t>Keene</t>
        </is>
      </c>
      <c r="C985" s="8" t="inlineStr">
        <is>
          <t>TX</t>
        </is>
      </c>
      <c r="D985" s="8" t="inlineStr">
        <is>
          <t>Private</t>
        </is>
      </c>
      <c r="E985" s="9" t="n">
        <v>17231</v>
      </c>
      <c r="F985" s="9" t="n">
        <v>46824</v>
      </c>
      <c r="G985" s="8">
        <f>RANK(F985,$F$5:$F$1561)</f>
        <v/>
      </c>
      <c r="H985" s="8" t="inlineStr"/>
      <c r="I985" s="9">
        <f>IF(D985="Private",E985,"")</f>
        <v/>
      </c>
      <c r="J985" s="9">
        <f>IF(D985="Private",F985,"")</f>
        <v/>
      </c>
    </row>
    <row r="986">
      <c r="A986" s="8" t="inlineStr">
        <is>
          <t>Flagler College</t>
        </is>
      </c>
      <c r="B986" s="8" t="inlineStr">
        <is>
          <t>Saint Augustine</t>
        </is>
      </c>
      <c r="C986" s="8" t="inlineStr">
        <is>
          <t>FL</t>
        </is>
      </c>
      <c r="D986" s="8" t="inlineStr">
        <is>
          <t>Private</t>
        </is>
      </c>
      <c r="E986" s="9" t="n">
        <v>23575</v>
      </c>
      <c r="F986" s="9" t="n">
        <v>46810</v>
      </c>
      <c r="G986" s="8">
        <f>RANK(F986,$F$5:$F$1561)</f>
        <v/>
      </c>
      <c r="H986" s="8" t="inlineStr"/>
      <c r="I986" s="9">
        <f>IF(D986="Private",E986,"")</f>
        <v/>
      </c>
      <c r="J986" s="9">
        <f>IF(D986="Private",F986,"")</f>
        <v/>
      </c>
    </row>
    <row r="987">
      <c r="A987" s="8" t="inlineStr">
        <is>
          <t>Iowa Wesleyan University</t>
        </is>
      </c>
      <c r="B987" s="8" t="inlineStr">
        <is>
          <t>Mount Pleasant</t>
        </is>
      </c>
      <c r="C987" s="8" t="inlineStr">
        <is>
          <t>IA</t>
        </is>
      </c>
      <c r="D987" s="8" t="inlineStr">
        <is>
          <t>Private</t>
        </is>
      </c>
      <c r="E987" s="9" t="n">
        <v>33614</v>
      </c>
      <c r="F987" s="9" t="n">
        <v>46798</v>
      </c>
      <c r="G987" s="8">
        <f>RANK(F987,$F$5:$F$1561)</f>
        <v/>
      </c>
      <c r="H987" s="8" t="inlineStr"/>
      <c r="I987" s="9">
        <f>IF(D987="Private",E987,"")</f>
        <v/>
      </c>
      <c r="J987" s="9">
        <f>IF(D987="Private",F987,"")</f>
        <v/>
      </c>
    </row>
    <row r="988">
      <c r="A988" s="8" t="inlineStr">
        <is>
          <t>Faith International University</t>
        </is>
      </c>
      <c r="B988" s="8" t="inlineStr">
        <is>
          <t>Tacoma</t>
        </is>
      </c>
      <c r="C988" s="8" t="inlineStr">
        <is>
          <t>WA</t>
        </is>
      </c>
      <c r="D988" s="8" t="inlineStr">
        <is>
          <t>Private</t>
        </is>
      </c>
      <c r="E988" s="9" t="n">
        <v>21881</v>
      </c>
      <c r="F988" s="9" t="n">
        <v>46798</v>
      </c>
      <c r="G988" s="8">
        <f>RANK(F988,$F$5:$F$1561)</f>
        <v/>
      </c>
      <c r="H988" s="8" t="inlineStr"/>
      <c r="I988" s="9">
        <f>IF(D988="Private",E988,"")</f>
        <v/>
      </c>
      <c r="J988" s="9">
        <f>IF(D988="Private",F988,"")</f>
        <v/>
      </c>
    </row>
    <row r="989">
      <c r="A989" s="8" t="inlineStr">
        <is>
          <t>Indiana University of Pennsylvania-Main Campus</t>
        </is>
      </c>
      <c r="B989" s="8" t="inlineStr">
        <is>
          <t>Indiana</t>
        </is>
      </c>
      <c r="C989" s="8" t="inlineStr">
        <is>
          <t>PA</t>
        </is>
      </c>
      <c r="D989" s="8" t="inlineStr">
        <is>
          <t>Public</t>
        </is>
      </c>
      <c r="E989" s="9" t="n">
        <v>20201</v>
      </c>
      <c r="F989" s="9" t="n">
        <v>46764</v>
      </c>
      <c r="G989" s="8">
        <f>RANK(F989,$F$5:$F$1561)</f>
        <v/>
      </c>
      <c r="H989" s="8" t="inlineStr"/>
      <c r="I989" s="9">
        <f>IF(D989="Private",E989,"")</f>
        <v/>
      </c>
      <c r="J989" s="9">
        <f>IF(D989="Private",F989,"")</f>
        <v/>
      </c>
    </row>
    <row r="990">
      <c r="A990" s="8" t="inlineStr">
        <is>
          <t>Bethany College</t>
        </is>
      </c>
      <c r="B990" s="8" t="inlineStr">
        <is>
          <t>Lindsborg</t>
        </is>
      </c>
      <c r="C990" s="8" t="inlineStr">
        <is>
          <t>KS</t>
        </is>
      </c>
      <c r="D990" s="8" t="inlineStr">
        <is>
          <t>Private</t>
        </is>
      </c>
      <c r="E990" s="9" t="n">
        <v>26108</v>
      </c>
      <c r="F990" s="9" t="n">
        <v>46723</v>
      </c>
      <c r="G990" s="8">
        <f>RANK(F990,$F$5:$F$1561)</f>
        <v/>
      </c>
      <c r="H990" s="8" t="inlineStr"/>
      <c r="I990" s="9">
        <f>IF(D990="Private",E990,"")</f>
        <v/>
      </c>
      <c r="J990" s="9">
        <f>IF(D990="Private",F990,"")</f>
        <v/>
      </c>
    </row>
    <row r="991">
      <c r="A991" s="8" t="inlineStr">
        <is>
          <t>Kansas Wesleyan University</t>
        </is>
      </c>
      <c r="B991" s="8" t="inlineStr">
        <is>
          <t>Salina</t>
        </is>
      </c>
      <c r="C991" s="8" t="inlineStr">
        <is>
          <t>KS</t>
        </is>
      </c>
      <c r="D991" s="8" t="inlineStr">
        <is>
          <t>Private</t>
        </is>
      </c>
      <c r="E991" s="9" t="n">
        <v>24028</v>
      </c>
      <c r="F991" s="9" t="n">
        <v>46718</v>
      </c>
      <c r="G991" s="8">
        <f>RANK(F991,$F$5:$F$1561)</f>
        <v/>
      </c>
      <c r="H991" s="8" t="inlineStr"/>
      <c r="I991" s="9">
        <f>IF(D991="Private",E991,"")</f>
        <v/>
      </c>
      <c r="J991" s="9">
        <f>IF(D991="Private",F991,"")</f>
        <v/>
      </c>
    </row>
    <row r="992">
      <c r="A992" s="8" t="inlineStr">
        <is>
          <t>Culver-Stockton College</t>
        </is>
      </c>
      <c r="B992" s="8" t="inlineStr">
        <is>
          <t>Canton</t>
        </is>
      </c>
      <c r="C992" s="8" t="inlineStr">
        <is>
          <t>MO</t>
        </is>
      </c>
      <c r="D992" s="8" t="inlineStr">
        <is>
          <t>Private</t>
        </is>
      </c>
      <c r="E992" s="9" t="n">
        <v>21189</v>
      </c>
      <c r="F992" s="9" t="n">
        <v>46707</v>
      </c>
      <c r="G992" s="8">
        <f>RANK(F992,$F$5:$F$1561)</f>
        <v/>
      </c>
      <c r="H992" s="8" t="inlineStr"/>
      <c r="I992" s="9">
        <f>IF(D992="Private",E992,"")</f>
        <v/>
      </c>
      <c r="J992" s="9">
        <f>IF(D992="Private",F992,"")</f>
        <v/>
      </c>
    </row>
    <row r="993">
      <c r="A993" s="8" t="inlineStr">
        <is>
          <t>Middle Tennessee State University</t>
        </is>
      </c>
      <c r="B993" s="8" t="inlineStr">
        <is>
          <t>Murfreesboro</t>
        </is>
      </c>
      <c r="C993" s="8" t="inlineStr">
        <is>
          <t>TN</t>
        </is>
      </c>
      <c r="D993" s="8" t="inlineStr">
        <is>
          <t>Public</t>
        </is>
      </c>
      <c r="E993" s="9" t="n">
        <v>12553</v>
      </c>
      <c r="F993" s="9" t="n">
        <v>46693</v>
      </c>
      <c r="G993" s="8">
        <f>RANK(F993,$F$5:$F$1561)</f>
        <v/>
      </c>
      <c r="H993" s="8" t="inlineStr"/>
      <c r="I993" s="9">
        <f>IF(D993="Private",E993,"")</f>
        <v/>
      </c>
      <c r="J993" s="9">
        <f>IF(D993="Private",F993,"")</f>
        <v/>
      </c>
    </row>
    <row r="994">
      <c r="A994" s="8" t="inlineStr">
        <is>
          <t>Ouachita Baptist University</t>
        </is>
      </c>
      <c r="B994" s="8" t="inlineStr">
        <is>
          <t>Arkadelphia</t>
        </is>
      </c>
      <c r="C994" s="8" t="inlineStr">
        <is>
          <t>AR</t>
        </is>
      </c>
      <c r="D994" s="8" t="inlineStr">
        <is>
          <t>Private</t>
        </is>
      </c>
      <c r="E994" s="9" t="n">
        <v>20847</v>
      </c>
      <c r="F994" s="9" t="n">
        <v>46670</v>
      </c>
      <c r="G994" s="8">
        <f>RANK(F994,$F$5:$F$1561)</f>
        <v/>
      </c>
      <c r="H994" s="8" t="inlineStr"/>
      <c r="I994" s="9">
        <f>IF(D994="Private",E994,"")</f>
        <v/>
      </c>
      <c r="J994" s="9">
        <f>IF(D994="Private",F994,"")</f>
        <v/>
      </c>
    </row>
    <row r="995">
      <c r="A995" s="8" t="inlineStr">
        <is>
          <t>University of New Orleans</t>
        </is>
      </c>
      <c r="B995" s="8" t="inlineStr">
        <is>
          <t>New Orleans</t>
        </is>
      </c>
      <c r="C995" s="8" t="inlineStr">
        <is>
          <t>LA</t>
        </is>
      </c>
      <c r="D995" s="8" t="inlineStr">
        <is>
          <t>Public</t>
        </is>
      </c>
      <c r="E995" s="9" t="n">
        <v>11548</v>
      </c>
      <c r="F995" s="9" t="n">
        <v>46664</v>
      </c>
      <c r="G995" s="8">
        <f>RANK(F995,$F$5:$F$1561)</f>
        <v/>
      </c>
      <c r="H995" s="8" t="inlineStr"/>
      <c r="I995" s="9">
        <f>IF(D995="Private",E995,"")</f>
        <v/>
      </c>
      <c r="J995" s="9">
        <f>IF(D995="Private",F995,"")</f>
        <v/>
      </c>
    </row>
    <row r="996">
      <c r="A996" s="8" t="inlineStr">
        <is>
          <t>Wilmington College</t>
        </is>
      </c>
      <c r="B996" s="8" t="inlineStr">
        <is>
          <t>Wilmington</t>
        </is>
      </c>
      <c r="C996" s="8" t="inlineStr">
        <is>
          <t>OH</t>
        </is>
      </c>
      <c r="D996" s="8" t="inlineStr">
        <is>
          <t>Private</t>
        </is>
      </c>
      <c r="E996" s="9" t="n">
        <v>19932</v>
      </c>
      <c r="F996" s="9" t="n">
        <v>46654</v>
      </c>
      <c r="G996" s="8">
        <f>RANK(F996,$F$5:$F$1561)</f>
        <v/>
      </c>
      <c r="H996" s="8" t="inlineStr"/>
      <c r="I996" s="9">
        <f>IF(D996="Private",E996,"")</f>
        <v/>
      </c>
      <c r="J996" s="9">
        <f>IF(D996="Private",F996,"")</f>
        <v/>
      </c>
    </row>
    <row r="997">
      <c r="A997" s="8" t="inlineStr">
        <is>
          <t>Southwest Minnesota State University</t>
        </is>
      </c>
      <c r="B997" s="8" t="inlineStr">
        <is>
          <t>Marshall</t>
        </is>
      </c>
      <c r="C997" s="8" t="inlineStr">
        <is>
          <t>MN</t>
        </is>
      </c>
      <c r="D997" s="8" t="inlineStr">
        <is>
          <t>Public</t>
        </is>
      </c>
      <c r="E997" s="9" t="n">
        <v>13683</v>
      </c>
      <c r="F997" s="9" t="n">
        <v>46644</v>
      </c>
      <c r="G997" s="8">
        <f>RANK(F997,$F$5:$F$1561)</f>
        <v/>
      </c>
      <c r="H997" s="8" t="inlineStr"/>
      <c r="I997" s="9">
        <f>IF(D997="Private",E997,"")</f>
        <v/>
      </c>
      <c r="J997" s="9">
        <f>IF(D997="Private",F997,"")</f>
        <v/>
      </c>
    </row>
    <row r="998">
      <c r="A998" s="8" t="inlineStr">
        <is>
          <t>Mercyhurst University</t>
        </is>
      </c>
      <c r="B998" s="8" t="inlineStr">
        <is>
          <t>Erie</t>
        </is>
      </c>
      <c r="C998" s="8" t="inlineStr">
        <is>
          <t>PA</t>
        </is>
      </c>
      <c r="D998" s="8" t="inlineStr">
        <is>
          <t>Private</t>
        </is>
      </c>
      <c r="E998" s="9" t="n">
        <v>25704</v>
      </c>
      <c r="F998" s="9" t="n">
        <v>46596</v>
      </c>
      <c r="G998" s="8">
        <f>RANK(F998,$F$5:$F$1561)</f>
        <v/>
      </c>
      <c r="H998" s="8" t="inlineStr"/>
      <c r="I998" s="9">
        <f>IF(D998="Private",E998,"")</f>
        <v/>
      </c>
      <c r="J998" s="9">
        <f>IF(D998="Private",F998,"")</f>
        <v/>
      </c>
    </row>
    <row r="999">
      <c r="A999" s="8" t="inlineStr">
        <is>
          <t>Tabor College</t>
        </is>
      </c>
      <c r="B999" s="8" t="inlineStr">
        <is>
          <t>Hillsboro</t>
        </is>
      </c>
      <c r="C999" s="8" t="inlineStr">
        <is>
          <t>KS</t>
        </is>
      </c>
      <c r="D999" s="8" t="inlineStr">
        <is>
          <t>Private</t>
        </is>
      </c>
      <c r="E999" s="9" t="n">
        <v>19888</v>
      </c>
      <c r="F999" s="9" t="n">
        <v>46519</v>
      </c>
      <c r="G999" s="8">
        <f>RANK(F999,$F$5:$F$1561)</f>
        <v/>
      </c>
      <c r="H999" s="8" t="inlineStr"/>
      <c r="I999" s="9">
        <f>IF(D999="Private",E999,"")</f>
        <v/>
      </c>
      <c r="J999" s="9">
        <f>IF(D999="Private",F999,"")</f>
        <v/>
      </c>
    </row>
    <row r="1000">
      <c r="A1000" s="8" t="inlineStr">
        <is>
          <t>University of North Carolina at Greensboro</t>
        </is>
      </c>
      <c r="B1000" s="8" t="inlineStr">
        <is>
          <t>Greensboro</t>
        </is>
      </c>
      <c r="C1000" s="8" t="inlineStr">
        <is>
          <t>NC</t>
        </is>
      </c>
      <c r="D1000" s="8" t="inlineStr">
        <is>
          <t>Public</t>
        </is>
      </c>
      <c r="E1000" s="9" t="n">
        <v>11110</v>
      </c>
      <c r="F1000" s="9" t="n">
        <v>46514</v>
      </c>
      <c r="G1000" s="8">
        <f>RANK(F1000,$F$5:$F$1561)</f>
        <v/>
      </c>
      <c r="H1000" s="8" t="inlineStr"/>
      <c r="I1000" s="9">
        <f>IF(D1000="Private",E1000,"")</f>
        <v/>
      </c>
      <c r="J1000" s="9">
        <f>IF(D1000="Private",F1000,"")</f>
        <v/>
      </c>
    </row>
    <row r="1001">
      <c r="A1001" s="8" t="inlineStr">
        <is>
          <t>Millikin University</t>
        </is>
      </c>
      <c r="B1001" s="8" t="inlineStr">
        <is>
          <t>Decatur</t>
        </is>
      </c>
      <c r="C1001" s="8" t="inlineStr">
        <is>
          <t>IL</t>
        </is>
      </c>
      <c r="D1001" s="8" t="inlineStr">
        <is>
          <t>Private</t>
        </is>
      </c>
      <c r="E1001" s="9" t="n">
        <v>19230</v>
      </c>
      <c r="F1001" s="9" t="n">
        <v>46513</v>
      </c>
      <c r="G1001" s="8">
        <f>RANK(F1001,$F$5:$F$1561)</f>
        <v/>
      </c>
      <c r="H1001" s="8" t="inlineStr"/>
      <c r="I1001" s="9">
        <f>IF(D1001="Private",E1001,"")</f>
        <v/>
      </c>
      <c r="J1001" s="9">
        <f>IF(D1001="Private",F1001,"")</f>
        <v/>
      </c>
    </row>
    <row r="1002">
      <c r="A1002" s="8" t="inlineStr">
        <is>
          <t>University of Holy Cross</t>
        </is>
      </c>
      <c r="B1002" s="8" t="inlineStr">
        <is>
          <t>New Orleans</t>
        </is>
      </c>
      <c r="C1002" s="8" t="inlineStr">
        <is>
          <t>LA</t>
        </is>
      </c>
      <c r="D1002" s="8" t="inlineStr">
        <is>
          <t>Private</t>
        </is>
      </c>
      <c r="E1002" s="9" t="n">
        <v>16353</v>
      </c>
      <c r="F1002" s="9" t="n">
        <v>46512</v>
      </c>
      <c r="G1002" s="8">
        <f>RANK(F1002,$F$5:$F$1561)</f>
        <v/>
      </c>
      <c r="H1002" s="8" t="inlineStr"/>
      <c r="I1002" s="9">
        <f>IF(D1002="Private",E1002,"")</f>
        <v/>
      </c>
      <c r="J1002" s="9">
        <f>IF(D1002="Private",F1002,"")</f>
        <v/>
      </c>
    </row>
    <row r="1003">
      <c r="A1003" s="8" t="inlineStr">
        <is>
          <t>North Seattle College</t>
        </is>
      </c>
      <c r="B1003" s="8" t="inlineStr">
        <is>
          <t>Seattle</t>
        </is>
      </c>
      <c r="C1003" s="8" t="inlineStr">
        <is>
          <t>WA</t>
        </is>
      </c>
      <c r="D1003" s="8" t="inlineStr">
        <is>
          <t>Public</t>
        </is>
      </c>
      <c r="E1003" s="9" t="n">
        <v>4988</v>
      </c>
      <c r="F1003" s="9" t="n">
        <v>46503</v>
      </c>
      <c r="G1003" s="8">
        <f>RANK(F1003,$F$5:$F$1561)</f>
        <v/>
      </c>
      <c r="H1003" s="8" t="inlineStr"/>
      <c r="I1003" s="9">
        <f>IF(D1003="Private",E1003,"")</f>
        <v/>
      </c>
      <c r="J1003" s="9">
        <f>IF(D1003="Private",F1003,"")</f>
        <v/>
      </c>
    </row>
    <row r="1004">
      <c r="A1004" s="8" t="inlineStr">
        <is>
          <t>Our Lady of the Lake University</t>
        </is>
      </c>
      <c r="B1004" s="8" t="inlineStr">
        <is>
          <t>San Antonio</t>
        </is>
      </c>
      <c r="C1004" s="8" t="inlineStr">
        <is>
          <t>TX</t>
        </is>
      </c>
      <c r="D1004" s="8" t="inlineStr">
        <is>
          <t>Private</t>
        </is>
      </c>
      <c r="E1004" s="9" t="n">
        <v>17926</v>
      </c>
      <c r="F1004" s="9" t="n">
        <v>46486</v>
      </c>
      <c r="G1004" s="8">
        <f>RANK(F1004,$F$5:$F$1561)</f>
        <v/>
      </c>
      <c r="H1004" s="8" t="inlineStr"/>
      <c r="I1004" s="9">
        <f>IF(D1004="Private",E1004,"")</f>
        <v/>
      </c>
      <c r="J1004" s="9">
        <f>IF(D1004="Private",F1004,"")</f>
        <v/>
      </c>
    </row>
    <row r="1005">
      <c r="A1005" s="8" t="inlineStr">
        <is>
          <t>Calumet College of Saint Joseph</t>
        </is>
      </c>
      <c r="B1005" s="8" t="inlineStr">
        <is>
          <t>Whiting</t>
        </is>
      </c>
      <c r="C1005" s="8" t="inlineStr">
        <is>
          <t>IN</t>
        </is>
      </c>
      <c r="D1005" s="8" t="inlineStr">
        <is>
          <t>Private</t>
        </is>
      </c>
      <c r="E1005" s="9" t="n">
        <v>12801</v>
      </c>
      <c r="F1005" s="9" t="n">
        <v>46475</v>
      </c>
      <c r="G1005" s="8">
        <f>RANK(F1005,$F$5:$F$1561)</f>
        <v/>
      </c>
      <c r="H1005" s="8" t="inlineStr"/>
      <c r="I1005" s="9">
        <f>IF(D1005="Private",E1005,"")</f>
        <v/>
      </c>
      <c r="J1005" s="9">
        <f>IF(D1005="Private",F1005,"")</f>
        <v/>
      </c>
    </row>
    <row r="1006">
      <c r="A1006" s="8" t="inlineStr">
        <is>
          <t>Emory &amp; Henry College</t>
        </is>
      </c>
      <c r="B1006" s="8" t="inlineStr">
        <is>
          <t>Emory</t>
        </is>
      </c>
      <c r="C1006" s="8" t="inlineStr">
        <is>
          <t>VA</t>
        </is>
      </c>
      <c r="D1006" s="8" t="inlineStr">
        <is>
          <t>Private</t>
        </is>
      </c>
      <c r="E1006" s="9" t="n">
        <v>19053</v>
      </c>
      <c r="F1006" s="9" t="n">
        <v>46471</v>
      </c>
      <c r="G1006" s="8">
        <f>RANK(F1006,$F$5:$F$1561)</f>
        <v/>
      </c>
      <c r="H1006" s="8" t="inlineStr"/>
      <c r="I1006" s="9">
        <f>IF(D1006="Private",E1006,"")</f>
        <v/>
      </c>
      <c r="J1006" s="9">
        <f>IF(D1006="Private",F1006,"")</f>
        <v/>
      </c>
    </row>
    <row r="1007">
      <c r="A1007" s="8" t="inlineStr">
        <is>
          <t>McMurry University</t>
        </is>
      </c>
      <c r="B1007" s="8" t="inlineStr">
        <is>
          <t>Abilene</t>
        </is>
      </c>
      <c r="C1007" s="8" t="inlineStr">
        <is>
          <t>TX</t>
        </is>
      </c>
      <c r="D1007" s="8" t="inlineStr">
        <is>
          <t>Private</t>
        </is>
      </c>
      <c r="E1007" s="9" t="n">
        <v>22602</v>
      </c>
      <c r="F1007" s="9" t="n">
        <v>46461</v>
      </c>
      <c r="G1007" s="8">
        <f>RANK(F1007,$F$5:$F$1561)</f>
        <v/>
      </c>
      <c r="H1007" s="8" t="inlineStr"/>
      <c r="I1007" s="9">
        <f>IF(D1007="Private",E1007,"")</f>
        <v/>
      </c>
      <c r="J1007" s="9">
        <f>IF(D1007="Private",F1007,"")</f>
        <v/>
      </c>
    </row>
    <row r="1008">
      <c r="A1008" s="8" t="inlineStr">
        <is>
          <t>SUNY College of Technology at Delhi</t>
        </is>
      </c>
      <c r="B1008" s="8" t="inlineStr">
        <is>
          <t>Delhi</t>
        </is>
      </c>
      <c r="C1008" s="8" t="inlineStr">
        <is>
          <t>NY</t>
        </is>
      </c>
      <c r="D1008" s="8" t="inlineStr">
        <is>
          <t>Public</t>
        </is>
      </c>
      <c r="E1008" s="9" t="n">
        <v>17112</v>
      </c>
      <c r="F1008" s="9" t="n">
        <v>46364</v>
      </c>
      <c r="G1008" s="8">
        <f>RANK(F1008,$F$5:$F$1561)</f>
        <v/>
      </c>
      <c r="H1008" s="8" t="inlineStr"/>
      <c r="I1008" s="9">
        <f>IF(D1008="Private",E1008,"")</f>
        <v/>
      </c>
      <c r="J1008" s="9">
        <f>IF(D1008="Private",F1008,"")</f>
        <v/>
      </c>
    </row>
    <row r="1009">
      <c r="A1009" s="8" t="inlineStr">
        <is>
          <t>Valdosta State University</t>
        </is>
      </c>
      <c r="B1009" s="8" t="inlineStr">
        <is>
          <t>Valdosta</t>
        </is>
      </c>
      <c r="C1009" s="8" t="inlineStr">
        <is>
          <t>GA</t>
        </is>
      </c>
      <c r="D1009" s="8" t="inlineStr">
        <is>
          <t>Public</t>
        </is>
      </c>
      <c r="E1009" s="9" t="n">
        <v>13336</v>
      </c>
      <c r="F1009" s="9" t="n">
        <v>46357</v>
      </c>
      <c r="G1009" s="8">
        <f>RANK(F1009,$F$5:$F$1561)</f>
        <v/>
      </c>
      <c r="H1009" s="8" t="inlineStr"/>
      <c r="I1009" s="9">
        <f>IF(D1009="Private",E1009,"")</f>
        <v/>
      </c>
      <c r="J1009" s="9">
        <f>IF(D1009="Private",F1009,"")</f>
        <v/>
      </c>
    </row>
    <row r="1010">
      <c r="A1010" s="8" t="inlineStr">
        <is>
          <t>Angelo State University</t>
        </is>
      </c>
      <c r="B1010" s="8" t="inlineStr">
        <is>
          <t>San Angelo</t>
        </is>
      </c>
      <c r="C1010" s="8" t="inlineStr">
        <is>
          <t>TX</t>
        </is>
      </c>
      <c r="D1010" s="8" t="inlineStr">
        <is>
          <t>Public</t>
        </is>
      </c>
      <c r="E1010" s="9" t="n">
        <v>13499</v>
      </c>
      <c r="F1010" s="9" t="n">
        <v>46355</v>
      </c>
      <c r="G1010" s="8">
        <f>RANK(F1010,$F$5:$F$1561)</f>
        <v/>
      </c>
      <c r="H1010" s="8" t="inlineStr"/>
      <c r="I1010" s="9">
        <f>IF(D1010="Private",E1010,"")</f>
        <v/>
      </c>
      <c r="J1010" s="9">
        <f>IF(D1010="Private",F1010,"")</f>
        <v/>
      </c>
    </row>
    <row r="1011">
      <c r="A1011" s="8" t="inlineStr">
        <is>
          <t>Thiel College</t>
        </is>
      </c>
      <c r="B1011" s="8" t="inlineStr">
        <is>
          <t>Greenville</t>
        </is>
      </c>
      <c r="C1011" s="8" t="inlineStr">
        <is>
          <t>PA</t>
        </is>
      </c>
      <c r="D1011" s="8" t="inlineStr">
        <is>
          <t>Private</t>
        </is>
      </c>
      <c r="E1011" s="9" t="n">
        <v>21975</v>
      </c>
      <c r="F1011" s="9" t="n">
        <v>46325</v>
      </c>
      <c r="G1011" s="8">
        <f>RANK(F1011,$F$5:$F$1561)</f>
        <v/>
      </c>
      <c r="H1011" s="8" t="inlineStr"/>
      <c r="I1011" s="9">
        <f>IF(D1011="Private",E1011,"")</f>
        <v/>
      </c>
      <c r="J1011" s="9">
        <f>IF(D1011="Private",F1011,"")</f>
        <v/>
      </c>
    </row>
    <row r="1012">
      <c r="A1012" s="8" t="inlineStr">
        <is>
          <t>University of Central Missouri</t>
        </is>
      </c>
      <c r="B1012" s="8" t="inlineStr">
        <is>
          <t>Warrensburg</t>
        </is>
      </c>
      <c r="C1012" s="8" t="inlineStr">
        <is>
          <t>MO</t>
        </is>
      </c>
      <c r="D1012" s="8" t="inlineStr">
        <is>
          <t>Public</t>
        </is>
      </c>
      <c r="E1012" s="9" t="n">
        <v>13953</v>
      </c>
      <c r="F1012" s="9" t="n">
        <v>46316</v>
      </c>
      <c r="G1012" s="8">
        <f>RANK(F1012,$F$5:$F$1561)</f>
        <v/>
      </c>
      <c r="H1012" s="8" t="inlineStr"/>
      <c r="I1012" s="9">
        <f>IF(D1012="Private",E1012,"")</f>
        <v/>
      </c>
      <c r="J1012" s="9">
        <f>IF(D1012="Private",F1012,"")</f>
        <v/>
      </c>
    </row>
    <row r="1013">
      <c r="A1013" s="8" t="inlineStr">
        <is>
          <t>Trinity Washington University</t>
        </is>
      </c>
      <c r="B1013" s="8" t="inlineStr">
        <is>
          <t>Washington</t>
        </is>
      </c>
      <c r="C1013" s="8" t="inlineStr">
        <is>
          <t>DC</t>
        </is>
      </c>
      <c r="D1013" s="8" t="inlineStr">
        <is>
          <t>Private</t>
        </is>
      </c>
      <c r="E1013" s="9" t="n">
        <v>11693</v>
      </c>
      <c r="F1013" s="9" t="n">
        <v>46296</v>
      </c>
      <c r="G1013" s="8">
        <f>RANK(F1013,$F$5:$F$1561)</f>
        <v/>
      </c>
      <c r="H1013" s="8" t="inlineStr"/>
      <c r="I1013" s="9">
        <f>IF(D1013="Private",E1013,"")</f>
        <v/>
      </c>
      <c r="J1013" s="9">
        <f>IF(D1013="Private",F1013,"")</f>
        <v/>
      </c>
    </row>
    <row r="1014">
      <c r="A1014" s="8" t="inlineStr">
        <is>
          <t>California State Polytechnic University-Humboldt</t>
        </is>
      </c>
      <c r="B1014" s="8" t="inlineStr">
        <is>
          <t>Arcata</t>
        </is>
      </c>
      <c r="C1014" s="8" t="inlineStr">
        <is>
          <t>CA</t>
        </is>
      </c>
      <c r="D1014" s="8" t="inlineStr">
        <is>
          <t>Public</t>
        </is>
      </c>
      <c r="E1014" s="9" t="n">
        <v>13335</v>
      </c>
      <c r="F1014" s="9" t="n">
        <v>46266</v>
      </c>
      <c r="G1014" s="8">
        <f>RANK(F1014,$F$5:$F$1561)</f>
        <v/>
      </c>
      <c r="H1014" s="8" t="inlineStr"/>
      <c r="I1014" s="9">
        <f>IF(D1014="Private",E1014,"")</f>
        <v/>
      </c>
      <c r="J1014" s="9">
        <f>IF(D1014="Private",F1014,"")</f>
        <v/>
      </c>
    </row>
    <row r="1015">
      <c r="A1015" s="8" t="inlineStr">
        <is>
          <t>The University of Tennessee-Chattanooga</t>
        </is>
      </c>
      <c r="B1015" s="8" t="inlineStr">
        <is>
          <t>Chattanooga</t>
        </is>
      </c>
      <c r="C1015" s="8" t="inlineStr">
        <is>
          <t>TN</t>
        </is>
      </c>
      <c r="D1015" s="8" t="inlineStr">
        <is>
          <t>Public</t>
        </is>
      </c>
      <c r="E1015" s="9" t="n">
        <v>12732</v>
      </c>
      <c r="F1015" s="9" t="n">
        <v>46266</v>
      </c>
      <c r="G1015" s="8">
        <f>RANK(F1015,$F$5:$F$1561)</f>
        <v/>
      </c>
      <c r="H1015" s="8" t="inlineStr"/>
      <c r="I1015" s="9">
        <f>IF(D1015="Private",E1015,"")</f>
        <v/>
      </c>
      <c r="J1015" s="9">
        <f>IF(D1015="Private",F1015,"")</f>
        <v/>
      </c>
    </row>
    <row r="1016">
      <c r="A1016" s="8" t="inlineStr">
        <is>
          <t>Virginia Wesleyan University</t>
        </is>
      </c>
      <c r="B1016" s="8" t="inlineStr">
        <is>
          <t>Virginia Beach</t>
        </is>
      </c>
      <c r="C1016" s="8" t="inlineStr">
        <is>
          <t>VA</t>
        </is>
      </c>
      <c r="D1016" s="8" t="inlineStr">
        <is>
          <t>Private</t>
        </is>
      </c>
      <c r="E1016" s="9" t="n">
        <v>21339</v>
      </c>
      <c r="F1016" s="9" t="n">
        <v>46249</v>
      </c>
      <c r="G1016" s="8">
        <f>RANK(F1016,$F$5:$F$1561)</f>
        <v/>
      </c>
      <c r="H1016" s="8" t="inlineStr"/>
      <c r="I1016" s="9">
        <f>IF(D1016="Private",E1016,"")</f>
        <v/>
      </c>
      <c r="J1016" s="9">
        <f>IF(D1016="Private",F1016,"")</f>
        <v/>
      </c>
    </row>
    <row r="1017">
      <c r="A1017" s="8" t="inlineStr">
        <is>
          <t>Coastal Carolina University</t>
        </is>
      </c>
      <c r="B1017" s="8" t="inlineStr">
        <is>
          <t>Conway</t>
        </is>
      </c>
      <c r="C1017" s="8" t="inlineStr">
        <is>
          <t>SC</t>
        </is>
      </c>
      <c r="D1017" s="8" t="inlineStr">
        <is>
          <t>Public</t>
        </is>
      </c>
      <c r="E1017" s="9" t="n">
        <v>14382</v>
      </c>
      <c r="F1017" s="9" t="n">
        <v>46189</v>
      </c>
      <c r="G1017" s="8">
        <f>RANK(F1017,$F$5:$F$1561)</f>
        <v/>
      </c>
      <c r="H1017" s="8" t="inlineStr"/>
      <c r="I1017" s="9">
        <f>IF(D1017="Private",E1017,"")</f>
        <v/>
      </c>
      <c r="J1017" s="9">
        <f>IF(D1017="Private",F1017,"")</f>
        <v/>
      </c>
    </row>
    <row r="1018">
      <c r="A1018" s="8" t="inlineStr">
        <is>
          <t>University of Charleston</t>
        </is>
      </c>
      <c r="B1018" s="8" t="inlineStr">
        <is>
          <t>Charleston</t>
        </is>
      </c>
      <c r="C1018" s="8" t="inlineStr">
        <is>
          <t>WV</t>
        </is>
      </c>
      <c r="D1018" s="8" t="inlineStr">
        <is>
          <t>Private</t>
        </is>
      </c>
      <c r="E1018" s="9" t="n">
        <v>20294</v>
      </c>
      <c r="F1018" s="9" t="n">
        <v>46166</v>
      </c>
      <c r="G1018" s="8">
        <f>RANK(F1018,$F$5:$F$1561)</f>
        <v/>
      </c>
      <c r="H1018" s="8" t="inlineStr"/>
      <c r="I1018" s="9">
        <f>IF(D1018="Private",E1018,"")</f>
        <v/>
      </c>
      <c r="J1018" s="9">
        <f>IF(D1018="Private",F1018,"")</f>
        <v/>
      </c>
    </row>
    <row r="1019">
      <c r="A1019" s="8" t="inlineStr">
        <is>
          <t>Medaille University</t>
        </is>
      </c>
      <c r="B1019" s="8" t="inlineStr">
        <is>
          <t>Buffalo</t>
        </is>
      </c>
      <c r="C1019" s="8" t="inlineStr">
        <is>
          <t>NY</t>
        </is>
      </c>
      <c r="D1019" s="8" t="inlineStr">
        <is>
          <t>Private</t>
        </is>
      </c>
      <c r="E1019" s="9" t="n">
        <v>16170</v>
      </c>
      <c r="F1019" s="9" t="n">
        <v>46151</v>
      </c>
      <c r="G1019" s="8">
        <f>RANK(F1019,$F$5:$F$1561)</f>
        <v/>
      </c>
      <c r="H1019" s="8" t="inlineStr"/>
      <c r="I1019" s="9">
        <f>IF(D1019="Private",E1019,"")</f>
        <v/>
      </c>
      <c r="J1019" s="9">
        <f>IF(D1019="Private",F1019,"")</f>
        <v/>
      </c>
    </row>
    <row r="1020">
      <c r="A1020" s="8" t="inlineStr">
        <is>
          <t>University of Alaska Fairbanks</t>
        </is>
      </c>
      <c r="B1020" s="8" t="inlineStr">
        <is>
          <t>Fairbanks</t>
        </is>
      </c>
      <c r="C1020" s="8" t="inlineStr">
        <is>
          <t>AK</t>
        </is>
      </c>
      <c r="D1020" s="8" t="inlineStr">
        <is>
          <t>Public</t>
        </is>
      </c>
      <c r="E1020" s="9" t="n">
        <v>9684</v>
      </c>
      <c r="F1020" s="9" t="n">
        <v>46150</v>
      </c>
      <c r="G1020" s="8">
        <f>RANK(F1020,$F$5:$F$1561)</f>
        <v/>
      </c>
      <c r="H1020" s="8" t="inlineStr"/>
      <c r="I1020" s="9">
        <f>IF(D1020="Private",E1020,"")</f>
        <v/>
      </c>
      <c r="J1020" s="9">
        <f>IF(D1020="Private",F1020,"")</f>
        <v/>
      </c>
    </row>
    <row r="1021">
      <c r="A1021" s="8" t="inlineStr">
        <is>
          <t>Wayne State College</t>
        </is>
      </c>
      <c r="B1021" s="8" t="inlineStr">
        <is>
          <t>Wayne</t>
        </is>
      </c>
      <c r="C1021" s="8" t="inlineStr">
        <is>
          <t>NE</t>
        </is>
      </c>
      <c r="D1021" s="8" t="inlineStr">
        <is>
          <t>Public</t>
        </is>
      </c>
      <c r="E1021" s="9" t="n">
        <v>14469</v>
      </c>
      <c r="F1021" s="9" t="n">
        <v>46143</v>
      </c>
      <c r="G1021" s="8">
        <f>RANK(F1021,$F$5:$F$1561)</f>
        <v/>
      </c>
      <c r="H1021" s="8" t="inlineStr"/>
      <c r="I1021" s="9">
        <f>IF(D1021="Private",E1021,"")</f>
        <v/>
      </c>
      <c r="J1021" s="9">
        <f>IF(D1021="Private",F1021,"")</f>
        <v/>
      </c>
    </row>
    <row r="1022">
      <c r="A1022" s="8" t="inlineStr">
        <is>
          <t>Barton College</t>
        </is>
      </c>
      <c r="B1022" s="8" t="inlineStr">
        <is>
          <t>Wilson</t>
        </is>
      </c>
      <c r="C1022" s="8" t="inlineStr">
        <is>
          <t>NC</t>
        </is>
      </c>
      <c r="D1022" s="8" t="inlineStr">
        <is>
          <t>Private</t>
        </is>
      </c>
      <c r="E1022" s="9" t="n">
        <v>22733</v>
      </c>
      <c r="F1022" s="9" t="n">
        <v>46112</v>
      </c>
      <c r="G1022" s="8">
        <f>RANK(F1022,$F$5:$F$1561)</f>
        <v/>
      </c>
      <c r="H1022" s="8" t="inlineStr"/>
      <c r="I1022" s="9">
        <f>IF(D1022="Private",E1022,"")</f>
        <v/>
      </c>
      <c r="J1022" s="9">
        <f>IF(D1022="Private",F1022,"")</f>
        <v/>
      </c>
    </row>
    <row r="1023">
      <c r="A1023" s="8" t="inlineStr">
        <is>
          <t>Morgan State University</t>
        </is>
      </c>
      <c r="B1023" s="8" t="inlineStr">
        <is>
          <t>Baltimore</t>
        </is>
      </c>
      <c r="C1023" s="8" t="inlineStr">
        <is>
          <t>MD</t>
        </is>
      </c>
      <c r="D1023" s="8" t="inlineStr">
        <is>
          <t>Public</t>
        </is>
      </c>
      <c r="E1023" s="9" t="n">
        <v>16645</v>
      </c>
      <c r="F1023" s="9" t="n">
        <v>46092</v>
      </c>
      <c r="G1023" s="8">
        <f>RANK(F1023,$F$5:$F$1561)</f>
        <v/>
      </c>
      <c r="H1023" s="8" t="inlineStr"/>
      <c r="I1023" s="9">
        <f>IF(D1023="Private",E1023,"")</f>
        <v/>
      </c>
      <c r="J1023" s="9">
        <f>IF(D1023="Private",F1023,"")</f>
        <v/>
      </c>
    </row>
    <row r="1024">
      <c r="A1024" s="8" t="inlineStr">
        <is>
          <t>Bay Path University</t>
        </is>
      </c>
      <c r="B1024" s="8" t="inlineStr">
        <is>
          <t>Longmeadow</t>
        </is>
      </c>
      <c r="C1024" s="8" t="inlineStr">
        <is>
          <t>MA</t>
        </is>
      </c>
      <c r="D1024" s="8" t="inlineStr">
        <is>
          <t>Private</t>
        </is>
      </c>
      <c r="E1024" s="9" t="n">
        <v>18867</v>
      </c>
      <c r="F1024" s="9" t="n">
        <v>46065</v>
      </c>
      <c r="G1024" s="8">
        <f>RANK(F1024,$F$5:$F$1561)</f>
        <v/>
      </c>
      <c r="H1024" s="8" t="inlineStr"/>
      <c r="I1024" s="9">
        <f>IF(D1024="Private",E1024,"")</f>
        <v/>
      </c>
      <c r="J1024" s="9">
        <f>IF(D1024="Private",F1024,"")</f>
        <v/>
      </c>
    </row>
    <row r="1025">
      <c r="A1025" s="8" t="inlineStr">
        <is>
          <t>University of Memphis</t>
        </is>
      </c>
      <c r="B1025" s="8" t="inlineStr">
        <is>
          <t>Memphis</t>
        </is>
      </c>
      <c r="C1025" s="8" t="inlineStr">
        <is>
          <t>TN</t>
        </is>
      </c>
      <c r="D1025" s="8" t="inlineStr">
        <is>
          <t>Public</t>
        </is>
      </c>
      <c r="E1025" s="9" t="n">
        <v>14023</v>
      </c>
      <c r="F1025" s="9" t="n">
        <v>46044</v>
      </c>
      <c r="G1025" s="8">
        <f>RANK(F1025,$F$5:$F$1561)</f>
        <v/>
      </c>
      <c r="H1025" s="8" t="inlineStr"/>
      <c r="I1025" s="9">
        <f>IF(D1025="Private",E1025,"")</f>
        <v/>
      </c>
      <c r="J1025" s="9">
        <f>IF(D1025="Private",F1025,"")</f>
        <v/>
      </c>
    </row>
    <row r="1026">
      <c r="A1026" s="8" t="inlineStr">
        <is>
          <t>University of Akron Main Campus</t>
        </is>
      </c>
      <c r="B1026" s="8" t="inlineStr">
        <is>
          <t>Akron</t>
        </is>
      </c>
      <c r="C1026" s="8" t="inlineStr">
        <is>
          <t>OH</t>
        </is>
      </c>
      <c r="D1026" s="8" t="inlineStr">
        <is>
          <t>Public</t>
        </is>
      </c>
      <c r="E1026" s="9" t="n">
        <v>22083</v>
      </c>
      <c r="F1026" s="9" t="n">
        <v>46023</v>
      </c>
      <c r="G1026" s="8">
        <f>RANK(F1026,$F$5:$F$1561)</f>
        <v/>
      </c>
      <c r="H1026" s="8" t="inlineStr"/>
      <c r="I1026" s="9">
        <f>IF(D1026="Private",E1026,"")</f>
        <v/>
      </c>
      <c r="J1026" s="9">
        <f>IF(D1026="Private",F1026,"")</f>
        <v/>
      </c>
    </row>
    <row r="1027">
      <c r="A1027" s="8" t="inlineStr">
        <is>
          <t>Heritage University</t>
        </is>
      </c>
      <c r="B1027" s="8" t="inlineStr">
        <is>
          <t>Toppenish</t>
        </is>
      </c>
      <c r="C1027" s="8" t="inlineStr">
        <is>
          <t>WA</t>
        </is>
      </c>
      <c r="D1027" s="8" t="inlineStr">
        <is>
          <t>Private</t>
        </is>
      </c>
      <c r="E1027" s="9" t="n">
        <v>5981</v>
      </c>
      <c r="F1027" s="9" t="n">
        <v>45995</v>
      </c>
      <c r="G1027" s="8">
        <f>RANK(F1027,$F$5:$F$1561)</f>
        <v/>
      </c>
      <c r="H1027" s="8" t="inlineStr"/>
      <c r="I1027" s="9">
        <f>IF(D1027="Private",E1027,"")</f>
        <v/>
      </c>
      <c r="J1027" s="9">
        <f>IF(D1027="Private",F1027,"")</f>
        <v/>
      </c>
    </row>
    <row r="1028">
      <c r="A1028" s="8" t="inlineStr">
        <is>
          <t>Dakota State University</t>
        </is>
      </c>
      <c r="B1028" s="8" t="inlineStr">
        <is>
          <t>Madison</t>
        </is>
      </c>
      <c r="C1028" s="8" t="inlineStr">
        <is>
          <t>SD</t>
        </is>
      </c>
      <c r="D1028" s="8" t="inlineStr">
        <is>
          <t>Public</t>
        </is>
      </c>
      <c r="E1028" s="9" t="n">
        <v>18619</v>
      </c>
      <c r="F1028" s="9" t="n">
        <v>45973</v>
      </c>
      <c r="G1028" s="8">
        <f>RANK(F1028,$F$5:$F$1561)</f>
        <v/>
      </c>
      <c r="H1028" s="8" t="inlineStr"/>
      <c r="I1028" s="9">
        <f>IF(D1028="Private",E1028,"")</f>
        <v/>
      </c>
      <c r="J1028" s="9">
        <f>IF(D1028="Private",F1028,"")</f>
        <v/>
      </c>
    </row>
    <row r="1029">
      <c r="A1029" s="8" t="inlineStr">
        <is>
          <t>Lamar University</t>
        </is>
      </c>
      <c r="B1029" s="8" t="inlineStr">
        <is>
          <t>Beaumont</t>
        </is>
      </c>
      <c r="C1029" s="8" t="inlineStr">
        <is>
          <t>TX</t>
        </is>
      </c>
      <c r="D1029" s="8" t="inlineStr">
        <is>
          <t>Public</t>
        </is>
      </c>
      <c r="E1029" s="9" t="n">
        <v>13351</v>
      </c>
      <c r="F1029" s="9" t="n">
        <v>45940</v>
      </c>
      <c r="G1029" s="8">
        <f>RANK(F1029,$F$5:$F$1561)</f>
        <v/>
      </c>
      <c r="H1029" s="8" t="inlineStr"/>
      <c r="I1029" s="9">
        <f>IF(D1029="Private",E1029,"")</f>
        <v/>
      </c>
      <c r="J1029" s="9">
        <f>IF(D1029="Private",F1029,"")</f>
        <v/>
      </c>
    </row>
    <row r="1030">
      <c r="A1030" s="8" t="inlineStr">
        <is>
          <t>Earlham College</t>
        </is>
      </c>
      <c r="B1030" s="8" t="inlineStr">
        <is>
          <t>Richmond</t>
        </is>
      </c>
      <c r="C1030" s="8" t="inlineStr">
        <is>
          <t>IN</t>
        </is>
      </c>
      <c r="D1030" s="8" t="inlineStr">
        <is>
          <t>Private</t>
        </is>
      </c>
      <c r="E1030" s="9" t="n">
        <v>22195</v>
      </c>
      <c r="F1030" s="9" t="n">
        <v>45931</v>
      </c>
      <c r="G1030" s="8">
        <f>RANK(F1030,$F$5:$F$1561)</f>
        <v/>
      </c>
      <c r="H1030" s="8" t="inlineStr"/>
      <c r="I1030" s="9">
        <f>IF(D1030="Private",E1030,"")</f>
        <v/>
      </c>
      <c r="J1030" s="9">
        <f>IF(D1030="Private",F1030,"")</f>
        <v/>
      </c>
    </row>
    <row r="1031">
      <c r="A1031" s="8" t="inlineStr">
        <is>
          <t>Presentation College</t>
        </is>
      </c>
      <c r="B1031" s="8" t="inlineStr">
        <is>
          <t>Aberdeen</t>
        </is>
      </c>
      <c r="C1031" s="8" t="inlineStr">
        <is>
          <t>SD</t>
        </is>
      </c>
      <c r="D1031" s="8" t="inlineStr">
        <is>
          <t>Private</t>
        </is>
      </c>
      <c r="E1031" s="9" t="n">
        <v>28112</v>
      </c>
      <c r="F1031" s="9" t="n">
        <v>45925</v>
      </c>
      <c r="G1031" s="8">
        <f>RANK(F1031,$F$5:$F$1561)</f>
        <v/>
      </c>
      <c r="H1031" s="8" t="inlineStr"/>
      <c r="I1031" s="9">
        <f>IF(D1031="Private",E1031,"")</f>
        <v/>
      </c>
      <c r="J1031" s="9">
        <f>IF(D1031="Private",F1031,"")</f>
        <v/>
      </c>
    </row>
    <row r="1032">
      <c r="A1032" s="8" t="inlineStr">
        <is>
          <t>The University of West Florida</t>
        </is>
      </c>
      <c r="B1032" s="8" t="inlineStr">
        <is>
          <t>Pensacola</t>
        </is>
      </c>
      <c r="C1032" s="8" t="inlineStr">
        <is>
          <t>FL</t>
        </is>
      </c>
      <c r="D1032" s="8" t="inlineStr">
        <is>
          <t>Public</t>
        </is>
      </c>
      <c r="E1032" s="9" t="n">
        <v>8152</v>
      </c>
      <c r="F1032" s="9" t="n">
        <v>45884</v>
      </c>
      <c r="G1032" s="8">
        <f>RANK(F1032,$F$5:$F$1561)</f>
        <v/>
      </c>
      <c r="H1032" s="8" t="inlineStr"/>
      <c r="I1032" s="9">
        <f>IF(D1032="Private",E1032,"")</f>
        <v/>
      </c>
      <c r="J1032" s="9">
        <f>IF(D1032="Private",F1032,"")</f>
        <v/>
      </c>
    </row>
    <row r="1033">
      <c r="A1033" s="8" t="inlineStr">
        <is>
          <t>Maranatha Baptist University</t>
        </is>
      </c>
      <c r="B1033" s="8" t="inlineStr">
        <is>
          <t>Watertown</t>
        </is>
      </c>
      <c r="C1033" s="8" t="inlineStr">
        <is>
          <t>WI</t>
        </is>
      </c>
      <c r="D1033" s="8" t="inlineStr">
        <is>
          <t>Private</t>
        </is>
      </c>
      <c r="E1033" s="9" t="n">
        <v>20035</v>
      </c>
      <c r="F1033" s="9" t="n">
        <v>45876</v>
      </c>
      <c r="G1033" s="8">
        <f>RANK(F1033,$F$5:$F$1561)</f>
        <v/>
      </c>
      <c r="H1033" s="8" t="inlineStr"/>
      <c r="I1033" s="9">
        <f>IF(D1033="Private",E1033,"")</f>
        <v/>
      </c>
      <c r="J1033" s="9">
        <f>IF(D1033="Private",F1033,"")</f>
        <v/>
      </c>
    </row>
    <row r="1034">
      <c r="A1034" s="8" t="inlineStr">
        <is>
          <t>Eastern Nazarene College</t>
        </is>
      </c>
      <c r="B1034" s="8" t="inlineStr">
        <is>
          <t>Quincy</t>
        </is>
      </c>
      <c r="C1034" s="8" t="inlineStr">
        <is>
          <t>MA</t>
        </is>
      </c>
      <c r="D1034" s="8" t="inlineStr">
        <is>
          <t>Private</t>
        </is>
      </c>
      <c r="E1034" s="9" t="n">
        <v>18319</v>
      </c>
      <c r="F1034" s="9" t="n">
        <v>45838</v>
      </c>
      <c r="G1034" s="8">
        <f>RANK(F1034,$F$5:$F$1561)</f>
        <v/>
      </c>
      <c r="H1034" s="8" t="inlineStr"/>
      <c r="I1034" s="9">
        <f>IF(D1034="Private",E1034,"")</f>
        <v/>
      </c>
      <c r="J1034" s="9">
        <f>IF(D1034="Private",F1034,"")</f>
        <v/>
      </c>
    </row>
    <row r="1035">
      <c r="A1035" s="8" t="inlineStr">
        <is>
          <t>Southwestern Oklahoma State University</t>
        </is>
      </c>
      <c r="B1035" s="8" t="inlineStr">
        <is>
          <t>Weatherford</t>
        </is>
      </c>
      <c r="C1035" s="8" t="inlineStr">
        <is>
          <t>OK</t>
        </is>
      </c>
      <c r="D1035" s="8" t="inlineStr">
        <is>
          <t>Public</t>
        </is>
      </c>
      <c r="E1035" s="9" t="n">
        <v>12238</v>
      </c>
      <c r="F1035" s="9" t="n">
        <v>45817</v>
      </c>
      <c r="G1035" s="8">
        <f>RANK(F1035,$F$5:$F$1561)</f>
        <v/>
      </c>
      <c r="H1035" s="8" t="inlineStr"/>
      <c r="I1035" s="9">
        <f>IF(D1035="Private",E1035,"")</f>
        <v/>
      </c>
      <c r="J1035" s="9">
        <f>IF(D1035="Private",F1035,"")</f>
        <v/>
      </c>
    </row>
    <row r="1036">
      <c r="A1036" s="8" t="inlineStr">
        <is>
          <t>University of Wisconsin-Parkside</t>
        </is>
      </c>
      <c r="B1036" s="8" t="inlineStr">
        <is>
          <t>Kenosha</t>
        </is>
      </c>
      <c r="C1036" s="8" t="inlineStr">
        <is>
          <t>WI</t>
        </is>
      </c>
      <c r="D1036" s="8" t="inlineStr">
        <is>
          <t>Public</t>
        </is>
      </c>
      <c r="E1036" s="9" t="n">
        <v>11682</v>
      </c>
      <c r="F1036" s="9" t="n">
        <v>45774</v>
      </c>
      <c r="G1036" s="8">
        <f>RANK(F1036,$F$5:$F$1561)</f>
        <v/>
      </c>
      <c r="H1036" s="8" t="inlineStr"/>
      <c r="I1036" s="9">
        <f>IF(D1036="Private",E1036,"")</f>
        <v/>
      </c>
      <c r="J1036" s="9">
        <f>IF(D1036="Private",F1036,"")</f>
        <v/>
      </c>
    </row>
    <row r="1037">
      <c r="A1037" s="8" t="inlineStr">
        <is>
          <t>Maryville College</t>
        </is>
      </c>
      <c r="B1037" s="8" t="inlineStr">
        <is>
          <t>Maryville</t>
        </is>
      </c>
      <c r="C1037" s="8" t="inlineStr">
        <is>
          <t>TN</t>
        </is>
      </c>
      <c r="D1037" s="8" t="inlineStr">
        <is>
          <t>Private</t>
        </is>
      </c>
      <c r="E1037" s="9" t="n">
        <v>21851</v>
      </c>
      <c r="F1037" s="9" t="n">
        <v>45765</v>
      </c>
      <c r="G1037" s="8">
        <f>RANK(F1037,$F$5:$F$1561)</f>
        <v/>
      </c>
      <c r="H1037" s="8" t="inlineStr"/>
      <c r="I1037" s="9">
        <f>IF(D1037="Private",E1037,"")</f>
        <v/>
      </c>
      <c r="J1037" s="9">
        <f>IF(D1037="Private",F1037,"")</f>
        <v/>
      </c>
    </row>
    <row r="1038">
      <c r="A1038" s="8" t="inlineStr">
        <is>
          <t>Newberry College</t>
        </is>
      </c>
      <c r="B1038" s="8" t="inlineStr">
        <is>
          <t>Newberry</t>
        </is>
      </c>
      <c r="C1038" s="8" t="inlineStr">
        <is>
          <t>SC</t>
        </is>
      </c>
      <c r="D1038" s="8" t="inlineStr">
        <is>
          <t>Private</t>
        </is>
      </c>
      <c r="E1038" s="9" t="n">
        <v>18911</v>
      </c>
      <c r="F1038" s="9" t="n">
        <v>45735</v>
      </c>
      <c r="G1038" s="8">
        <f>RANK(F1038,$F$5:$F$1561)</f>
        <v/>
      </c>
      <c r="H1038" s="8" t="inlineStr"/>
      <c r="I1038" s="9">
        <f>IF(D1038="Private",E1038,"")</f>
        <v/>
      </c>
      <c r="J1038" s="9">
        <f>IF(D1038="Private",F1038,"")</f>
        <v/>
      </c>
    </row>
    <row r="1039">
      <c r="A1039" s="8" t="inlineStr">
        <is>
          <t>Lynn University</t>
        </is>
      </c>
      <c r="B1039" s="8" t="inlineStr">
        <is>
          <t>Boca Raton</t>
        </is>
      </c>
      <c r="C1039" s="8" t="inlineStr">
        <is>
          <t>FL</t>
        </is>
      </c>
      <c r="D1039" s="8" t="inlineStr">
        <is>
          <t>Private</t>
        </is>
      </c>
      <c r="E1039" s="9" t="n">
        <v>35705</v>
      </c>
      <c r="F1039" s="9" t="n">
        <v>45722</v>
      </c>
      <c r="G1039" s="8">
        <f>RANK(F1039,$F$5:$F$1561)</f>
        <v/>
      </c>
      <c r="H1039" s="8" t="inlineStr"/>
      <c r="I1039" s="9">
        <f>IF(D1039="Private",E1039,"")</f>
        <v/>
      </c>
      <c r="J1039" s="9">
        <f>IF(D1039="Private",F1039,"")</f>
        <v/>
      </c>
    </row>
    <row r="1040">
      <c r="A1040" s="8" t="inlineStr">
        <is>
          <t>Roosevelt University</t>
        </is>
      </c>
      <c r="B1040" s="8" t="inlineStr">
        <is>
          <t>Chicago</t>
        </is>
      </c>
      <c r="C1040" s="8" t="inlineStr">
        <is>
          <t>IL</t>
        </is>
      </c>
      <c r="D1040" s="8" t="inlineStr">
        <is>
          <t>Private</t>
        </is>
      </c>
      <c r="E1040" s="9" t="n">
        <v>24251</v>
      </c>
      <c r="F1040" s="9" t="n">
        <v>45701</v>
      </c>
      <c r="G1040" s="8">
        <f>RANK(F1040,$F$5:$F$1561)</f>
        <v/>
      </c>
      <c r="H1040" s="8" t="inlineStr"/>
      <c r="I1040" s="9">
        <f>IF(D1040="Private",E1040,"")</f>
        <v/>
      </c>
      <c r="J1040" s="9">
        <f>IF(D1040="Private",F1040,"")</f>
        <v/>
      </c>
    </row>
    <row r="1041">
      <c r="A1041" s="8" t="inlineStr">
        <is>
          <t>Northwest Missouri State University</t>
        </is>
      </c>
      <c r="B1041" s="8" t="inlineStr">
        <is>
          <t>Maryville</t>
        </is>
      </c>
      <c r="C1041" s="8" t="inlineStr">
        <is>
          <t>MO</t>
        </is>
      </c>
      <c r="D1041" s="8" t="inlineStr">
        <is>
          <t>Public</t>
        </is>
      </c>
      <c r="E1041" s="9" t="n">
        <v>13398</v>
      </c>
      <c r="F1041" s="9" t="n">
        <v>45693</v>
      </c>
      <c r="G1041" s="8">
        <f>RANK(F1041,$F$5:$F$1561)</f>
        <v/>
      </c>
      <c r="H1041" s="8" t="inlineStr"/>
      <c r="I1041" s="9">
        <f>IF(D1041="Private",E1041,"")</f>
        <v/>
      </c>
      <c r="J1041" s="9">
        <f>IF(D1041="Private",F1041,"")</f>
        <v/>
      </c>
    </row>
    <row r="1042">
      <c r="A1042" s="8" t="inlineStr">
        <is>
          <t>University of Wisconsin-Superior</t>
        </is>
      </c>
      <c r="B1042" s="8" t="inlineStr">
        <is>
          <t>Superior</t>
        </is>
      </c>
      <c r="C1042" s="8" t="inlineStr">
        <is>
          <t>WI</t>
        </is>
      </c>
      <c r="D1042" s="8" t="inlineStr">
        <is>
          <t>Public</t>
        </is>
      </c>
      <c r="E1042" s="9" t="n">
        <v>12268</v>
      </c>
      <c r="F1042" s="9" t="n">
        <v>45677</v>
      </c>
      <c r="G1042" s="8">
        <f>RANK(F1042,$F$5:$F$1561)</f>
        <v/>
      </c>
      <c r="H1042" s="8" t="inlineStr"/>
      <c r="I1042" s="9">
        <f>IF(D1042="Private",E1042,"")</f>
        <v/>
      </c>
      <c r="J1042" s="9">
        <f>IF(D1042="Private",F1042,"")</f>
        <v/>
      </c>
    </row>
    <row r="1043">
      <c r="A1043" s="8" t="inlineStr">
        <is>
          <t>Savannah College of Art and Design</t>
        </is>
      </c>
      <c r="B1043" s="8" t="inlineStr">
        <is>
          <t>Savannah</t>
        </is>
      </c>
      <c r="C1043" s="8" t="inlineStr">
        <is>
          <t>GA</t>
        </is>
      </c>
      <c r="D1043" s="8" t="inlineStr">
        <is>
          <t>Private</t>
        </is>
      </c>
      <c r="E1043" s="9" t="n">
        <v>44270</v>
      </c>
      <c r="F1043" s="9" t="n">
        <v>45661</v>
      </c>
      <c r="G1043" s="8">
        <f>RANK(F1043,$F$5:$F$1561)</f>
        <v/>
      </c>
      <c r="H1043" s="8" t="inlineStr"/>
      <c r="I1043" s="9">
        <f>IF(D1043="Private",E1043,"")</f>
        <v/>
      </c>
      <c r="J1043" s="9">
        <f>IF(D1043="Private",F1043,"")</f>
        <v/>
      </c>
    </row>
    <row r="1044">
      <c r="A1044" s="8" t="inlineStr">
        <is>
          <t>Webber International University</t>
        </is>
      </c>
      <c r="B1044" s="8" t="inlineStr">
        <is>
          <t>Babson Park</t>
        </is>
      </c>
      <c r="C1044" s="8" t="inlineStr">
        <is>
          <t>FL</t>
        </is>
      </c>
      <c r="D1044" s="8" t="inlineStr">
        <is>
          <t>Private</t>
        </is>
      </c>
      <c r="E1044" s="9" t="n">
        <v>26055</v>
      </c>
      <c r="F1044" s="9" t="n">
        <v>45652</v>
      </c>
      <c r="G1044" s="8">
        <f>RANK(F1044,$F$5:$F$1561)</f>
        <v/>
      </c>
      <c r="H1044" s="8" t="inlineStr"/>
      <c r="I1044" s="9">
        <f>IF(D1044="Private",E1044,"")</f>
        <v/>
      </c>
      <c r="J1044" s="9">
        <f>IF(D1044="Private",F1044,"")</f>
        <v/>
      </c>
    </row>
    <row r="1045">
      <c r="A1045" s="8" t="inlineStr">
        <is>
          <t>St. Andrews University</t>
        </is>
      </c>
      <c r="B1045" s="8" t="inlineStr">
        <is>
          <t>Laurinburg</t>
        </is>
      </c>
      <c r="C1045" s="8" t="inlineStr">
        <is>
          <t>NC</t>
        </is>
      </c>
      <c r="D1045" s="8" t="inlineStr">
        <is>
          <t>Private</t>
        </is>
      </c>
      <c r="E1045" s="9" t="n">
        <v>36643</v>
      </c>
      <c r="F1045" s="9" t="n">
        <v>45652</v>
      </c>
      <c r="G1045" s="8">
        <f>RANK(F1045,$F$5:$F$1561)</f>
        <v/>
      </c>
      <c r="H1045" s="8" t="inlineStr"/>
      <c r="I1045" s="9">
        <f>IF(D1045="Private",E1045,"")</f>
        <v/>
      </c>
      <c r="J1045" s="9">
        <f>IF(D1045="Private",F1045,"")</f>
        <v/>
      </c>
    </row>
    <row r="1046">
      <c r="A1046" s="8" t="inlineStr">
        <is>
          <t>Lenoir-Rhyne University</t>
        </is>
      </c>
      <c r="B1046" s="8" t="inlineStr">
        <is>
          <t>Hickory</t>
        </is>
      </c>
      <c r="C1046" s="8" t="inlineStr">
        <is>
          <t>NC</t>
        </is>
      </c>
      <c r="D1046" s="8" t="inlineStr">
        <is>
          <t>Private</t>
        </is>
      </c>
      <c r="E1046" s="9" t="n">
        <v>21175</v>
      </c>
      <c r="F1046" s="9" t="n">
        <v>45633</v>
      </c>
      <c r="G1046" s="8">
        <f>RANK(F1046,$F$5:$F$1561)</f>
        <v/>
      </c>
      <c r="H1046" s="8" t="inlineStr"/>
      <c r="I1046" s="9">
        <f>IF(D1046="Private",E1046,"")</f>
        <v/>
      </c>
      <c r="J1046" s="9">
        <f>IF(D1046="Private",F1046,"")</f>
        <v/>
      </c>
    </row>
    <row r="1047">
      <c r="A1047" s="8" t="inlineStr">
        <is>
          <t>Olivet College</t>
        </is>
      </c>
      <c r="B1047" s="8" t="inlineStr">
        <is>
          <t>Olivet</t>
        </is>
      </c>
      <c r="C1047" s="8" t="inlineStr">
        <is>
          <t>MI</t>
        </is>
      </c>
      <c r="D1047" s="8" t="inlineStr">
        <is>
          <t>Private</t>
        </is>
      </c>
      <c r="E1047" s="9" t="n">
        <v>21401</v>
      </c>
      <c r="F1047" s="9" t="n">
        <v>45624</v>
      </c>
      <c r="G1047" s="8">
        <f>RANK(F1047,$F$5:$F$1561)</f>
        <v/>
      </c>
      <c r="H1047" s="8" t="inlineStr"/>
      <c r="I1047" s="9">
        <f>IF(D1047="Private",E1047,"")</f>
        <v/>
      </c>
      <c r="J1047" s="9">
        <f>IF(D1047="Private",F1047,"")</f>
        <v/>
      </c>
    </row>
    <row r="1048">
      <c r="A1048" s="8" t="inlineStr">
        <is>
          <t>Parker University</t>
        </is>
      </c>
      <c r="B1048" s="8" t="inlineStr">
        <is>
          <t>Dallas</t>
        </is>
      </c>
      <c r="C1048" s="8" t="inlineStr">
        <is>
          <t>TX</t>
        </is>
      </c>
      <c r="D1048" s="8" t="inlineStr">
        <is>
          <t>Private</t>
        </is>
      </c>
      <c r="E1048" s="9" t="n">
        <v>10873</v>
      </c>
      <c r="F1048" s="9" t="n">
        <v>45604</v>
      </c>
      <c r="G1048" s="8">
        <f>RANK(F1048,$F$5:$F$1561)</f>
        <v/>
      </c>
      <c r="H1048" s="8" t="inlineStr"/>
      <c r="I1048" s="9">
        <f>IF(D1048="Private",E1048,"")</f>
        <v/>
      </c>
      <c r="J1048" s="9">
        <f>IF(D1048="Private",F1048,"")</f>
        <v/>
      </c>
    </row>
    <row r="1049">
      <c r="A1049" s="8" t="inlineStr">
        <is>
          <t>Graceland University-Lamoni</t>
        </is>
      </c>
      <c r="B1049" s="8" t="inlineStr">
        <is>
          <t>Lamoni</t>
        </is>
      </c>
      <c r="C1049" s="8" t="inlineStr">
        <is>
          <t>IA</t>
        </is>
      </c>
      <c r="D1049" s="8" t="inlineStr">
        <is>
          <t>Private</t>
        </is>
      </c>
      <c r="E1049" s="9" t="n">
        <v>18561</v>
      </c>
      <c r="F1049" s="9" t="n">
        <v>45600</v>
      </c>
      <c r="G1049" s="8">
        <f>RANK(F1049,$F$5:$F$1561)</f>
        <v/>
      </c>
      <c r="H1049" s="8" t="inlineStr"/>
      <c r="I1049" s="9">
        <f>IF(D1049="Private",E1049,"")</f>
        <v/>
      </c>
      <c r="J1049" s="9">
        <f>IF(D1049="Private",F1049,"")</f>
        <v/>
      </c>
    </row>
    <row r="1050">
      <c r="A1050" s="8" t="inlineStr">
        <is>
          <t>Oklahoma Panhandle State University</t>
        </is>
      </c>
      <c r="B1050" s="8" t="inlineStr">
        <is>
          <t>Goodwell</t>
        </is>
      </c>
      <c r="C1050" s="8" t="inlineStr">
        <is>
          <t>OK</t>
        </is>
      </c>
      <c r="D1050" s="8" t="inlineStr">
        <is>
          <t>Public</t>
        </is>
      </c>
      <c r="E1050" s="9" t="n">
        <v>7210</v>
      </c>
      <c r="F1050" s="9" t="n">
        <v>45592</v>
      </c>
      <c r="G1050" s="8">
        <f>RANK(F1050,$F$5:$F$1561)</f>
        <v/>
      </c>
      <c r="H1050" s="8" t="inlineStr"/>
      <c r="I1050" s="9">
        <f>IF(D1050="Private",E1050,"")</f>
        <v/>
      </c>
      <c r="J1050" s="9">
        <f>IF(D1050="Private",F1050,"")</f>
        <v/>
      </c>
    </row>
    <row r="1051">
      <c r="A1051" s="8" t="inlineStr">
        <is>
          <t>Clayton  State University</t>
        </is>
      </c>
      <c r="B1051" s="8" t="inlineStr">
        <is>
          <t>Morrow</t>
        </is>
      </c>
      <c r="C1051" s="8" t="inlineStr">
        <is>
          <t>GA</t>
        </is>
      </c>
      <c r="D1051" s="8" t="inlineStr">
        <is>
          <t>Public</t>
        </is>
      </c>
      <c r="E1051" s="9" t="n">
        <v>10635</v>
      </c>
      <c r="F1051" s="9" t="n">
        <v>45569</v>
      </c>
      <c r="G1051" s="8">
        <f>RANK(F1051,$F$5:$F$1561)</f>
        <v/>
      </c>
      <c r="H1051" s="8" t="inlineStr"/>
      <c r="I1051" s="9">
        <f>IF(D1051="Private",E1051,"")</f>
        <v/>
      </c>
      <c r="J1051" s="9">
        <f>IF(D1051="Private",F1051,"")</f>
        <v/>
      </c>
    </row>
    <row r="1052">
      <c r="A1052" s="8" t="inlineStr">
        <is>
          <t>Defiance College</t>
        </is>
      </c>
      <c r="B1052" s="8" t="inlineStr">
        <is>
          <t>Defiance</t>
        </is>
      </c>
      <c r="C1052" s="8" t="inlineStr">
        <is>
          <t>OH</t>
        </is>
      </c>
      <c r="D1052" s="8" t="inlineStr">
        <is>
          <t>Private</t>
        </is>
      </c>
      <c r="E1052" s="9" t="n">
        <v>24268</v>
      </c>
      <c r="F1052" s="9" t="n">
        <v>45558</v>
      </c>
      <c r="G1052" s="8">
        <f>RANK(F1052,$F$5:$F$1561)</f>
        <v/>
      </c>
      <c r="H1052" s="8" t="inlineStr"/>
      <c r="I1052" s="9">
        <f>IF(D1052="Private",E1052,"")</f>
        <v/>
      </c>
      <c r="J1052" s="9">
        <f>IF(D1052="Private",F1052,"")</f>
        <v/>
      </c>
    </row>
    <row r="1053">
      <c r="A1053" s="8" t="inlineStr">
        <is>
          <t>Indiana State University</t>
        </is>
      </c>
      <c r="B1053" s="8" t="inlineStr">
        <is>
          <t>Terre Haute</t>
        </is>
      </c>
      <c r="C1053" s="8" t="inlineStr">
        <is>
          <t>IN</t>
        </is>
      </c>
      <c r="D1053" s="8" t="inlineStr">
        <is>
          <t>Public</t>
        </is>
      </c>
      <c r="E1053" s="9" t="n">
        <v>14961</v>
      </c>
      <c r="F1053" s="9" t="n">
        <v>45531</v>
      </c>
      <c r="G1053" s="8">
        <f>RANK(F1053,$F$5:$F$1561)</f>
        <v/>
      </c>
      <c r="H1053" s="8" t="inlineStr"/>
      <c r="I1053" s="9">
        <f>IF(D1053="Private",E1053,"")</f>
        <v/>
      </c>
      <c r="J1053" s="9">
        <f>IF(D1053="Private",F1053,"")</f>
        <v/>
      </c>
    </row>
    <row r="1054">
      <c r="A1054" s="8" t="inlineStr">
        <is>
          <t>University of Hawaii at Hilo</t>
        </is>
      </c>
      <c r="B1054" s="8" t="inlineStr">
        <is>
          <t>Hilo</t>
        </is>
      </c>
      <c r="C1054" s="8" t="inlineStr">
        <is>
          <t>HI</t>
        </is>
      </c>
      <c r="D1054" s="8" t="inlineStr">
        <is>
          <t>Public</t>
        </is>
      </c>
      <c r="E1054" s="9" t="n">
        <v>13259</v>
      </c>
      <c r="F1054" s="9" t="n">
        <v>45518</v>
      </c>
      <c r="G1054" s="8">
        <f>RANK(F1054,$F$5:$F$1561)</f>
        <v/>
      </c>
      <c r="H1054" s="8" t="inlineStr"/>
      <c r="I1054" s="9">
        <f>IF(D1054="Private",E1054,"")</f>
        <v/>
      </c>
      <c r="J1054" s="9">
        <f>IF(D1054="Private",F1054,"")</f>
        <v/>
      </c>
    </row>
    <row r="1055">
      <c r="A1055" s="8" t="inlineStr">
        <is>
          <t>Life University</t>
        </is>
      </c>
      <c r="B1055" s="8" t="inlineStr">
        <is>
          <t>Marietta</t>
        </is>
      </c>
      <c r="C1055" s="8" t="inlineStr">
        <is>
          <t>GA</t>
        </is>
      </c>
      <c r="D1055" s="8" t="inlineStr">
        <is>
          <t>Private</t>
        </is>
      </c>
      <c r="E1055" s="9" t="n">
        <v>28257</v>
      </c>
      <c r="F1055" s="9" t="n">
        <v>45512</v>
      </c>
      <c r="G1055" s="8">
        <f>RANK(F1055,$F$5:$F$1561)</f>
        <v/>
      </c>
      <c r="H1055" s="8" t="inlineStr"/>
      <c r="I1055" s="9">
        <f>IF(D1055="Private",E1055,"")</f>
        <v/>
      </c>
      <c r="J1055" s="9">
        <f>IF(D1055="Private",F1055,"")</f>
        <v/>
      </c>
    </row>
    <row r="1056">
      <c r="A1056" s="8" t="inlineStr">
        <is>
          <t>Mid-America Christian University</t>
        </is>
      </c>
      <c r="B1056" s="8" t="inlineStr">
        <is>
          <t>Oklahoma City</t>
        </is>
      </c>
      <c r="C1056" s="8" t="inlineStr">
        <is>
          <t>OK</t>
        </is>
      </c>
      <c r="D1056" s="8" t="inlineStr">
        <is>
          <t>Private</t>
        </is>
      </c>
      <c r="E1056" s="9" t="n">
        <v>17694</v>
      </c>
      <c r="F1056" s="9" t="n">
        <v>45508</v>
      </c>
      <c r="G1056" s="8">
        <f>RANK(F1056,$F$5:$F$1561)</f>
        <v/>
      </c>
      <c r="H1056" s="8" t="inlineStr"/>
      <c r="I1056" s="9">
        <f>IF(D1056="Private",E1056,"")</f>
        <v/>
      </c>
      <c r="J1056" s="9">
        <f>IF(D1056="Private",F1056,"")</f>
        <v/>
      </c>
    </row>
    <row r="1057">
      <c r="A1057" s="8" t="inlineStr">
        <is>
          <t>Grace College and Theological Seminary</t>
        </is>
      </c>
      <c r="B1057" s="8" t="inlineStr">
        <is>
          <t>Winona Lake</t>
        </is>
      </c>
      <c r="C1057" s="8" t="inlineStr">
        <is>
          <t>IN</t>
        </is>
      </c>
      <c r="D1057" s="8" t="inlineStr">
        <is>
          <t>Private</t>
        </is>
      </c>
      <c r="E1057" s="9" t="n">
        <v>18393</v>
      </c>
      <c r="F1057" s="9" t="n">
        <v>45507</v>
      </c>
      <c r="G1057" s="8">
        <f>RANK(F1057,$F$5:$F$1561)</f>
        <v/>
      </c>
      <c r="H1057" s="8" t="inlineStr"/>
      <c r="I1057" s="9">
        <f>IF(D1057="Private",E1057,"")</f>
        <v/>
      </c>
      <c r="J1057" s="9">
        <f>IF(D1057="Private",F1057,"")</f>
        <v/>
      </c>
    </row>
    <row r="1058">
      <c r="A1058" s="8" t="inlineStr">
        <is>
          <t>Tiffin University</t>
        </is>
      </c>
      <c r="B1058" s="8" t="inlineStr">
        <is>
          <t>Tiffin</t>
        </is>
      </c>
      <c r="C1058" s="8" t="inlineStr">
        <is>
          <t>OH</t>
        </is>
      </c>
      <c r="D1058" s="8" t="inlineStr">
        <is>
          <t>Private</t>
        </is>
      </c>
      <c r="E1058" s="9" t="n">
        <v>25722</v>
      </c>
      <c r="F1058" s="9" t="n">
        <v>45499</v>
      </c>
      <c r="G1058" s="8">
        <f>RANK(F1058,$F$5:$F$1561)</f>
        <v/>
      </c>
      <c r="H1058" s="8" t="inlineStr"/>
      <c r="I1058" s="9">
        <f>IF(D1058="Private",E1058,"")</f>
        <v/>
      </c>
      <c r="J1058" s="9">
        <f>IF(D1058="Private",F1058,"")</f>
        <v/>
      </c>
    </row>
    <row r="1059">
      <c r="A1059" s="8" t="inlineStr">
        <is>
          <t>Clarion University of Pennsylvania</t>
        </is>
      </c>
      <c r="B1059" s="8" t="inlineStr">
        <is>
          <t>Clarion</t>
        </is>
      </c>
      <c r="C1059" s="8" t="inlineStr">
        <is>
          <t>PA</t>
        </is>
      </c>
      <c r="D1059" s="8" t="inlineStr">
        <is>
          <t>Public</t>
        </is>
      </c>
      <c r="E1059" s="9" t="n">
        <v>13992</v>
      </c>
      <c r="F1059" s="9" t="n">
        <v>45459</v>
      </c>
      <c r="G1059" s="8">
        <f>RANK(F1059,$F$5:$F$1561)</f>
        <v/>
      </c>
      <c r="H1059" s="8" t="inlineStr"/>
      <c r="I1059" s="9">
        <f>IF(D1059="Private",E1059,"")</f>
        <v/>
      </c>
      <c r="J1059" s="9">
        <f>IF(D1059="Private",F1059,"")</f>
        <v/>
      </c>
    </row>
    <row r="1060">
      <c r="A1060" s="8" t="inlineStr">
        <is>
          <t>Meredith College</t>
        </is>
      </c>
      <c r="B1060" s="8" t="inlineStr">
        <is>
          <t>Raleigh</t>
        </is>
      </c>
      <c r="C1060" s="8" t="inlineStr">
        <is>
          <t>NC</t>
        </is>
      </c>
      <c r="D1060" s="8" t="inlineStr">
        <is>
          <t>Private</t>
        </is>
      </c>
      <c r="E1060" s="9" t="n">
        <v>19897</v>
      </c>
      <c r="F1060" s="9" t="n">
        <v>45455</v>
      </c>
      <c r="G1060" s="8">
        <f>RANK(F1060,$F$5:$F$1561)</f>
        <v/>
      </c>
      <c r="H1060" s="8" t="inlineStr"/>
      <c r="I1060" s="9">
        <f>IF(D1060="Private",E1060,"")</f>
        <v/>
      </c>
      <c r="J1060" s="9">
        <f>IF(D1060="Private",F1060,"")</f>
        <v/>
      </c>
    </row>
    <row r="1061">
      <c r="A1061" s="8" t="inlineStr">
        <is>
          <t>Evangel University</t>
        </is>
      </c>
      <c r="B1061" s="8" t="inlineStr">
        <is>
          <t>Springfield</t>
        </is>
      </c>
      <c r="C1061" s="8" t="inlineStr">
        <is>
          <t>MO</t>
        </is>
      </c>
      <c r="D1061" s="8" t="inlineStr">
        <is>
          <t>Private</t>
        </is>
      </c>
      <c r="E1061" s="9" t="n">
        <v>21623</v>
      </c>
      <c r="F1061" s="9" t="n">
        <v>45450</v>
      </c>
      <c r="G1061" s="8">
        <f>RANK(F1061,$F$5:$F$1561)</f>
        <v/>
      </c>
      <c r="H1061" s="8" t="inlineStr"/>
      <c r="I1061" s="9">
        <f>IF(D1061="Private",E1061,"")</f>
        <v/>
      </c>
      <c r="J1061" s="9">
        <f>IF(D1061="Private",F1061,"")</f>
        <v/>
      </c>
    </row>
    <row r="1062">
      <c r="A1062" s="8" t="inlineStr">
        <is>
          <t>Green River College</t>
        </is>
      </c>
      <c r="B1062" s="8" t="inlineStr">
        <is>
          <t>Auburn</t>
        </is>
      </c>
      <c r="C1062" s="8" t="inlineStr">
        <is>
          <t>WA</t>
        </is>
      </c>
      <c r="D1062" s="8" t="inlineStr">
        <is>
          <t>Public</t>
        </is>
      </c>
      <c r="E1062" s="9" t="n">
        <v>8573</v>
      </c>
      <c r="F1062" s="9" t="n">
        <v>45445</v>
      </c>
      <c r="G1062" s="8">
        <f>RANK(F1062,$F$5:$F$1561)</f>
        <v/>
      </c>
      <c r="H1062" s="8" t="inlineStr"/>
      <c r="I1062" s="9">
        <f>IF(D1062="Private",E1062,"")</f>
        <v/>
      </c>
      <c r="J1062" s="9">
        <f>IF(D1062="Private",F1062,"")</f>
        <v/>
      </c>
    </row>
    <row r="1063">
      <c r="A1063" s="8" t="inlineStr">
        <is>
          <t>Multnomah University</t>
        </is>
      </c>
      <c r="B1063" s="8" t="inlineStr">
        <is>
          <t>Portland</t>
        </is>
      </c>
      <c r="C1063" s="8" t="inlineStr">
        <is>
          <t>OR</t>
        </is>
      </c>
      <c r="D1063" s="8" t="inlineStr">
        <is>
          <t>Private</t>
        </is>
      </c>
      <c r="E1063" s="9" t="n">
        <v>32059</v>
      </c>
      <c r="F1063" s="9" t="n">
        <v>45424</v>
      </c>
      <c r="G1063" s="8">
        <f>RANK(F1063,$F$5:$F$1561)</f>
        <v/>
      </c>
      <c r="H1063" s="8" t="inlineStr"/>
      <c r="I1063" s="9">
        <f>IF(D1063="Private",E1063,"")</f>
        <v/>
      </c>
      <c r="J1063" s="9">
        <f>IF(D1063="Private",F1063,"")</f>
        <v/>
      </c>
    </row>
    <row r="1064">
      <c r="A1064" s="8" t="inlineStr">
        <is>
          <t>Lyon College</t>
        </is>
      </c>
      <c r="B1064" s="8" t="inlineStr">
        <is>
          <t>Batesville</t>
        </is>
      </c>
      <c r="C1064" s="8" t="inlineStr">
        <is>
          <t>AR</t>
        </is>
      </c>
      <c r="D1064" s="8" t="inlineStr">
        <is>
          <t>Private</t>
        </is>
      </c>
      <c r="E1064" s="9" t="n">
        <v>10786</v>
      </c>
      <c r="F1064" s="9" t="n">
        <v>45416</v>
      </c>
      <c r="G1064" s="8">
        <f>RANK(F1064,$F$5:$F$1561)</f>
        <v/>
      </c>
      <c r="H1064" s="8" t="inlineStr"/>
      <c r="I1064" s="9">
        <f>IF(D1064="Private",E1064,"")</f>
        <v/>
      </c>
      <c r="J1064" s="9">
        <f>IF(D1064="Private",F1064,"")</f>
        <v/>
      </c>
    </row>
    <row r="1065">
      <c r="A1065" s="8" t="inlineStr">
        <is>
          <t>Methodist University</t>
        </is>
      </c>
      <c r="B1065" s="8" t="inlineStr">
        <is>
          <t>Fayetteville</t>
        </is>
      </c>
      <c r="C1065" s="8" t="inlineStr">
        <is>
          <t>NC</t>
        </is>
      </c>
      <c r="D1065" s="8" t="inlineStr">
        <is>
          <t>Private</t>
        </is>
      </c>
      <c r="E1065" s="9" t="n">
        <v>18855</v>
      </c>
      <c r="F1065" s="9" t="n">
        <v>45408</v>
      </c>
      <c r="G1065" s="8">
        <f>RANK(F1065,$F$5:$F$1561)</f>
        <v/>
      </c>
      <c r="H1065" s="8" t="inlineStr"/>
      <c r="I1065" s="9">
        <f>IF(D1065="Private",E1065,"")</f>
        <v/>
      </c>
      <c r="J1065" s="9">
        <f>IF(D1065="Private",F1065,"")</f>
        <v/>
      </c>
    </row>
    <row r="1066">
      <c r="A1066" s="8" t="inlineStr">
        <is>
          <t>Mayville State University</t>
        </is>
      </c>
      <c r="B1066" s="8" t="inlineStr">
        <is>
          <t>Mayville</t>
        </is>
      </c>
      <c r="C1066" s="8" t="inlineStr">
        <is>
          <t>ND</t>
        </is>
      </c>
      <c r="D1066" s="8" t="inlineStr">
        <is>
          <t>Public</t>
        </is>
      </c>
      <c r="E1066" s="9" t="n">
        <v>14225</v>
      </c>
      <c r="F1066" s="9" t="n">
        <v>45406</v>
      </c>
      <c r="G1066" s="8">
        <f>RANK(F1066,$F$5:$F$1561)</f>
        <v/>
      </c>
      <c r="H1066" s="8" t="inlineStr"/>
      <c r="I1066" s="9">
        <f>IF(D1066="Private",E1066,"")</f>
        <v/>
      </c>
      <c r="J1066" s="9">
        <f>IF(D1066="Private",F1066,"")</f>
        <v/>
      </c>
    </row>
    <row r="1067">
      <c r="A1067" s="8" t="inlineStr">
        <is>
          <t>Tennessee Technological University</t>
        </is>
      </c>
      <c r="B1067" s="8" t="inlineStr">
        <is>
          <t>Cookeville</t>
        </is>
      </c>
      <c r="C1067" s="8" t="inlineStr">
        <is>
          <t>TN</t>
        </is>
      </c>
      <c r="D1067" s="8" t="inlineStr">
        <is>
          <t>Public</t>
        </is>
      </c>
      <c r="E1067" s="9" t="n">
        <v>14795</v>
      </c>
      <c r="F1067" s="9" t="n">
        <v>45397</v>
      </c>
      <c r="G1067" s="8">
        <f>RANK(F1067,$F$5:$F$1561)</f>
        <v/>
      </c>
      <c r="H1067" s="8" t="inlineStr"/>
      <c r="I1067" s="9">
        <f>IF(D1067="Private",E1067,"")</f>
        <v/>
      </c>
      <c r="J1067" s="9">
        <f>IF(D1067="Private",F1067,"")</f>
        <v/>
      </c>
    </row>
    <row r="1068">
      <c r="A1068" s="8" t="inlineStr">
        <is>
          <t>University of South Carolina-Upstate</t>
        </is>
      </c>
      <c r="B1068" s="8" t="inlineStr">
        <is>
          <t>Spartanburg</t>
        </is>
      </c>
      <c r="C1068" s="8" t="inlineStr">
        <is>
          <t>SC</t>
        </is>
      </c>
      <c r="D1068" s="8" t="inlineStr">
        <is>
          <t>Public</t>
        </is>
      </c>
      <c r="E1068" s="9" t="n">
        <v>14661</v>
      </c>
      <c r="F1068" s="9" t="n">
        <v>45359</v>
      </c>
      <c r="G1068" s="8">
        <f>RANK(F1068,$F$5:$F$1561)</f>
        <v/>
      </c>
      <c r="H1068" s="8" t="inlineStr"/>
      <c r="I1068" s="9">
        <f>IF(D1068="Private",E1068,"")</f>
        <v/>
      </c>
      <c r="J1068" s="9">
        <f>IF(D1068="Private",F1068,"")</f>
        <v/>
      </c>
    </row>
    <row r="1069">
      <c r="A1069" s="8" t="inlineStr">
        <is>
          <t>Massachusetts College of Liberal Arts</t>
        </is>
      </c>
      <c r="B1069" s="8" t="inlineStr">
        <is>
          <t>North Adams</t>
        </is>
      </c>
      <c r="C1069" s="8" t="inlineStr">
        <is>
          <t>MA</t>
        </is>
      </c>
      <c r="D1069" s="8" t="inlineStr">
        <is>
          <t>Public</t>
        </is>
      </c>
      <c r="E1069" s="9" t="n">
        <v>15906</v>
      </c>
      <c r="F1069" s="9" t="n">
        <v>45341</v>
      </c>
      <c r="G1069" s="8">
        <f>RANK(F1069,$F$5:$F$1561)</f>
        <v/>
      </c>
      <c r="H1069" s="8" t="inlineStr"/>
      <c r="I1069" s="9">
        <f>IF(D1069="Private",E1069,"")</f>
        <v/>
      </c>
      <c r="J1069" s="9">
        <f>IF(D1069="Private",F1069,"")</f>
        <v/>
      </c>
    </row>
    <row r="1070">
      <c r="A1070" s="8" t="inlineStr">
        <is>
          <t>Crown College</t>
        </is>
      </c>
      <c r="B1070" s="8" t="inlineStr">
        <is>
          <t>Saint Bonifacius</t>
        </is>
      </c>
      <c r="C1070" s="8" t="inlineStr">
        <is>
          <t>MN</t>
        </is>
      </c>
      <c r="D1070" s="8" t="inlineStr">
        <is>
          <t>Private</t>
        </is>
      </c>
      <c r="E1070" s="9" t="n">
        <v>25582</v>
      </c>
      <c r="F1070" s="9" t="n">
        <v>45299</v>
      </c>
      <c r="G1070" s="8">
        <f>RANK(F1070,$F$5:$F$1561)</f>
        <v/>
      </c>
      <c r="H1070" s="8" t="inlineStr"/>
      <c r="I1070" s="9">
        <f>IF(D1070="Private",E1070,"")</f>
        <v/>
      </c>
      <c r="J1070" s="9">
        <f>IF(D1070="Private",F1070,"")</f>
        <v/>
      </c>
    </row>
    <row r="1071">
      <c r="A1071" s="8" t="inlineStr">
        <is>
          <t>Aquinas College</t>
        </is>
      </c>
      <c r="B1071" s="8" t="inlineStr">
        <is>
          <t>Grand Rapids</t>
        </is>
      </c>
      <c r="C1071" s="8" t="inlineStr">
        <is>
          <t>MI</t>
        </is>
      </c>
      <c r="D1071" s="8" t="inlineStr">
        <is>
          <t>Private</t>
        </is>
      </c>
      <c r="E1071" s="9" t="n">
        <v>17999</v>
      </c>
      <c r="F1071" s="9" t="n">
        <v>45282</v>
      </c>
      <c r="G1071" s="8">
        <f>RANK(F1071,$F$5:$F$1561)</f>
        <v/>
      </c>
      <c r="H1071" s="8" t="inlineStr"/>
      <c r="I1071" s="9">
        <f>IF(D1071="Private",E1071,"")</f>
        <v/>
      </c>
      <c r="J1071" s="9">
        <f>IF(D1071="Private",F1071,"")</f>
        <v/>
      </c>
    </row>
    <row r="1072">
      <c r="A1072" s="8" t="inlineStr">
        <is>
          <t>Bluffton University</t>
        </is>
      </c>
      <c r="B1072" s="8" t="inlineStr">
        <is>
          <t>Bluffton</t>
        </is>
      </c>
      <c r="C1072" s="8" t="inlineStr">
        <is>
          <t>OH</t>
        </is>
      </c>
      <c r="D1072" s="8" t="inlineStr">
        <is>
          <t>Private</t>
        </is>
      </c>
      <c r="E1072" s="9" t="n">
        <v>23721</v>
      </c>
      <c r="F1072" s="9" t="n">
        <v>45268</v>
      </c>
      <c r="G1072" s="8">
        <f>RANK(F1072,$F$5:$F$1561)</f>
        <v/>
      </c>
      <c r="H1072" s="8" t="inlineStr"/>
      <c r="I1072" s="9">
        <f>IF(D1072="Private",E1072,"")</f>
        <v/>
      </c>
      <c r="J1072" s="9">
        <f>IF(D1072="Private",F1072,"")</f>
        <v/>
      </c>
    </row>
    <row r="1073">
      <c r="A1073" s="8" t="inlineStr">
        <is>
          <t>New England Institute of Technology</t>
        </is>
      </c>
      <c r="B1073" s="8" t="inlineStr">
        <is>
          <t>East Greenwich</t>
        </is>
      </c>
      <c r="C1073" s="8" t="inlineStr">
        <is>
          <t>RI</t>
        </is>
      </c>
      <c r="D1073" s="8" t="inlineStr">
        <is>
          <t>Private</t>
        </is>
      </c>
      <c r="E1073" s="9" t="n">
        <v>34790</v>
      </c>
      <c r="F1073" s="9" t="n">
        <v>45255</v>
      </c>
      <c r="G1073" s="8">
        <f>RANK(F1073,$F$5:$F$1561)</f>
        <v/>
      </c>
      <c r="H1073" s="8" t="inlineStr"/>
      <c r="I1073" s="9">
        <f>IF(D1073="Private",E1073,"")</f>
        <v/>
      </c>
      <c r="J1073" s="9">
        <f>IF(D1073="Private",F1073,"")</f>
        <v/>
      </c>
    </row>
    <row r="1074">
      <c r="A1074" s="8" t="inlineStr">
        <is>
          <t>Bethany Lutheran College</t>
        </is>
      </c>
      <c r="B1074" s="8" t="inlineStr">
        <is>
          <t>Mankato</t>
        </is>
      </c>
      <c r="C1074" s="8" t="inlineStr">
        <is>
          <t>MN</t>
        </is>
      </c>
      <c r="D1074" s="8" t="inlineStr">
        <is>
          <t>Private</t>
        </is>
      </c>
      <c r="E1074" s="9" t="n">
        <v>15916</v>
      </c>
      <c r="F1074" s="9" t="n">
        <v>45251</v>
      </c>
      <c r="G1074" s="8">
        <f>RANK(F1074,$F$5:$F$1561)</f>
        <v/>
      </c>
      <c r="H1074" s="8" t="inlineStr"/>
      <c r="I1074" s="9">
        <f>IF(D1074="Private",E1074,"")</f>
        <v/>
      </c>
      <c r="J1074" s="9">
        <f>IF(D1074="Private",F1074,"")</f>
        <v/>
      </c>
    </row>
    <row r="1075">
      <c r="A1075" s="8" t="inlineStr">
        <is>
          <t>Anderson University</t>
        </is>
      </c>
      <c r="B1075" s="8" t="inlineStr">
        <is>
          <t>Anderson</t>
        </is>
      </c>
      <c r="C1075" s="8" t="inlineStr">
        <is>
          <t>IN</t>
        </is>
      </c>
      <c r="D1075" s="8" t="inlineStr">
        <is>
          <t>Private</t>
        </is>
      </c>
      <c r="E1075" s="9" t="n">
        <v>22009</v>
      </c>
      <c r="F1075" s="9" t="n">
        <v>45222</v>
      </c>
      <c r="G1075" s="8">
        <f>RANK(F1075,$F$5:$F$1561)</f>
        <v/>
      </c>
      <c r="H1075" s="8" t="inlineStr"/>
      <c r="I1075" s="9">
        <f>IF(D1075="Private",E1075,"")</f>
        <v/>
      </c>
      <c r="J1075" s="9">
        <f>IF(D1075="Private",F1075,"")</f>
        <v/>
      </c>
    </row>
    <row r="1076">
      <c r="A1076" s="8" t="inlineStr">
        <is>
          <t>Mississippi College</t>
        </is>
      </c>
      <c r="B1076" s="8" t="inlineStr">
        <is>
          <t>Clinton</t>
        </is>
      </c>
      <c r="C1076" s="8" t="inlineStr">
        <is>
          <t>MS</t>
        </is>
      </c>
      <c r="D1076" s="8" t="inlineStr">
        <is>
          <t>Private</t>
        </is>
      </c>
      <c r="E1076" s="9" t="n">
        <v>17880</v>
      </c>
      <c r="F1076" s="9" t="n">
        <v>45187</v>
      </c>
      <c r="G1076" s="8">
        <f>RANK(F1076,$F$5:$F$1561)</f>
        <v/>
      </c>
      <c r="H1076" s="8" t="inlineStr"/>
      <c r="I1076" s="9">
        <f>IF(D1076="Private",E1076,"")</f>
        <v/>
      </c>
      <c r="J1076" s="9">
        <f>IF(D1076="Private",F1076,"")</f>
        <v/>
      </c>
    </row>
    <row r="1077">
      <c r="A1077" s="8" t="inlineStr">
        <is>
          <t>Bethany College</t>
        </is>
      </c>
      <c r="B1077" s="8" t="inlineStr">
        <is>
          <t>Bethany</t>
        </is>
      </c>
      <c r="C1077" s="8" t="inlineStr">
        <is>
          <t>WV</t>
        </is>
      </c>
      <c r="D1077" s="8" t="inlineStr">
        <is>
          <t>Private</t>
        </is>
      </c>
      <c r="E1077" s="9" t="n">
        <v>10324</v>
      </c>
      <c r="F1077" s="9" t="n">
        <v>45183</v>
      </c>
      <c r="G1077" s="8">
        <f>RANK(F1077,$F$5:$F$1561)</f>
        <v/>
      </c>
      <c r="H1077" s="8" t="inlineStr"/>
      <c r="I1077" s="9">
        <f>IF(D1077="Private",E1077,"")</f>
        <v/>
      </c>
      <c r="J1077" s="9">
        <f>IF(D1077="Private",F1077,"")</f>
        <v/>
      </c>
    </row>
    <row r="1078">
      <c r="A1078" s="8" t="inlineStr">
        <is>
          <t>Gardner-Webb University</t>
        </is>
      </c>
      <c r="B1078" s="8" t="inlineStr">
        <is>
          <t>Boiling Springs</t>
        </is>
      </c>
      <c r="C1078" s="8" t="inlineStr">
        <is>
          <t>NC</t>
        </is>
      </c>
      <c r="D1078" s="8" t="inlineStr">
        <is>
          <t>Private</t>
        </is>
      </c>
      <c r="E1078" s="9" t="n">
        <v>19785</v>
      </c>
      <c r="F1078" s="9" t="n">
        <v>45181</v>
      </c>
      <c r="G1078" s="8">
        <f>RANK(F1078,$F$5:$F$1561)</f>
        <v/>
      </c>
      <c r="H1078" s="8" t="inlineStr"/>
      <c r="I1078" s="9">
        <f>IF(D1078="Private",E1078,"")</f>
        <v/>
      </c>
      <c r="J1078" s="9">
        <f>IF(D1078="Private",F1078,"")</f>
        <v/>
      </c>
    </row>
    <row r="1079">
      <c r="A1079" s="8" t="inlineStr">
        <is>
          <t>Cambridge College</t>
        </is>
      </c>
      <c r="B1079" s="8" t="inlineStr">
        <is>
          <t>Boston</t>
        </is>
      </c>
      <c r="C1079" s="8" t="inlineStr">
        <is>
          <t>MA</t>
        </is>
      </c>
      <c r="D1079" s="8" t="inlineStr">
        <is>
          <t>Private</t>
        </is>
      </c>
      <c r="E1079" s="9" t="n">
        <v>27709</v>
      </c>
      <c r="F1079" s="9" t="n">
        <v>45145</v>
      </c>
      <c r="G1079" s="8">
        <f>RANK(F1079,$F$5:$F$1561)</f>
        <v/>
      </c>
      <c r="H1079" s="8" t="inlineStr"/>
      <c r="I1079" s="9">
        <f>IF(D1079="Private",E1079,"")</f>
        <v/>
      </c>
      <c r="J1079" s="9">
        <f>IF(D1079="Private",F1079,"")</f>
        <v/>
      </c>
    </row>
    <row r="1080">
      <c r="A1080" s="8" t="inlineStr">
        <is>
          <t>Colby-Sawyer College</t>
        </is>
      </c>
      <c r="B1080" s="8" t="inlineStr">
        <is>
          <t>New London</t>
        </is>
      </c>
      <c r="C1080" s="8" t="inlineStr">
        <is>
          <t>NH</t>
        </is>
      </c>
      <c r="D1080" s="8" t="inlineStr">
        <is>
          <t>Private</t>
        </is>
      </c>
      <c r="E1080" s="9" t="n">
        <v>26408</v>
      </c>
      <c r="F1080" s="9" t="n">
        <v>45141</v>
      </c>
      <c r="G1080" s="8">
        <f>RANK(F1080,$F$5:$F$1561)</f>
        <v/>
      </c>
      <c r="H1080" s="8" t="inlineStr"/>
      <c r="I1080" s="9">
        <f>IF(D1080="Private",E1080,"")</f>
        <v/>
      </c>
      <c r="J1080" s="9">
        <f>IF(D1080="Private",F1080,"")</f>
        <v/>
      </c>
    </row>
    <row r="1081">
      <c r="A1081" s="8" t="inlineStr">
        <is>
          <t>Dean College</t>
        </is>
      </c>
      <c r="B1081" s="8" t="inlineStr">
        <is>
          <t>Franklin</t>
        </is>
      </c>
      <c r="C1081" s="8" t="inlineStr">
        <is>
          <t>MA</t>
        </is>
      </c>
      <c r="D1081" s="8" t="inlineStr">
        <is>
          <t>Private</t>
        </is>
      </c>
      <c r="E1081" s="9" t="n">
        <v>35630</v>
      </c>
      <c r="F1081" s="9" t="n">
        <v>45140</v>
      </c>
      <c r="G1081" s="8">
        <f>RANK(F1081,$F$5:$F$1561)</f>
        <v/>
      </c>
      <c r="H1081" s="8" t="inlineStr"/>
      <c r="I1081" s="9">
        <f>IF(D1081="Private",E1081,"")</f>
        <v/>
      </c>
      <c r="J1081" s="9">
        <f>IF(D1081="Private",F1081,"")</f>
        <v/>
      </c>
    </row>
    <row r="1082">
      <c r="A1082" s="8" t="inlineStr">
        <is>
          <t>Liberty University</t>
        </is>
      </c>
      <c r="B1082" s="8" t="inlineStr">
        <is>
          <t>Lynchburg</t>
        </is>
      </c>
      <c r="C1082" s="8" t="inlineStr">
        <is>
          <t>VA</t>
        </is>
      </c>
      <c r="D1082" s="8" t="inlineStr">
        <is>
          <t>Private</t>
        </is>
      </c>
      <c r="E1082" s="9" t="n">
        <v>28561</v>
      </c>
      <c r="F1082" s="9" t="n">
        <v>45115</v>
      </c>
      <c r="G1082" s="8">
        <f>RANK(F1082,$F$5:$F$1561)</f>
        <v/>
      </c>
      <c r="H1082" s="8" t="inlineStr"/>
      <c r="I1082" s="9">
        <f>IF(D1082="Private",E1082,"")</f>
        <v/>
      </c>
      <c r="J1082" s="9">
        <f>IF(D1082="Private",F1082,"")</f>
        <v/>
      </c>
    </row>
    <row r="1083">
      <c r="A1083" s="8" t="inlineStr">
        <is>
          <t>Bluefield University</t>
        </is>
      </c>
      <c r="B1083" s="8" t="inlineStr">
        <is>
          <t>Bluefield</t>
        </is>
      </c>
      <c r="C1083" s="8" t="inlineStr">
        <is>
          <t>VA</t>
        </is>
      </c>
      <c r="D1083" s="8" t="inlineStr">
        <is>
          <t>Private</t>
        </is>
      </c>
      <c r="E1083" s="9" t="n">
        <v>18903</v>
      </c>
      <c r="F1083" s="9" t="n">
        <v>45094</v>
      </c>
      <c r="G1083" s="8">
        <f>RANK(F1083,$F$5:$F$1561)</f>
        <v/>
      </c>
      <c r="H1083" s="8" t="inlineStr"/>
      <c r="I1083" s="9">
        <f>IF(D1083="Private",E1083,"")</f>
        <v/>
      </c>
      <c r="J1083" s="9">
        <f>IF(D1083="Private",F1083,"")</f>
        <v/>
      </c>
    </row>
    <row r="1084">
      <c r="A1084" s="8" t="inlineStr">
        <is>
          <t>University of Louisiana at Lafayette</t>
        </is>
      </c>
      <c r="B1084" s="8" t="inlineStr">
        <is>
          <t>Lafayette</t>
        </is>
      </c>
      <c r="C1084" s="8" t="inlineStr">
        <is>
          <t>LA</t>
        </is>
      </c>
      <c r="D1084" s="8" t="inlineStr">
        <is>
          <t>Public</t>
        </is>
      </c>
      <c r="E1084" s="9" t="n">
        <v>12642</v>
      </c>
      <c r="F1084" s="9" t="n">
        <v>45080</v>
      </c>
      <c r="G1084" s="8">
        <f>RANK(F1084,$F$5:$F$1561)</f>
        <v/>
      </c>
      <c r="H1084" s="8" t="inlineStr"/>
      <c r="I1084" s="9">
        <f>IF(D1084="Private",E1084,"")</f>
        <v/>
      </c>
      <c r="J1084" s="9">
        <f>IF(D1084="Private",F1084,"")</f>
        <v/>
      </c>
    </row>
    <row r="1085">
      <c r="A1085" s="8" t="inlineStr">
        <is>
          <t>William Penn University</t>
        </is>
      </c>
      <c r="B1085" s="8" t="inlineStr">
        <is>
          <t>Oskaloosa</t>
        </is>
      </c>
      <c r="C1085" s="8" t="inlineStr">
        <is>
          <t>IA</t>
        </is>
      </c>
      <c r="D1085" s="8" t="inlineStr">
        <is>
          <t>Private</t>
        </is>
      </c>
      <c r="E1085" s="9" t="n">
        <v>21066</v>
      </c>
      <c r="F1085" s="9" t="n">
        <v>45073</v>
      </c>
      <c r="G1085" s="8">
        <f>RANK(F1085,$F$5:$F$1561)</f>
        <v/>
      </c>
      <c r="H1085" s="8" t="inlineStr"/>
      <c r="I1085" s="9">
        <f>IF(D1085="Private",E1085,"")</f>
        <v/>
      </c>
      <c r="J1085" s="9">
        <f>IF(D1085="Private",F1085,"")</f>
        <v/>
      </c>
    </row>
    <row r="1086">
      <c r="A1086" s="8" t="inlineStr">
        <is>
          <t>Louisiana State University-Shreveport</t>
        </is>
      </c>
      <c r="B1086" s="8" t="inlineStr">
        <is>
          <t>Shreveport</t>
        </is>
      </c>
      <c r="C1086" s="8" t="inlineStr">
        <is>
          <t>LA</t>
        </is>
      </c>
      <c r="D1086" s="8" t="inlineStr">
        <is>
          <t>Public</t>
        </is>
      </c>
      <c r="E1086" s="9" t="n">
        <v>8536</v>
      </c>
      <c r="F1086" s="9" t="n">
        <v>45066</v>
      </c>
      <c r="G1086" s="8">
        <f>RANK(F1086,$F$5:$F$1561)</f>
        <v/>
      </c>
      <c r="H1086" s="8" t="inlineStr"/>
      <c r="I1086" s="9">
        <f>IF(D1086="Private",E1086,"")</f>
        <v/>
      </c>
      <c r="J1086" s="9">
        <f>IF(D1086="Private",F1086,"")</f>
        <v/>
      </c>
    </row>
    <row r="1087">
      <c r="A1087" s="8" t="inlineStr">
        <is>
          <t>Idaho State University</t>
        </is>
      </c>
      <c r="B1087" s="8" t="inlineStr">
        <is>
          <t>Pocatello</t>
        </is>
      </c>
      <c r="C1087" s="8" t="inlineStr">
        <is>
          <t>ID</t>
        </is>
      </c>
      <c r="D1087" s="8" t="inlineStr">
        <is>
          <t>Public</t>
        </is>
      </c>
      <c r="E1087" s="9" t="n">
        <v>17410</v>
      </c>
      <c r="F1087" s="9" t="n">
        <v>45062</v>
      </c>
      <c r="G1087" s="8">
        <f>RANK(F1087,$F$5:$F$1561)</f>
        <v/>
      </c>
      <c r="H1087" s="8" t="inlineStr"/>
      <c r="I1087" s="9">
        <f>IF(D1087="Private",E1087,"")</f>
        <v/>
      </c>
      <c r="J1087" s="9">
        <f>IF(D1087="Private",F1087,"")</f>
        <v/>
      </c>
    </row>
    <row r="1088">
      <c r="A1088" s="8" t="inlineStr">
        <is>
          <t>Chadron State College</t>
        </is>
      </c>
      <c r="B1088" s="8" t="inlineStr">
        <is>
          <t>Chadron</t>
        </is>
      </c>
      <c r="C1088" s="8" t="inlineStr">
        <is>
          <t>NE</t>
        </is>
      </c>
      <c r="D1088" s="8" t="inlineStr">
        <is>
          <t>Public</t>
        </is>
      </c>
      <c r="E1088" s="9" t="n">
        <v>15260</v>
      </c>
      <c r="F1088" s="9" t="n">
        <v>45041</v>
      </c>
      <c r="G1088" s="8">
        <f>RANK(F1088,$F$5:$F$1561)</f>
        <v/>
      </c>
      <c r="H1088" s="8" t="inlineStr"/>
      <c r="I1088" s="9">
        <f>IF(D1088="Private",E1088,"")</f>
        <v/>
      </c>
      <c r="J1088" s="9">
        <f>IF(D1088="Private",F1088,"")</f>
        <v/>
      </c>
    </row>
    <row r="1089">
      <c r="A1089" s="8" t="inlineStr">
        <is>
          <t>Cornerstone University</t>
        </is>
      </c>
      <c r="B1089" s="8" t="inlineStr">
        <is>
          <t>Grand Rapids</t>
        </is>
      </c>
      <c r="C1089" s="8" t="inlineStr">
        <is>
          <t>MI</t>
        </is>
      </c>
      <c r="D1089" s="8" t="inlineStr">
        <is>
          <t>Private</t>
        </is>
      </c>
      <c r="E1089" s="9" t="n">
        <v>20833</v>
      </c>
      <c r="F1089" s="9" t="n">
        <v>45033</v>
      </c>
      <c r="G1089" s="8">
        <f>RANK(F1089,$F$5:$F$1561)</f>
        <v/>
      </c>
      <c r="H1089" s="8" t="inlineStr"/>
      <c r="I1089" s="9">
        <f>IF(D1089="Private",E1089,"")</f>
        <v/>
      </c>
      <c r="J1089" s="9">
        <f>IF(D1089="Private",F1089,"")</f>
        <v/>
      </c>
    </row>
    <row r="1090">
      <c r="A1090" s="8" t="inlineStr">
        <is>
          <t>Kent State University at Kent</t>
        </is>
      </c>
      <c r="B1090" s="8" t="inlineStr">
        <is>
          <t>Kent</t>
        </is>
      </c>
      <c r="C1090" s="8" t="inlineStr">
        <is>
          <t>OH</t>
        </is>
      </c>
      <c r="D1090" s="8" t="inlineStr">
        <is>
          <t>Public</t>
        </is>
      </c>
      <c r="E1090" s="9" t="n">
        <v>18778</v>
      </c>
      <c r="F1090" s="9" t="n">
        <v>45019</v>
      </c>
      <c r="G1090" s="8">
        <f>RANK(F1090,$F$5:$F$1561)</f>
        <v/>
      </c>
      <c r="H1090" s="8" t="inlineStr"/>
      <c r="I1090" s="9">
        <f>IF(D1090="Private",E1090,"")</f>
        <v/>
      </c>
      <c r="J1090" s="9">
        <f>IF(D1090="Private",F1090,"")</f>
        <v/>
      </c>
    </row>
    <row r="1091">
      <c r="A1091" s="8" t="inlineStr">
        <is>
          <t>Kent State University at Trumbull</t>
        </is>
      </c>
      <c r="B1091" s="8" t="inlineStr">
        <is>
          <t>Warren</t>
        </is>
      </c>
      <c r="C1091" s="8" t="inlineStr">
        <is>
          <t>OH</t>
        </is>
      </c>
      <c r="D1091" s="8" t="inlineStr">
        <is>
          <t>Public</t>
        </is>
      </c>
      <c r="E1091" s="9" t="n">
        <v>9443</v>
      </c>
      <c r="F1091" s="9" t="n">
        <v>45019</v>
      </c>
      <c r="G1091" s="8">
        <f>RANK(F1091,$F$5:$F$1561)</f>
        <v/>
      </c>
      <c r="H1091" s="8" t="inlineStr"/>
      <c r="I1091" s="9">
        <f>IF(D1091="Private",E1091,"")</f>
        <v/>
      </c>
      <c r="J1091" s="9">
        <f>IF(D1091="Private",F1091,"")</f>
        <v/>
      </c>
    </row>
    <row r="1092">
      <c r="A1092" s="8" t="inlineStr">
        <is>
          <t>Kent State University at Salem</t>
        </is>
      </c>
      <c r="B1092" s="8" t="inlineStr">
        <is>
          <t>Salem</t>
        </is>
      </c>
      <c r="C1092" s="8" t="inlineStr">
        <is>
          <t>OH</t>
        </is>
      </c>
      <c r="D1092" s="8" t="inlineStr">
        <is>
          <t>Public</t>
        </is>
      </c>
      <c r="E1092" s="9" t="n">
        <v>9243</v>
      </c>
      <c r="F1092" s="9" t="n">
        <v>45019</v>
      </c>
      <c r="G1092" s="8">
        <f>RANK(F1092,$F$5:$F$1561)</f>
        <v/>
      </c>
      <c r="H1092" s="8" t="inlineStr"/>
      <c r="I1092" s="9">
        <f>IF(D1092="Private",E1092,"")</f>
        <v/>
      </c>
      <c r="J1092" s="9">
        <f>IF(D1092="Private",F1092,"")</f>
        <v/>
      </c>
    </row>
    <row r="1093">
      <c r="A1093" s="8" t="inlineStr">
        <is>
          <t>Kent State University at Tuscarawas</t>
        </is>
      </c>
      <c r="B1093" s="8" t="inlineStr">
        <is>
          <t>New Philadelphia</t>
        </is>
      </c>
      <c r="C1093" s="8" t="inlineStr">
        <is>
          <t>OH</t>
        </is>
      </c>
      <c r="D1093" s="8" t="inlineStr">
        <is>
          <t>Public</t>
        </is>
      </c>
      <c r="E1093" s="9" t="n">
        <v>9668</v>
      </c>
      <c r="F1093" s="9" t="n">
        <v>45019</v>
      </c>
      <c r="G1093" s="8">
        <f>RANK(F1093,$F$5:$F$1561)</f>
        <v/>
      </c>
      <c r="H1093" s="8" t="inlineStr"/>
      <c r="I1093" s="9">
        <f>IF(D1093="Private",E1093,"")</f>
        <v/>
      </c>
      <c r="J1093" s="9">
        <f>IF(D1093="Private",F1093,"")</f>
        <v/>
      </c>
    </row>
    <row r="1094">
      <c r="A1094" s="8" t="inlineStr">
        <is>
          <t>University of South Alabama</t>
        </is>
      </c>
      <c r="B1094" s="8" t="inlineStr">
        <is>
          <t>Mobile</t>
        </is>
      </c>
      <c r="C1094" s="8" t="inlineStr">
        <is>
          <t>AL</t>
        </is>
      </c>
      <c r="D1094" s="8" t="inlineStr">
        <is>
          <t>Public</t>
        </is>
      </c>
      <c r="E1094" s="9" t="n">
        <v>16223</v>
      </c>
      <c r="F1094" s="9" t="n">
        <v>45018</v>
      </c>
      <c r="G1094" s="8">
        <f>RANK(F1094,$F$5:$F$1561)</f>
        <v/>
      </c>
      <c r="H1094" s="8" t="inlineStr"/>
      <c r="I1094" s="9">
        <f>IF(D1094="Private",E1094,"")</f>
        <v/>
      </c>
      <c r="J1094" s="9">
        <f>IF(D1094="Private",F1094,"")</f>
        <v/>
      </c>
    </row>
    <row r="1095">
      <c r="A1095" s="8" t="inlineStr">
        <is>
          <t>Pfeiffer University</t>
        </is>
      </c>
      <c r="B1095" s="8" t="inlineStr">
        <is>
          <t>Misenheimer</t>
        </is>
      </c>
      <c r="C1095" s="8" t="inlineStr">
        <is>
          <t>NC</t>
        </is>
      </c>
      <c r="D1095" s="8" t="inlineStr">
        <is>
          <t>Private</t>
        </is>
      </c>
      <c r="E1095" s="9" t="n">
        <v>19182</v>
      </c>
      <c r="F1095" s="9" t="n">
        <v>45009</v>
      </c>
      <c r="G1095" s="8">
        <f>RANK(F1095,$F$5:$F$1561)</f>
        <v/>
      </c>
      <c r="H1095" s="8" t="inlineStr"/>
      <c r="I1095" s="9">
        <f>IF(D1095="Private",E1095,"")</f>
        <v/>
      </c>
      <c r="J1095" s="9">
        <f>IF(D1095="Private",F1095,"")</f>
        <v/>
      </c>
    </row>
    <row r="1096">
      <c r="A1096" s="8" t="inlineStr">
        <is>
          <t>Augusta University</t>
        </is>
      </c>
      <c r="B1096" s="8" t="inlineStr">
        <is>
          <t>Augusta</t>
        </is>
      </c>
      <c r="C1096" s="8" t="inlineStr">
        <is>
          <t>GA</t>
        </is>
      </c>
      <c r="D1096" s="8" t="inlineStr">
        <is>
          <t>Public</t>
        </is>
      </c>
      <c r="E1096" s="9" t="n">
        <v>15044</v>
      </c>
      <c r="F1096" s="9" t="n">
        <v>45008</v>
      </c>
      <c r="G1096" s="8">
        <f>RANK(F1096,$F$5:$F$1561)</f>
        <v/>
      </c>
      <c r="H1096" s="8" t="inlineStr"/>
      <c r="I1096" s="9">
        <f>IF(D1096="Private",E1096,"")</f>
        <v/>
      </c>
      <c r="J1096" s="9">
        <f>IF(D1096="Private",F1096,"")</f>
        <v/>
      </c>
    </row>
    <row r="1097">
      <c r="A1097" s="8" t="inlineStr">
        <is>
          <t>Sterling College</t>
        </is>
      </c>
      <c r="B1097" s="8" t="inlineStr">
        <is>
          <t>Sterling</t>
        </is>
      </c>
      <c r="C1097" s="8" t="inlineStr">
        <is>
          <t>KS</t>
        </is>
      </c>
      <c r="D1097" s="8" t="inlineStr">
        <is>
          <t>Private</t>
        </is>
      </c>
      <c r="E1097" s="9" t="n">
        <v>22309</v>
      </c>
      <c r="F1097" s="9" t="n">
        <v>44983</v>
      </c>
      <c r="G1097" s="8">
        <f>RANK(F1097,$F$5:$F$1561)</f>
        <v/>
      </c>
      <c r="H1097" s="8" t="inlineStr"/>
      <c r="I1097" s="9">
        <f>IF(D1097="Private",E1097,"")</f>
        <v/>
      </c>
      <c r="J1097" s="9">
        <f>IF(D1097="Private",F1097,"")</f>
        <v/>
      </c>
    </row>
    <row r="1098">
      <c r="A1098" s="8" t="inlineStr">
        <is>
          <t>University of Mount Olive</t>
        </is>
      </c>
      <c r="B1098" s="8" t="inlineStr">
        <is>
          <t>Mount Olive</t>
        </is>
      </c>
      <c r="C1098" s="8" t="inlineStr">
        <is>
          <t>NC</t>
        </is>
      </c>
      <c r="D1098" s="8" t="inlineStr">
        <is>
          <t>Private</t>
        </is>
      </c>
      <c r="E1098" s="9" t="n">
        <v>17474</v>
      </c>
      <c r="F1098" s="9" t="n">
        <v>44973</v>
      </c>
      <c r="G1098" s="8">
        <f>RANK(F1098,$F$5:$F$1561)</f>
        <v/>
      </c>
      <c r="H1098" s="8" t="inlineStr"/>
      <c r="I1098" s="9">
        <f>IF(D1098="Private",E1098,"")</f>
        <v/>
      </c>
      <c r="J1098" s="9">
        <f>IF(D1098="Private",F1098,"")</f>
        <v/>
      </c>
    </row>
    <row r="1099">
      <c r="A1099" s="8" t="inlineStr">
        <is>
          <t>National Louis University</t>
        </is>
      </c>
      <c r="B1099" s="8" t="inlineStr">
        <is>
          <t>Chicago</t>
        </is>
      </c>
      <c r="C1099" s="8" t="inlineStr">
        <is>
          <t>IL</t>
        </is>
      </c>
      <c r="D1099" s="8" t="inlineStr">
        <is>
          <t>Private</t>
        </is>
      </c>
      <c r="E1099" s="9" t="n">
        <v>14544</v>
      </c>
      <c r="F1099" s="9" t="n">
        <v>44968</v>
      </c>
      <c r="G1099" s="8">
        <f>RANK(F1099,$F$5:$F$1561)</f>
        <v/>
      </c>
      <c r="H1099" s="8" t="inlineStr"/>
      <c r="I1099" s="9">
        <f>IF(D1099="Private",E1099,"")</f>
        <v/>
      </c>
      <c r="J1099" s="9">
        <f>IF(D1099="Private",F1099,"")</f>
        <v/>
      </c>
    </row>
    <row r="1100">
      <c r="A1100" s="8" t="inlineStr">
        <is>
          <t>SUNY at Purchase College</t>
        </is>
      </c>
      <c r="B1100" s="8" t="inlineStr">
        <is>
          <t>Purchase</t>
        </is>
      </c>
      <c r="C1100" s="8" t="inlineStr">
        <is>
          <t>NY</t>
        </is>
      </c>
      <c r="D1100" s="8" t="inlineStr">
        <is>
          <t>Public</t>
        </is>
      </c>
      <c r="E1100" s="9" t="n">
        <v>19559</v>
      </c>
      <c r="F1100" s="9" t="n">
        <v>44940</v>
      </c>
      <c r="G1100" s="8">
        <f>RANK(F1100,$F$5:$F$1561)</f>
        <v/>
      </c>
      <c r="H1100" s="8" t="inlineStr"/>
      <c r="I1100" s="9">
        <f>IF(D1100="Private",E1100,"")</f>
        <v/>
      </c>
      <c r="J1100" s="9">
        <f>IF(D1100="Private",F1100,"")</f>
        <v/>
      </c>
    </row>
    <row r="1101">
      <c r="A1101" s="8" t="inlineStr">
        <is>
          <t>Everglades University</t>
        </is>
      </c>
      <c r="B1101" s="8" t="inlineStr">
        <is>
          <t>Boca Raton</t>
        </is>
      </c>
      <c r="C1101" s="8" t="inlineStr">
        <is>
          <t>FL</t>
        </is>
      </c>
      <c r="D1101" s="8" t="inlineStr">
        <is>
          <t>Private</t>
        </is>
      </c>
      <c r="E1101" s="9" t="n">
        <v>30055</v>
      </c>
      <c r="F1101" s="9" t="n">
        <v>44919</v>
      </c>
      <c r="G1101" s="8">
        <f>RANK(F1101,$F$5:$F$1561)</f>
        <v/>
      </c>
      <c r="H1101" s="8" t="inlineStr"/>
      <c r="I1101" s="9">
        <f>IF(D1101="Private",E1101,"")</f>
        <v/>
      </c>
      <c r="J1101" s="9">
        <f>IF(D1101="Private",F1101,"")</f>
        <v/>
      </c>
    </row>
    <row r="1102">
      <c r="A1102" s="8" t="inlineStr">
        <is>
          <t>University of North Carolina at Asheville</t>
        </is>
      </c>
      <c r="B1102" s="8" t="inlineStr">
        <is>
          <t>Asheville</t>
        </is>
      </c>
      <c r="C1102" s="8" t="inlineStr">
        <is>
          <t>NC</t>
        </is>
      </c>
      <c r="D1102" s="8" t="inlineStr">
        <is>
          <t>Public</t>
        </is>
      </c>
      <c r="E1102" s="9" t="n">
        <v>13069</v>
      </c>
      <c r="F1102" s="9" t="n">
        <v>44906</v>
      </c>
      <c r="G1102" s="8">
        <f>RANK(F1102,$F$5:$F$1561)</f>
        <v/>
      </c>
      <c r="H1102" s="8" t="inlineStr"/>
      <c r="I1102" s="9">
        <f>IF(D1102="Private",E1102,"")</f>
        <v/>
      </c>
      <c r="J1102" s="9">
        <f>IF(D1102="Private",F1102,"")</f>
        <v/>
      </c>
    </row>
    <row r="1103">
      <c r="A1103" s="8" t="inlineStr">
        <is>
          <t>Sul Ross State University</t>
        </is>
      </c>
      <c r="B1103" s="8" t="inlineStr">
        <is>
          <t>Alpine</t>
        </is>
      </c>
      <c r="C1103" s="8" t="inlineStr">
        <is>
          <t>TX</t>
        </is>
      </c>
      <c r="D1103" s="8" t="inlineStr">
        <is>
          <t>Public</t>
        </is>
      </c>
      <c r="E1103" s="9" t="n">
        <v>15192</v>
      </c>
      <c r="F1103" s="9" t="n">
        <v>44892</v>
      </c>
      <c r="G1103" s="8">
        <f>RANK(F1103,$F$5:$F$1561)</f>
        <v/>
      </c>
      <c r="H1103" s="8" t="inlineStr"/>
      <c r="I1103" s="9">
        <f>IF(D1103="Private",E1103,"")</f>
        <v/>
      </c>
      <c r="J1103" s="9">
        <f>IF(D1103="Private",F1103,"")</f>
        <v/>
      </c>
    </row>
    <row r="1104">
      <c r="A1104" s="8" t="inlineStr">
        <is>
          <t>Ave Maria University</t>
        </is>
      </c>
      <c r="B1104" s="8" t="inlineStr">
        <is>
          <t>Ave Maria</t>
        </is>
      </c>
      <c r="C1104" s="8" t="inlineStr">
        <is>
          <t>FL</t>
        </is>
      </c>
      <c r="D1104" s="8" t="inlineStr">
        <is>
          <t>Private</t>
        </is>
      </c>
      <c r="E1104" s="9" t="n">
        <v>18860</v>
      </c>
      <c r="F1104" s="9" t="n">
        <v>44873</v>
      </c>
      <c r="G1104" s="8">
        <f>RANK(F1104,$F$5:$F$1561)</f>
        <v/>
      </c>
      <c r="H1104" s="8" t="inlineStr"/>
      <c r="I1104" s="9">
        <f>IF(D1104="Private",E1104,"")</f>
        <v/>
      </c>
      <c r="J1104" s="9">
        <f>IF(D1104="Private",F1104,"")</f>
        <v/>
      </c>
    </row>
    <row r="1105">
      <c r="A1105" s="8" t="inlineStr">
        <is>
          <t>Florida College</t>
        </is>
      </c>
      <c r="B1105" s="8" t="inlineStr">
        <is>
          <t>Temple Terrace</t>
        </is>
      </c>
      <c r="C1105" s="8" t="inlineStr">
        <is>
          <t>FL</t>
        </is>
      </c>
      <c r="D1105" s="8" t="inlineStr">
        <is>
          <t>Private</t>
        </is>
      </c>
      <c r="E1105" s="9" t="n">
        <v>20918</v>
      </c>
      <c r="F1105" s="9" t="n">
        <v>44859</v>
      </c>
      <c r="G1105" s="8">
        <f>RANK(F1105,$F$5:$F$1561)</f>
        <v/>
      </c>
      <c r="H1105" s="8" t="inlineStr"/>
      <c r="I1105" s="9">
        <f>IF(D1105="Private",E1105,"")</f>
        <v/>
      </c>
      <c r="J1105" s="9">
        <f>IF(D1105="Private",F1105,"")</f>
        <v/>
      </c>
    </row>
    <row r="1106">
      <c r="A1106" s="8" t="inlineStr">
        <is>
          <t>Shorter University</t>
        </is>
      </c>
      <c r="B1106" s="8" t="inlineStr">
        <is>
          <t>Rome</t>
        </is>
      </c>
      <c r="C1106" s="8" t="inlineStr">
        <is>
          <t>GA</t>
        </is>
      </c>
      <c r="D1106" s="8" t="inlineStr">
        <is>
          <t>Private</t>
        </is>
      </c>
      <c r="E1106" s="9" t="n">
        <v>16638</v>
      </c>
      <c r="F1106" s="9" t="n">
        <v>44832</v>
      </c>
      <c r="G1106" s="8">
        <f>RANK(F1106,$F$5:$F$1561)</f>
        <v/>
      </c>
      <c r="H1106" s="8" t="inlineStr"/>
      <c r="I1106" s="9">
        <f>IF(D1106="Private",E1106,"")</f>
        <v/>
      </c>
      <c r="J1106" s="9">
        <f>IF(D1106="Private",F1106,"")</f>
        <v/>
      </c>
    </row>
    <row r="1107">
      <c r="A1107" s="8" t="inlineStr">
        <is>
          <t>Mansfield University of Pennsylvania</t>
        </is>
      </c>
      <c r="B1107" s="8" t="inlineStr">
        <is>
          <t>Mansfield</t>
        </is>
      </c>
      <c r="C1107" s="8" t="inlineStr">
        <is>
          <t>PA</t>
        </is>
      </c>
      <c r="D1107" s="8" t="inlineStr">
        <is>
          <t>Public</t>
        </is>
      </c>
      <c r="E1107" s="9" t="n">
        <v>12733</v>
      </c>
      <c r="F1107" s="9" t="n">
        <v>44818</v>
      </c>
      <c r="G1107" s="8">
        <f>RANK(F1107,$F$5:$F$1561)</f>
        <v/>
      </c>
      <c r="H1107" s="8" t="inlineStr"/>
      <c r="I1107" s="9">
        <f>IF(D1107="Private",E1107,"")</f>
        <v/>
      </c>
      <c r="J1107" s="9">
        <f>IF(D1107="Private",F1107,"")</f>
        <v/>
      </c>
    </row>
    <row r="1108">
      <c r="A1108" s="8" t="inlineStr">
        <is>
          <t>Georgia State University</t>
        </is>
      </c>
      <c r="B1108" s="8" t="inlineStr">
        <is>
          <t>Atlanta</t>
        </is>
      </c>
      <c r="C1108" s="8" t="inlineStr">
        <is>
          <t>GA</t>
        </is>
      </c>
      <c r="D1108" s="8" t="inlineStr">
        <is>
          <t>Public</t>
        </is>
      </c>
      <c r="E1108" s="9" t="n">
        <v>17738</v>
      </c>
      <c r="F1108" s="9" t="n">
        <v>44812</v>
      </c>
      <c r="G1108" s="8">
        <f>RANK(F1108,$F$5:$F$1561)</f>
        <v/>
      </c>
      <c r="H1108" s="8" t="inlineStr"/>
      <c r="I1108" s="9">
        <f>IF(D1108="Private",E1108,"")</f>
        <v/>
      </c>
      <c r="J1108" s="9">
        <f>IF(D1108="Private",F1108,"")</f>
        <v/>
      </c>
    </row>
    <row r="1109">
      <c r="A1109" s="8" t="inlineStr">
        <is>
          <t>Eureka College</t>
        </is>
      </c>
      <c r="B1109" s="8" t="inlineStr">
        <is>
          <t>Eureka</t>
        </is>
      </c>
      <c r="C1109" s="8" t="inlineStr">
        <is>
          <t>IL</t>
        </is>
      </c>
      <c r="D1109" s="8" t="inlineStr">
        <is>
          <t>Private</t>
        </is>
      </c>
      <c r="E1109" s="9" t="n">
        <v>19903</v>
      </c>
      <c r="F1109" s="9" t="n">
        <v>44812</v>
      </c>
      <c r="G1109" s="8">
        <f>RANK(F1109,$F$5:$F$1561)</f>
        <v/>
      </c>
      <c r="H1109" s="8" t="inlineStr"/>
      <c r="I1109" s="9">
        <f>IF(D1109="Private",E1109,"")</f>
        <v/>
      </c>
      <c r="J1109" s="9">
        <f>IF(D1109="Private",F1109,"")</f>
        <v/>
      </c>
    </row>
    <row r="1110">
      <c r="A1110" s="8" t="inlineStr">
        <is>
          <t>Delaware State University</t>
        </is>
      </c>
      <c r="B1110" s="8" t="inlineStr">
        <is>
          <t>Dover</t>
        </is>
      </c>
      <c r="C1110" s="8" t="inlineStr">
        <is>
          <t>DE</t>
        </is>
      </c>
      <c r="D1110" s="8" t="inlineStr">
        <is>
          <t>Public</t>
        </is>
      </c>
      <c r="E1110" s="9" t="n">
        <v>11626</v>
      </c>
      <c r="F1110" s="9" t="n">
        <v>44793</v>
      </c>
      <c r="G1110" s="8">
        <f>RANK(F1110,$F$5:$F$1561)</f>
        <v/>
      </c>
      <c r="H1110" s="8" t="inlineStr"/>
      <c r="I1110" s="9">
        <f>IF(D1110="Private",E1110,"")</f>
        <v/>
      </c>
      <c r="J1110" s="9">
        <f>IF(D1110="Private",F1110,"")</f>
        <v/>
      </c>
    </row>
    <row r="1111">
      <c r="A1111" s="8" t="inlineStr">
        <is>
          <t>Oklahoma State University Institute of Technology</t>
        </is>
      </c>
      <c r="B1111" s="8" t="inlineStr">
        <is>
          <t>Okmulgee</t>
        </is>
      </c>
      <c r="C1111" s="8" t="inlineStr">
        <is>
          <t>OK</t>
        </is>
      </c>
      <c r="D1111" s="8" t="inlineStr">
        <is>
          <t>Public</t>
        </is>
      </c>
      <c r="E1111" s="9" t="n">
        <v>9411</v>
      </c>
      <c r="F1111" s="9" t="n">
        <v>44761</v>
      </c>
      <c r="G1111" s="8">
        <f>RANK(F1111,$F$5:$F$1561)</f>
        <v/>
      </c>
      <c r="H1111" s="8" t="inlineStr"/>
      <c r="I1111" s="9">
        <f>IF(D1111="Private",E1111,"")</f>
        <v/>
      </c>
      <c r="J1111" s="9">
        <f>IF(D1111="Private",F1111,"")</f>
        <v/>
      </c>
    </row>
    <row r="1112">
      <c r="A1112" s="8" t="inlineStr">
        <is>
          <t>Western Carolina University</t>
        </is>
      </c>
      <c r="B1112" s="8" t="inlineStr">
        <is>
          <t>Cullowhee</t>
        </is>
      </c>
      <c r="C1112" s="8" t="inlineStr">
        <is>
          <t>NC</t>
        </is>
      </c>
      <c r="D1112" s="8" t="inlineStr">
        <is>
          <t>Public</t>
        </is>
      </c>
      <c r="E1112" s="9" t="n">
        <v>13640</v>
      </c>
      <c r="F1112" s="9" t="n">
        <v>44755</v>
      </c>
      <c r="G1112" s="8">
        <f>RANK(F1112,$F$5:$F$1561)</f>
        <v/>
      </c>
      <c r="H1112" s="8" t="inlineStr"/>
      <c r="I1112" s="9">
        <f>IF(D1112="Private",E1112,"")</f>
        <v/>
      </c>
      <c r="J1112" s="9">
        <f>IF(D1112="Private",F1112,"")</f>
        <v/>
      </c>
    </row>
    <row r="1113">
      <c r="A1113" s="8" t="inlineStr">
        <is>
          <t>Montana State University-Northern</t>
        </is>
      </c>
      <c r="B1113" s="8" t="inlineStr">
        <is>
          <t>Havre</t>
        </is>
      </c>
      <c r="C1113" s="8" t="inlineStr">
        <is>
          <t>MT</t>
        </is>
      </c>
      <c r="D1113" s="8" t="inlineStr">
        <is>
          <t>Public</t>
        </is>
      </c>
      <c r="E1113" s="9" t="n">
        <v>13009</v>
      </c>
      <c r="F1113" s="9" t="n">
        <v>44743</v>
      </c>
      <c r="G1113" s="8">
        <f>RANK(F1113,$F$5:$F$1561)</f>
        <v/>
      </c>
      <c r="H1113" s="8" t="inlineStr"/>
      <c r="I1113" s="9">
        <f>IF(D1113="Private",E1113,"")</f>
        <v/>
      </c>
      <c r="J1113" s="9">
        <f>IF(D1113="Private",F1113,"")</f>
        <v/>
      </c>
    </row>
    <row r="1114">
      <c r="A1114" s="8" t="inlineStr">
        <is>
          <t>Nicholls State University</t>
        </is>
      </c>
      <c r="B1114" s="8" t="inlineStr">
        <is>
          <t>Thibodaux</t>
        </is>
      </c>
      <c r="C1114" s="8" t="inlineStr">
        <is>
          <t>LA</t>
        </is>
      </c>
      <c r="D1114" s="8" t="inlineStr">
        <is>
          <t>Public</t>
        </is>
      </c>
      <c r="E1114" s="9" t="n">
        <v>13466</v>
      </c>
      <c r="F1114" s="9" t="n">
        <v>44740</v>
      </c>
      <c r="G1114" s="8">
        <f>RANK(F1114,$F$5:$F$1561)</f>
        <v/>
      </c>
      <c r="H1114" s="8" t="inlineStr"/>
      <c r="I1114" s="9">
        <f>IF(D1114="Private",E1114,"")</f>
        <v/>
      </c>
      <c r="J1114" s="9">
        <f>IF(D1114="Private",F1114,"")</f>
        <v/>
      </c>
    </row>
    <row r="1115">
      <c r="A1115" s="8" t="inlineStr">
        <is>
          <t>Kentucky Wesleyan College</t>
        </is>
      </c>
      <c r="B1115" s="8" t="inlineStr">
        <is>
          <t>Owensboro</t>
        </is>
      </c>
      <c r="C1115" s="8" t="inlineStr">
        <is>
          <t>KY</t>
        </is>
      </c>
      <c r="D1115" s="8" t="inlineStr">
        <is>
          <t>Private</t>
        </is>
      </c>
      <c r="E1115" s="9" t="n">
        <v>28242</v>
      </c>
      <c r="F1115" s="9" t="n">
        <v>44736</v>
      </c>
      <c r="G1115" s="8">
        <f>RANK(F1115,$F$5:$F$1561)</f>
        <v/>
      </c>
      <c r="H1115" s="8" t="inlineStr"/>
      <c r="I1115" s="9">
        <f>IF(D1115="Private",E1115,"")</f>
        <v/>
      </c>
      <c r="J1115" s="9">
        <f>IF(D1115="Private",F1115,"")</f>
        <v/>
      </c>
    </row>
    <row r="1116">
      <c r="A1116" s="8" t="inlineStr">
        <is>
          <t>University of the Southwest</t>
        </is>
      </c>
      <c r="B1116" s="8" t="inlineStr">
        <is>
          <t>Hobbs</t>
        </is>
      </c>
      <c r="C1116" s="8" t="inlineStr">
        <is>
          <t>NM</t>
        </is>
      </c>
      <c r="D1116" s="8" t="inlineStr">
        <is>
          <t>Private</t>
        </is>
      </c>
      <c r="E1116" s="9" t="n">
        <v>18189</v>
      </c>
      <c r="F1116" s="9" t="n">
        <v>44729</v>
      </c>
      <c r="G1116" s="8">
        <f>RANK(F1116,$F$5:$F$1561)</f>
        <v/>
      </c>
      <c r="H1116" s="8" t="inlineStr"/>
      <c r="I1116" s="9">
        <f>IF(D1116="Private",E1116,"")</f>
        <v/>
      </c>
      <c r="J1116" s="9">
        <f>IF(D1116="Private",F1116,"")</f>
        <v/>
      </c>
    </row>
    <row r="1117">
      <c r="A1117" s="8" t="inlineStr">
        <is>
          <t>Lincoln Memorial University</t>
        </is>
      </c>
      <c r="B1117" s="8" t="inlineStr">
        <is>
          <t>Harrogate</t>
        </is>
      </c>
      <c r="C1117" s="8" t="inlineStr">
        <is>
          <t>TN</t>
        </is>
      </c>
      <c r="D1117" s="8" t="inlineStr">
        <is>
          <t>Private</t>
        </is>
      </c>
      <c r="E1117" s="9" t="n">
        <v>16017</v>
      </c>
      <c r="F1117" s="9" t="n">
        <v>44726</v>
      </c>
      <c r="G1117" s="8">
        <f>RANK(F1117,$F$5:$F$1561)</f>
        <v/>
      </c>
      <c r="H1117" s="8" t="inlineStr"/>
      <c r="I1117" s="9">
        <f>IF(D1117="Private",E1117,"")</f>
        <v/>
      </c>
      <c r="J1117" s="9">
        <f>IF(D1117="Private",F1117,"")</f>
        <v/>
      </c>
    </row>
    <row r="1118">
      <c r="A1118" s="8" t="inlineStr">
        <is>
          <t>Winthrop University</t>
        </is>
      </c>
      <c r="B1118" s="8" t="inlineStr">
        <is>
          <t>Rock Hill</t>
        </is>
      </c>
      <c r="C1118" s="8" t="inlineStr">
        <is>
          <t>SC</t>
        </is>
      </c>
      <c r="D1118" s="8" t="inlineStr">
        <is>
          <t>Public</t>
        </is>
      </c>
      <c r="E1118" s="9" t="n">
        <v>17033</v>
      </c>
      <c r="F1118" s="9" t="n">
        <v>44718</v>
      </c>
      <c r="G1118" s="8">
        <f>RANK(F1118,$F$5:$F$1561)</f>
        <v/>
      </c>
      <c r="H1118" s="8" t="inlineStr"/>
      <c r="I1118" s="9">
        <f>IF(D1118="Private",E1118,"")</f>
        <v/>
      </c>
      <c r="J1118" s="9">
        <f>IF(D1118="Private",F1118,"")</f>
        <v/>
      </c>
    </row>
    <row r="1119">
      <c r="A1119" s="8" t="inlineStr">
        <is>
          <t>Purdue University Northwest</t>
        </is>
      </c>
      <c r="B1119" s="8" t="inlineStr">
        <is>
          <t>Hammond</t>
        </is>
      </c>
      <c r="C1119" s="8" t="inlineStr">
        <is>
          <t>IN</t>
        </is>
      </c>
      <c r="D1119" s="8" t="inlineStr">
        <is>
          <t>Public</t>
        </is>
      </c>
      <c r="E1119" s="9" t="n">
        <v>9477</v>
      </c>
      <c r="F1119" s="9" t="n">
        <v>44672</v>
      </c>
      <c r="G1119" s="8">
        <f>RANK(F1119,$F$5:$F$1561)</f>
        <v/>
      </c>
      <c r="H1119" s="8" t="inlineStr"/>
      <c r="I1119" s="9">
        <f>IF(D1119="Private",E1119,"")</f>
        <v/>
      </c>
      <c r="J1119" s="9">
        <f>IF(D1119="Private",F1119,"")</f>
        <v/>
      </c>
    </row>
    <row r="1120">
      <c r="A1120" s="8" t="inlineStr">
        <is>
          <t>Northern Michigan University</t>
        </is>
      </c>
      <c r="B1120" s="8" t="inlineStr">
        <is>
          <t>Marquette</t>
        </is>
      </c>
      <c r="C1120" s="8" t="inlineStr">
        <is>
          <t>MI</t>
        </is>
      </c>
      <c r="D1120" s="8" t="inlineStr">
        <is>
          <t>Public</t>
        </is>
      </c>
      <c r="E1120" s="9" t="n">
        <v>16583</v>
      </c>
      <c r="F1120" s="9" t="n">
        <v>44658</v>
      </c>
      <c r="G1120" s="8">
        <f>RANK(F1120,$F$5:$F$1561)</f>
        <v/>
      </c>
      <c r="H1120" s="8" t="inlineStr"/>
      <c r="I1120" s="9">
        <f>IF(D1120="Private",E1120,"")</f>
        <v/>
      </c>
      <c r="J1120" s="9">
        <f>IF(D1120="Private",F1120,"")</f>
        <v/>
      </c>
    </row>
    <row r="1121">
      <c r="A1121" s="8" t="inlineStr">
        <is>
          <t>Warner University</t>
        </is>
      </c>
      <c r="B1121" s="8" t="inlineStr">
        <is>
          <t>Lake Wales</t>
        </is>
      </c>
      <c r="C1121" s="8" t="inlineStr">
        <is>
          <t>FL</t>
        </is>
      </c>
      <c r="D1121" s="8" t="inlineStr">
        <is>
          <t>Private</t>
        </is>
      </c>
      <c r="E1121" s="9" t="n">
        <v>20162</v>
      </c>
      <c r="F1121" s="9" t="n">
        <v>44658</v>
      </c>
      <c r="G1121" s="8">
        <f>RANK(F1121,$F$5:$F$1561)</f>
        <v/>
      </c>
      <c r="H1121" s="8" t="inlineStr"/>
      <c r="I1121" s="9">
        <f>IF(D1121="Private",E1121,"")</f>
        <v/>
      </c>
      <c r="J1121" s="9">
        <f>IF(D1121="Private",F1121,"")</f>
        <v/>
      </c>
    </row>
    <row r="1122">
      <c r="A1122" s="8" t="inlineStr">
        <is>
          <t>Columbia College</t>
        </is>
      </c>
      <c r="B1122" s="8" t="inlineStr">
        <is>
          <t>Columbia</t>
        </is>
      </c>
      <c r="C1122" s="8" t="inlineStr">
        <is>
          <t>MO</t>
        </is>
      </c>
      <c r="D1122" s="8" t="inlineStr">
        <is>
          <t>Private</t>
        </is>
      </c>
      <c r="E1122" s="9" t="n">
        <v>25826</v>
      </c>
      <c r="F1122" s="9" t="n">
        <v>44642</v>
      </c>
      <c r="G1122" s="8">
        <f>RANK(F1122,$F$5:$F$1561)</f>
        <v/>
      </c>
      <c r="H1122" s="8" t="inlineStr"/>
      <c r="I1122" s="9">
        <f>IF(D1122="Private",E1122,"")</f>
        <v/>
      </c>
      <c r="J1122" s="9">
        <f>IF(D1122="Private",F1122,"")</f>
        <v/>
      </c>
    </row>
    <row r="1123">
      <c r="A1123" s="8" t="inlineStr">
        <is>
          <t>University of South Carolina Beaufort</t>
        </is>
      </c>
      <c r="B1123" s="8" t="inlineStr">
        <is>
          <t>Bluffton</t>
        </is>
      </c>
      <c r="C1123" s="8" t="inlineStr">
        <is>
          <t>SC</t>
        </is>
      </c>
      <c r="D1123" s="8" t="inlineStr">
        <is>
          <t>Public</t>
        </is>
      </c>
      <c r="E1123" s="9" t="n">
        <v>15587</v>
      </c>
      <c r="F1123" s="9" t="n">
        <v>44630</v>
      </c>
      <c r="G1123" s="8">
        <f>RANK(F1123,$F$5:$F$1561)</f>
        <v/>
      </c>
      <c r="H1123" s="8" t="inlineStr"/>
      <c r="I1123" s="9">
        <f>IF(D1123="Private",E1123,"")</f>
        <v/>
      </c>
      <c r="J1123" s="9">
        <f>IF(D1123="Private",F1123,"")</f>
        <v/>
      </c>
    </row>
    <row r="1124">
      <c r="A1124" s="8" t="inlineStr">
        <is>
          <t>Hilbert College</t>
        </is>
      </c>
      <c r="B1124" s="8" t="inlineStr">
        <is>
          <t>Hamburg</t>
        </is>
      </c>
      <c r="C1124" s="8" t="inlineStr">
        <is>
          <t>NY</t>
        </is>
      </c>
      <c r="D1124" s="8" t="inlineStr">
        <is>
          <t>Private</t>
        </is>
      </c>
      <c r="E1124" s="9" t="n">
        <v>17195</v>
      </c>
      <c r="F1124" s="9" t="n">
        <v>44617</v>
      </c>
      <c r="G1124" s="8">
        <f>RANK(F1124,$F$5:$F$1561)</f>
        <v/>
      </c>
      <c r="H1124" s="8" t="inlineStr"/>
      <c r="I1124" s="9">
        <f>IF(D1124="Private",E1124,"")</f>
        <v/>
      </c>
      <c r="J1124" s="9">
        <f>IF(D1124="Private",F1124,"")</f>
        <v/>
      </c>
    </row>
    <row r="1125">
      <c r="A1125" s="8" t="inlineStr">
        <is>
          <t>Southeastern Oklahoma State University</t>
        </is>
      </c>
      <c r="B1125" s="8" t="inlineStr">
        <is>
          <t>Durant</t>
        </is>
      </c>
      <c r="C1125" s="8" t="inlineStr">
        <is>
          <t>OK</t>
        </is>
      </c>
      <c r="D1125" s="8" t="inlineStr">
        <is>
          <t>Public</t>
        </is>
      </c>
      <c r="E1125" s="9" t="n">
        <v>10426</v>
      </c>
      <c r="F1125" s="9" t="n">
        <v>44617</v>
      </c>
      <c r="G1125" s="8">
        <f>RANK(F1125,$F$5:$F$1561)</f>
        <v/>
      </c>
      <c r="H1125" s="8" t="inlineStr"/>
      <c r="I1125" s="9">
        <f>IF(D1125="Private",E1125,"")</f>
        <v/>
      </c>
      <c r="J1125" s="9">
        <f>IF(D1125="Private",F1125,"")</f>
        <v/>
      </c>
    </row>
    <row r="1126">
      <c r="A1126" s="8" t="inlineStr">
        <is>
          <t>Fort Hays State University</t>
        </is>
      </c>
      <c r="B1126" s="8" t="inlineStr">
        <is>
          <t>Hays</t>
        </is>
      </c>
      <c r="C1126" s="8" t="inlineStr">
        <is>
          <t>KS</t>
        </is>
      </c>
      <c r="D1126" s="8" t="inlineStr">
        <is>
          <t>Public</t>
        </is>
      </c>
      <c r="E1126" s="9" t="n">
        <v>13515</v>
      </c>
      <c r="F1126" s="9" t="n">
        <v>44617</v>
      </c>
      <c r="G1126" s="8">
        <f>RANK(F1126,$F$5:$F$1561)</f>
        <v/>
      </c>
      <c r="H1126" s="8" t="inlineStr"/>
      <c r="I1126" s="9">
        <f>IF(D1126="Private",E1126,"")</f>
        <v/>
      </c>
      <c r="J1126" s="9">
        <f>IF(D1126="Private",F1126,"")</f>
        <v/>
      </c>
    </row>
    <row r="1127">
      <c r="A1127" s="8" t="inlineStr">
        <is>
          <t>Point Park University</t>
        </is>
      </c>
      <c r="B1127" s="8" t="inlineStr">
        <is>
          <t>Pittsburgh</t>
        </is>
      </c>
      <c r="C1127" s="8" t="inlineStr">
        <is>
          <t>PA</t>
        </is>
      </c>
      <c r="D1127" s="8" t="inlineStr">
        <is>
          <t>Private</t>
        </is>
      </c>
      <c r="E1127" s="9" t="n">
        <v>24209</v>
      </c>
      <c r="F1127" s="9" t="n">
        <v>44613</v>
      </c>
      <c r="G1127" s="8">
        <f>RANK(F1127,$F$5:$F$1561)</f>
        <v/>
      </c>
      <c r="H1127" s="8" t="inlineStr"/>
      <c r="I1127" s="9">
        <f>IF(D1127="Private",E1127,"")</f>
        <v/>
      </c>
      <c r="J1127" s="9">
        <f>IF(D1127="Private",F1127,"")</f>
        <v/>
      </c>
    </row>
    <row r="1128">
      <c r="A1128" s="8" t="inlineStr">
        <is>
          <t>Lourdes University</t>
        </is>
      </c>
      <c r="B1128" s="8" t="inlineStr">
        <is>
          <t>Sylvania</t>
        </is>
      </c>
      <c r="C1128" s="8" t="inlineStr">
        <is>
          <t>OH</t>
        </is>
      </c>
      <c r="D1128" s="8" t="inlineStr">
        <is>
          <t>Private</t>
        </is>
      </c>
      <c r="E1128" s="9" t="n">
        <v>18800</v>
      </c>
      <c r="F1128" s="9" t="n">
        <v>44574</v>
      </c>
      <c r="G1128" s="8">
        <f>RANK(F1128,$F$5:$F$1561)</f>
        <v/>
      </c>
      <c r="H1128" s="8" t="inlineStr"/>
      <c r="I1128" s="9">
        <f>IF(D1128="Private",E1128,"")</f>
        <v/>
      </c>
      <c r="J1128" s="9">
        <f>IF(D1128="Private",F1128,"")</f>
        <v/>
      </c>
    </row>
    <row r="1129">
      <c r="A1129" s="8" t="inlineStr">
        <is>
          <t>Northwestern State University of Louisiana</t>
        </is>
      </c>
      <c r="B1129" s="8" t="inlineStr">
        <is>
          <t>Natchitoches</t>
        </is>
      </c>
      <c r="C1129" s="8" t="inlineStr">
        <is>
          <t>LA</t>
        </is>
      </c>
      <c r="D1129" s="8" t="inlineStr">
        <is>
          <t>Public</t>
        </is>
      </c>
      <c r="E1129" s="9" t="n">
        <v>14657</v>
      </c>
      <c r="F1129" s="9" t="n">
        <v>44550</v>
      </c>
      <c r="G1129" s="8">
        <f>RANK(F1129,$F$5:$F$1561)</f>
        <v/>
      </c>
      <c r="H1129" s="8" t="inlineStr"/>
      <c r="I1129" s="9">
        <f>IF(D1129="Private",E1129,"")</f>
        <v/>
      </c>
      <c r="J1129" s="9">
        <f>IF(D1129="Private",F1129,"")</f>
        <v/>
      </c>
    </row>
    <row r="1130">
      <c r="A1130" s="8" t="inlineStr">
        <is>
          <t>Georgia Southwestern State University</t>
        </is>
      </c>
      <c r="B1130" s="8" t="inlineStr">
        <is>
          <t>Americus</t>
        </is>
      </c>
      <c r="C1130" s="8" t="inlineStr">
        <is>
          <t>GA</t>
        </is>
      </c>
      <c r="D1130" s="8" t="inlineStr">
        <is>
          <t>Public</t>
        </is>
      </c>
      <c r="E1130" s="9" t="n">
        <v>12567</v>
      </c>
      <c r="F1130" s="9" t="n">
        <v>44541</v>
      </c>
      <c r="G1130" s="8">
        <f>RANK(F1130,$F$5:$F$1561)</f>
        <v/>
      </c>
      <c r="H1130" s="8" t="inlineStr"/>
      <c r="I1130" s="9">
        <f>IF(D1130="Private",E1130,"")</f>
        <v/>
      </c>
      <c r="J1130" s="9">
        <f>IF(D1130="Private",F1130,"")</f>
        <v/>
      </c>
    </row>
    <row r="1131">
      <c r="A1131" s="8" t="inlineStr">
        <is>
          <t>Indiana University-Northwest</t>
        </is>
      </c>
      <c r="B1131" s="8" t="inlineStr">
        <is>
          <t>Gary</t>
        </is>
      </c>
      <c r="C1131" s="8" t="inlineStr">
        <is>
          <t>IN</t>
        </is>
      </c>
      <c r="D1131" s="8" t="inlineStr">
        <is>
          <t>Public</t>
        </is>
      </c>
      <c r="E1131" s="9" t="n">
        <v>6666</v>
      </c>
      <c r="F1131" s="9" t="n">
        <v>44517</v>
      </c>
      <c r="G1131" s="8">
        <f>RANK(F1131,$F$5:$F$1561)</f>
        <v/>
      </c>
      <c r="H1131" s="8" t="inlineStr"/>
      <c r="I1131" s="9">
        <f>IF(D1131="Private",E1131,"")</f>
        <v/>
      </c>
      <c r="J1131" s="9">
        <f>IF(D1131="Private",F1131,"")</f>
        <v/>
      </c>
    </row>
    <row r="1132">
      <c r="A1132" s="8" t="inlineStr">
        <is>
          <t>Chaminade University of Honolulu</t>
        </is>
      </c>
      <c r="B1132" s="8" t="inlineStr">
        <is>
          <t>Honolulu</t>
        </is>
      </c>
      <c r="C1132" s="8" t="inlineStr">
        <is>
          <t>HI</t>
        </is>
      </c>
      <c r="D1132" s="8" t="inlineStr">
        <is>
          <t>Private</t>
        </is>
      </c>
      <c r="E1132" s="9" t="n">
        <v>27021</v>
      </c>
      <c r="F1132" s="9" t="n">
        <v>44509</v>
      </c>
      <c r="G1132" s="8">
        <f>RANK(F1132,$F$5:$F$1561)</f>
        <v/>
      </c>
      <c r="H1132" s="8" t="inlineStr"/>
      <c r="I1132" s="9">
        <f>IF(D1132="Private",E1132,"")</f>
        <v/>
      </c>
      <c r="J1132" s="9">
        <f>IF(D1132="Private",F1132,"")</f>
        <v/>
      </c>
    </row>
    <row r="1133">
      <c r="A1133" s="8" t="inlineStr">
        <is>
          <t>University of Louisiana at Monroe</t>
        </is>
      </c>
      <c r="B1133" s="8" t="inlineStr">
        <is>
          <t>Monroe</t>
        </is>
      </c>
      <c r="C1133" s="8" t="inlineStr">
        <is>
          <t>LA</t>
        </is>
      </c>
      <c r="D1133" s="8" t="inlineStr">
        <is>
          <t>Public</t>
        </is>
      </c>
      <c r="E1133" s="9" t="n">
        <v>10950</v>
      </c>
      <c r="F1133" s="9" t="n">
        <v>44507</v>
      </c>
      <c r="G1133" s="8">
        <f>RANK(F1133,$F$5:$F$1561)</f>
        <v/>
      </c>
      <c r="H1133" s="8" t="inlineStr"/>
      <c r="I1133" s="9">
        <f>IF(D1133="Private",E1133,"")</f>
        <v/>
      </c>
      <c r="J1133" s="9">
        <f>IF(D1133="Private",F1133,"")</f>
        <v/>
      </c>
    </row>
    <row r="1134">
      <c r="A1134" s="8" t="inlineStr">
        <is>
          <t>North Carolina Wesleyan University</t>
        </is>
      </c>
      <c r="B1134" s="8" t="inlineStr">
        <is>
          <t>Rocky Mount</t>
        </is>
      </c>
      <c r="C1134" s="8" t="inlineStr">
        <is>
          <t>NC</t>
        </is>
      </c>
      <c r="D1134" s="8" t="inlineStr">
        <is>
          <t>Private</t>
        </is>
      </c>
      <c r="E1134" s="9" t="n">
        <v>18119</v>
      </c>
      <c r="F1134" s="9" t="n">
        <v>44504</v>
      </c>
      <c r="G1134" s="8">
        <f>RANK(F1134,$F$5:$F$1561)</f>
        <v/>
      </c>
      <c r="H1134" s="8" t="inlineStr"/>
      <c r="I1134" s="9">
        <f>IF(D1134="Private",E1134,"")</f>
        <v/>
      </c>
      <c r="J1134" s="9">
        <f>IF(D1134="Private",F1134,"")</f>
        <v/>
      </c>
    </row>
    <row r="1135">
      <c r="A1135" s="8" t="inlineStr">
        <is>
          <t>Alliance University</t>
        </is>
      </c>
      <c r="B1135" s="8" t="inlineStr">
        <is>
          <t>New York</t>
        </is>
      </c>
      <c r="C1135" s="8" t="inlineStr">
        <is>
          <t>NY</t>
        </is>
      </c>
      <c r="D1135" s="8" t="inlineStr">
        <is>
          <t>Private</t>
        </is>
      </c>
      <c r="E1135" s="9" t="n">
        <v>22414</v>
      </c>
      <c r="F1135" s="9" t="n">
        <v>44503</v>
      </c>
      <c r="G1135" s="8">
        <f>RANK(F1135,$F$5:$F$1561)</f>
        <v/>
      </c>
      <c r="H1135" s="8" t="inlineStr"/>
      <c r="I1135" s="9">
        <f>IF(D1135="Private",E1135,"")</f>
        <v/>
      </c>
      <c r="J1135" s="9">
        <f>IF(D1135="Private",F1135,"")</f>
        <v/>
      </c>
    </row>
    <row r="1136">
      <c r="A1136" s="8" t="inlineStr">
        <is>
          <t>Northern State University</t>
        </is>
      </c>
      <c r="B1136" s="8" t="inlineStr">
        <is>
          <t>Aberdeen</t>
        </is>
      </c>
      <c r="C1136" s="8" t="inlineStr">
        <is>
          <t>SD</t>
        </is>
      </c>
      <c r="D1136" s="8" t="inlineStr">
        <is>
          <t>Public</t>
        </is>
      </c>
      <c r="E1136" s="9" t="n">
        <v>16810</v>
      </c>
      <c r="F1136" s="9" t="n">
        <v>44493</v>
      </c>
      <c r="G1136" s="8">
        <f>RANK(F1136,$F$5:$F$1561)</f>
        <v/>
      </c>
      <c r="H1136" s="8" t="inlineStr"/>
      <c r="I1136" s="9">
        <f>IF(D1136="Private",E1136,"")</f>
        <v/>
      </c>
      <c r="J1136" s="9">
        <f>IF(D1136="Private",F1136,"")</f>
        <v/>
      </c>
    </row>
    <row r="1137">
      <c r="A1137" s="8" t="inlineStr">
        <is>
          <t>Mount Marty University</t>
        </is>
      </c>
      <c r="B1137" s="8" t="inlineStr">
        <is>
          <t>Yankton</t>
        </is>
      </c>
      <c r="C1137" s="8" t="inlineStr">
        <is>
          <t>SD</t>
        </is>
      </c>
      <c r="D1137" s="8" t="inlineStr">
        <is>
          <t>Private</t>
        </is>
      </c>
      <c r="E1137" s="9" t="n">
        <v>20382</v>
      </c>
      <c r="F1137" s="9" t="n">
        <v>44448</v>
      </c>
      <c r="G1137" s="8">
        <f>RANK(F1137,$F$5:$F$1561)</f>
        <v/>
      </c>
      <c r="H1137" s="8" t="inlineStr"/>
      <c r="I1137" s="9">
        <f>IF(D1137="Private",E1137,"")</f>
        <v/>
      </c>
      <c r="J1137" s="9">
        <f>IF(D1137="Private",F1137,"")</f>
        <v/>
      </c>
    </row>
    <row r="1138">
      <c r="A1138" s="8" t="inlineStr">
        <is>
          <t>North Carolina A &amp; T State University</t>
        </is>
      </c>
      <c r="B1138" s="8" t="inlineStr">
        <is>
          <t>Greensboro</t>
        </is>
      </c>
      <c r="C1138" s="8" t="inlineStr">
        <is>
          <t>NC</t>
        </is>
      </c>
      <c r="D1138" s="8" t="inlineStr">
        <is>
          <t>Public</t>
        </is>
      </c>
      <c r="E1138" s="9" t="n">
        <v>10413</v>
      </c>
      <c r="F1138" s="9" t="n">
        <v>44390</v>
      </c>
      <c r="G1138" s="8">
        <f>RANK(F1138,$F$5:$F$1561)</f>
        <v/>
      </c>
      <c r="H1138" s="8" t="inlineStr"/>
      <c r="I1138" s="9">
        <f>IF(D1138="Private",E1138,"")</f>
        <v/>
      </c>
      <c r="J1138" s="9">
        <f>IF(D1138="Private",F1138,"")</f>
        <v/>
      </c>
    </row>
    <row r="1139">
      <c r="A1139" s="8" t="inlineStr">
        <is>
          <t>Milligan University</t>
        </is>
      </c>
      <c r="B1139" s="8" t="inlineStr">
        <is>
          <t>Milligan</t>
        </is>
      </c>
      <c r="C1139" s="8" t="inlineStr">
        <is>
          <t>TN</t>
        </is>
      </c>
      <c r="D1139" s="8" t="inlineStr">
        <is>
          <t>Private</t>
        </is>
      </c>
      <c r="E1139" s="9" t="n">
        <v>21913</v>
      </c>
      <c r="F1139" s="9" t="n">
        <v>44385</v>
      </c>
      <c r="G1139" s="8">
        <f>RANK(F1139,$F$5:$F$1561)</f>
        <v/>
      </c>
      <c r="H1139" s="8" t="inlineStr"/>
      <c r="I1139" s="9">
        <f>IF(D1139="Private",E1139,"")</f>
        <v/>
      </c>
      <c r="J1139" s="9">
        <f>IF(D1139="Private",F1139,"")</f>
        <v/>
      </c>
    </row>
    <row r="1140">
      <c r="A1140" s="8" t="inlineStr">
        <is>
          <t>Indiana University-Southeast</t>
        </is>
      </c>
      <c r="B1140" s="8" t="inlineStr">
        <is>
          <t>New Albany</t>
        </is>
      </c>
      <c r="C1140" s="8" t="inlineStr">
        <is>
          <t>IN</t>
        </is>
      </c>
      <c r="D1140" s="8" t="inlineStr">
        <is>
          <t>Public</t>
        </is>
      </c>
      <c r="E1140" s="9" t="n">
        <v>6914</v>
      </c>
      <c r="F1140" s="9" t="n">
        <v>44383</v>
      </c>
      <c r="G1140" s="8">
        <f>RANK(F1140,$F$5:$F$1561)</f>
        <v/>
      </c>
      <c r="H1140" s="8" t="inlineStr"/>
      <c r="I1140" s="9">
        <f>IF(D1140="Private",E1140,"")</f>
        <v/>
      </c>
      <c r="J1140" s="9">
        <f>IF(D1140="Private",F1140,"")</f>
        <v/>
      </c>
    </row>
    <row r="1141">
      <c r="A1141" s="8" t="inlineStr">
        <is>
          <t>Purdue University Fort Wayne</t>
        </is>
      </c>
      <c r="B1141" s="8" t="inlineStr">
        <is>
          <t>Fort Wayne</t>
        </is>
      </c>
      <c r="C1141" s="8" t="inlineStr">
        <is>
          <t>IN</t>
        </is>
      </c>
      <c r="D1141" s="8" t="inlineStr">
        <is>
          <t>Public</t>
        </is>
      </c>
      <c r="E1141" s="9" t="n">
        <v>10455</v>
      </c>
      <c r="F1141" s="9" t="n">
        <v>44374</v>
      </c>
      <c r="G1141" s="8">
        <f>RANK(F1141,$F$5:$F$1561)</f>
        <v/>
      </c>
      <c r="H1141" s="8" t="inlineStr"/>
      <c r="I1141" s="9">
        <f>IF(D1141="Private",E1141,"")</f>
        <v/>
      </c>
      <c r="J1141" s="9">
        <f>IF(D1141="Private",F1141,"")</f>
        <v/>
      </c>
    </row>
    <row r="1142">
      <c r="A1142" s="8" t="inlineStr">
        <is>
          <t>Oklahoma Baptist University</t>
        </is>
      </c>
      <c r="B1142" s="8" t="inlineStr">
        <is>
          <t>Shawnee</t>
        </is>
      </c>
      <c r="C1142" s="8" t="inlineStr">
        <is>
          <t>OK</t>
        </is>
      </c>
      <c r="D1142" s="8" t="inlineStr">
        <is>
          <t>Private</t>
        </is>
      </c>
      <c r="E1142" s="9" t="n">
        <v>20564</v>
      </c>
      <c r="F1142" s="9" t="n">
        <v>44360</v>
      </c>
      <c r="G1142" s="8">
        <f>RANK(F1142,$F$5:$F$1561)</f>
        <v/>
      </c>
      <c r="H1142" s="8" t="inlineStr"/>
      <c r="I1142" s="9">
        <f>IF(D1142="Private",E1142,"")</f>
        <v/>
      </c>
      <c r="J1142" s="9">
        <f>IF(D1142="Private",F1142,"")</f>
        <v/>
      </c>
    </row>
    <row r="1143">
      <c r="A1143" s="8" t="inlineStr">
        <is>
          <t>Lewis-Clark State College</t>
        </is>
      </c>
      <c r="B1143" s="8" t="inlineStr">
        <is>
          <t>Lewiston</t>
        </is>
      </c>
      <c r="C1143" s="8" t="inlineStr">
        <is>
          <t>ID</t>
        </is>
      </c>
      <c r="D1143" s="8" t="inlineStr">
        <is>
          <t>Public</t>
        </is>
      </c>
      <c r="E1143" s="9" t="n">
        <v>12962</v>
      </c>
      <c r="F1143" s="9" t="n">
        <v>44343</v>
      </c>
      <c r="G1143" s="8">
        <f>RANK(F1143,$F$5:$F$1561)</f>
        <v/>
      </c>
      <c r="H1143" s="8" t="inlineStr"/>
      <c r="I1143" s="9">
        <f>IF(D1143="Private",E1143,"")</f>
        <v/>
      </c>
      <c r="J1143" s="9">
        <f>IF(D1143="Private",F1143,"")</f>
        <v/>
      </c>
    </row>
    <row r="1144">
      <c r="A1144" s="8" t="inlineStr">
        <is>
          <t>Northern Vermont University</t>
        </is>
      </c>
      <c r="B1144" s="8" t="inlineStr">
        <is>
          <t>Johnson</t>
        </is>
      </c>
      <c r="C1144" s="8" t="inlineStr">
        <is>
          <t>VT</t>
        </is>
      </c>
      <c r="D1144" s="8" t="inlineStr">
        <is>
          <t>Public</t>
        </is>
      </c>
      <c r="E1144" s="9" t="n">
        <v>15580</v>
      </c>
      <c r="F1144" s="9" t="n">
        <v>44323</v>
      </c>
      <c r="G1144" s="8">
        <f>RANK(F1144,$F$5:$F$1561)</f>
        <v/>
      </c>
      <c r="H1144" s="8" t="inlineStr"/>
      <c r="I1144" s="9">
        <f>IF(D1144="Private",E1144,"")</f>
        <v/>
      </c>
      <c r="J1144" s="9">
        <f>IF(D1144="Private",F1144,"")</f>
        <v/>
      </c>
    </row>
    <row r="1145">
      <c r="A1145" s="8" t="inlineStr">
        <is>
          <t>Salem College</t>
        </is>
      </c>
      <c r="B1145" s="8" t="inlineStr">
        <is>
          <t>Winston-Salem</t>
        </is>
      </c>
      <c r="C1145" s="8" t="inlineStr">
        <is>
          <t>NC</t>
        </is>
      </c>
      <c r="D1145" s="8" t="inlineStr">
        <is>
          <t>Private</t>
        </is>
      </c>
      <c r="E1145" s="9" t="n">
        <v>10492</v>
      </c>
      <c r="F1145" s="9" t="n">
        <v>44315</v>
      </c>
      <c r="G1145" s="8">
        <f>RANK(F1145,$F$5:$F$1561)</f>
        <v/>
      </c>
      <c r="H1145" s="8" t="inlineStr"/>
      <c r="I1145" s="9">
        <f>IF(D1145="Private",E1145,"")</f>
        <v/>
      </c>
      <c r="J1145" s="9">
        <f>IF(D1145="Private",F1145,"")</f>
        <v/>
      </c>
    </row>
    <row r="1146">
      <c r="A1146" s="8" t="inlineStr">
        <is>
          <t>Oral Roberts University</t>
        </is>
      </c>
      <c r="B1146" s="8" t="inlineStr">
        <is>
          <t>Tulsa</t>
        </is>
      </c>
      <c r="C1146" s="8" t="inlineStr">
        <is>
          <t>OK</t>
        </is>
      </c>
      <c r="D1146" s="8" t="inlineStr">
        <is>
          <t>Private</t>
        </is>
      </c>
      <c r="E1146" s="9" t="n">
        <v>23385</v>
      </c>
      <c r="F1146" s="9" t="n">
        <v>44293</v>
      </c>
      <c r="G1146" s="8">
        <f>RANK(F1146,$F$5:$F$1561)</f>
        <v/>
      </c>
      <c r="H1146" s="8" t="inlineStr"/>
      <c r="I1146" s="9">
        <f>IF(D1146="Private",E1146,"")</f>
        <v/>
      </c>
      <c r="J1146" s="9">
        <f>IF(D1146="Private",F1146,"")</f>
        <v/>
      </c>
    </row>
    <row r="1147">
      <c r="A1147" s="8" t="inlineStr">
        <is>
          <t>Reinhardt University</t>
        </is>
      </c>
      <c r="B1147" s="8" t="inlineStr">
        <is>
          <t>Waleska</t>
        </is>
      </c>
      <c r="C1147" s="8" t="inlineStr">
        <is>
          <t>GA</t>
        </is>
      </c>
      <c r="D1147" s="8" t="inlineStr">
        <is>
          <t>Private</t>
        </is>
      </c>
      <c r="E1147" s="9" t="n">
        <v>23843</v>
      </c>
      <c r="F1147" s="9" t="n">
        <v>44242</v>
      </c>
      <c r="G1147" s="8">
        <f>RANK(F1147,$F$5:$F$1561)</f>
        <v/>
      </c>
      <c r="H1147" s="8" t="inlineStr"/>
      <c r="I1147" s="9">
        <f>IF(D1147="Private",E1147,"")</f>
        <v/>
      </c>
      <c r="J1147" s="9">
        <f>IF(D1147="Private",F1147,"")</f>
        <v/>
      </c>
    </row>
    <row r="1148">
      <c r="A1148" s="8" t="inlineStr">
        <is>
          <t>Thomas University</t>
        </is>
      </c>
      <c r="B1148" s="8" t="inlineStr">
        <is>
          <t>Thomasville</t>
        </is>
      </c>
      <c r="C1148" s="8" t="inlineStr">
        <is>
          <t>GA</t>
        </is>
      </c>
      <c r="D1148" s="8" t="inlineStr">
        <is>
          <t>Private</t>
        </is>
      </c>
      <c r="E1148" s="9" t="n">
        <v>22759</v>
      </c>
      <c r="F1148" s="9" t="n">
        <v>44231</v>
      </c>
      <c r="G1148" s="8">
        <f>RANK(F1148,$F$5:$F$1561)</f>
        <v/>
      </c>
      <c r="H1148" s="8" t="inlineStr"/>
      <c r="I1148" s="9">
        <f>IF(D1148="Private",E1148,"")</f>
        <v/>
      </c>
      <c r="J1148" s="9">
        <f>IF(D1148="Private",F1148,"")</f>
        <v/>
      </c>
    </row>
    <row r="1149">
      <c r="A1149" s="8" t="inlineStr">
        <is>
          <t>University of Southern Indiana</t>
        </is>
      </c>
      <c r="B1149" s="8" t="inlineStr">
        <is>
          <t>Evansville</t>
        </is>
      </c>
      <c r="C1149" s="8" t="inlineStr">
        <is>
          <t>IN</t>
        </is>
      </c>
      <c r="D1149" s="8" t="inlineStr">
        <is>
          <t>Public</t>
        </is>
      </c>
      <c r="E1149" s="9" t="n">
        <v>14611</v>
      </c>
      <c r="F1149" s="9" t="n">
        <v>44224</v>
      </c>
      <c r="G1149" s="8">
        <f>RANK(F1149,$F$5:$F$1561)</f>
        <v/>
      </c>
      <c r="H1149" s="8" t="inlineStr"/>
      <c r="I1149" s="9">
        <f>IF(D1149="Private",E1149,"")</f>
        <v/>
      </c>
      <c r="J1149" s="9">
        <f>IF(D1149="Private",F1149,"")</f>
        <v/>
      </c>
    </row>
    <row r="1150">
      <c r="A1150" s="8" t="inlineStr">
        <is>
          <t>Louisiana Christian University</t>
        </is>
      </c>
      <c r="B1150" s="8" t="inlineStr">
        <is>
          <t>Pineville</t>
        </is>
      </c>
      <c r="C1150" s="8" t="inlineStr">
        <is>
          <t>LA</t>
        </is>
      </c>
      <c r="D1150" s="8" t="inlineStr">
        <is>
          <t>Private</t>
        </is>
      </c>
      <c r="E1150" s="9" t="n">
        <v>15351</v>
      </c>
      <c r="F1150" s="9" t="n">
        <v>44199</v>
      </c>
      <c r="G1150" s="8">
        <f>RANK(F1150,$F$5:$F$1561)</f>
        <v/>
      </c>
      <c r="H1150" s="8" t="inlineStr"/>
      <c r="I1150" s="9">
        <f>IF(D1150="Private",E1150,"")</f>
        <v/>
      </c>
      <c r="J1150" s="9">
        <f>IF(D1150="Private",F1150,"")</f>
        <v/>
      </c>
    </row>
    <row r="1151">
      <c r="A1151" s="8" t="inlineStr">
        <is>
          <t>Greenville University</t>
        </is>
      </c>
      <c r="B1151" s="8" t="inlineStr">
        <is>
          <t>Greenville</t>
        </is>
      </c>
      <c r="C1151" s="8" t="inlineStr">
        <is>
          <t>IL</t>
        </is>
      </c>
      <c r="D1151" s="8" t="inlineStr">
        <is>
          <t>Private</t>
        </is>
      </c>
      <c r="E1151" s="9" t="n">
        <v>21222</v>
      </c>
      <c r="F1151" s="9" t="n">
        <v>44195</v>
      </c>
      <c r="G1151" s="8">
        <f>RANK(F1151,$F$5:$F$1561)</f>
        <v/>
      </c>
      <c r="H1151" s="8" t="inlineStr"/>
      <c r="I1151" s="9">
        <f>IF(D1151="Private",E1151,"")</f>
        <v/>
      </c>
      <c r="J1151" s="9">
        <f>IF(D1151="Private",F1151,"")</f>
        <v/>
      </c>
    </row>
    <row r="1152">
      <c r="A1152" s="8" t="inlineStr">
        <is>
          <t>Regent University</t>
        </is>
      </c>
      <c r="B1152" s="8" t="inlineStr">
        <is>
          <t>Virginia Beach</t>
        </is>
      </c>
      <c r="C1152" s="8" t="inlineStr">
        <is>
          <t>VA</t>
        </is>
      </c>
      <c r="D1152" s="8" t="inlineStr">
        <is>
          <t>Private</t>
        </is>
      </c>
      <c r="E1152" s="9" t="n">
        <v>17120</v>
      </c>
      <c r="F1152" s="9" t="n">
        <v>44160</v>
      </c>
      <c r="G1152" s="8">
        <f>RANK(F1152,$F$5:$F$1561)</f>
        <v/>
      </c>
      <c r="H1152" s="8" t="inlineStr"/>
      <c r="I1152" s="9">
        <f>IF(D1152="Private",E1152,"")</f>
        <v/>
      </c>
      <c r="J1152" s="9">
        <f>IF(D1152="Private",F1152,"")</f>
        <v/>
      </c>
    </row>
    <row r="1153">
      <c r="A1153" s="8" t="inlineStr">
        <is>
          <t>Bethel University</t>
        </is>
      </c>
      <c r="B1153" s="8" t="inlineStr">
        <is>
          <t>McKenzie</t>
        </is>
      </c>
      <c r="C1153" s="8" t="inlineStr">
        <is>
          <t>TN</t>
        </is>
      </c>
      <c r="D1153" s="8" t="inlineStr">
        <is>
          <t>Private</t>
        </is>
      </c>
      <c r="E1153" s="9" t="n">
        <v>16668</v>
      </c>
      <c r="F1153" s="9" t="n">
        <v>44136</v>
      </c>
      <c r="G1153" s="8">
        <f>RANK(F1153,$F$5:$F$1561)</f>
        <v/>
      </c>
      <c r="H1153" s="8" t="inlineStr"/>
      <c r="I1153" s="9">
        <f>IF(D1153="Private",E1153,"")</f>
        <v/>
      </c>
      <c r="J1153" s="9">
        <f>IF(D1153="Private",F1153,"")</f>
        <v/>
      </c>
    </row>
    <row r="1154">
      <c r="A1154" s="8" t="inlineStr">
        <is>
          <t>William Peace University</t>
        </is>
      </c>
      <c r="B1154" s="8" t="inlineStr">
        <is>
          <t>Raleigh</t>
        </is>
      </c>
      <c r="C1154" s="8" t="inlineStr">
        <is>
          <t>NC</t>
        </is>
      </c>
      <c r="D1154" s="8" t="inlineStr">
        <is>
          <t>Private</t>
        </is>
      </c>
      <c r="E1154" s="9" t="n">
        <v>24107</v>
      </c>
      <c r="F1154" s="9" t="n">
        <v>44061</v>
      </c>
      <c r="G1154" s="8">
        <f>RANK(F1154,$F$5:$F$1561)</f>
        <v/>
      </c>
      <c r="H1154" s="8" t="inlineStr"/>
      <c r="I1154" s="9">
        <f>IF(D1154="Private",E1154,"")</f>
        <v/>
      </c>
      <c r="J1154" s="9">
        <f>IF(D1154="Private",F1154,"")</f>
        <v/>
      </c>
    </row>
    <row r="1155">
      <c r="A1155" s="8" t="inlineStr">
        <is>
          <t>Columbia Basin College</t>
        </is>
      </c>
      <c r="B1155" s="8" t="inlineStr">
        <is>
          <t>Pasco</t>
        </is>
      </c>
      <c r="C1155" s="8" t="inlineStr">
        <is>
          <t>WA</t>
        </is>
      </c>
      <c r="D1155" s="8" t="inlineStr">
        <is>
          <t>Public</t>
        </is>
      </c>
      <c r="E1155" s="9" t="n">
        <v>8759</v>
      </c>
      <c r="F1155" s="9" t="n">
        <v>44022</v>
      </c>
      <c r="G1155" s="8">
        <f>RANK(F1155,$F$5:$F$1561)</f>
        <v/>
      </c>
      <c r="H1155" s="8" t="inlineStr"/>
      <c r="I1155" s="9">
        <f>IF(D1155="Private",E1155,"")</f>
        <v/>
      </c>
      <c r="J1155" s="9">
        <f>IF(D1155="Private",F1155,"")</f>
        <v/>
      </c>
    </row>
    <row r="1156">
      <c r="A1156" s="8" t="inlineStr">
        <is>
          <t>Arizona Christian University</t>
        </is>
      </c>
      <c r="B1156" s="8" t="inlineStr">
        <is>
          <t>Glendale</t>
        </is>
      </c>
      <c r="C1156" s="8" t="inlineStr">
        <is>
          <t>AZ</t>
        </is>
      </c>
      <c r="D1156" s="8" t="inlineStr">
        <is>
          <t>Private</t>
        </is>
      </c>
      <c r="E1156" s="9" t="n">
        <v>31546</v>
      </c>
      <c r="F1156" s="9" t="n">
        <v>44012</v>
      </c>
      <c r="G1156" s="8">
        <f>RANK(F1156,$F$5:$F$1561)</f>
        <v/>
      </c>
      <c r="H1156" s="8" t="inlineStr"/>
      <c r="I1156" s="9">
        <f>IF(D1156="Private",E1156,"")</f>
        <v/>
      </c>
      <c r="J1156" s="9">
        <f>IF(D1156="Private",F1156,"")</f>
        <v/>
      </c>
    </row>
    <row r="1157">
      <c r="A1157" s="8" t="inlineStr">
        <is>
          <t>Trinity International University-Illinois</t>
        </is>
      </c>
      <c r="B1157" s="8" t="inlineStr">
        <is>
          <t>Deerfield</t>
        </is>
      </c>
      <c r="C1157" s="8" t="inlineStr">
        <is>
          <t>IL</t>
        </is>
      </c>
      <c r="D1157" s="8" t="inlineStr">
        <is>
          <t>Private</t>
        </is>
      </c>
      <c r="E1157" s="9" t="n">
        <v>19979</v>
      </c>
      <c r="F1157" s="9" t="n">
        <v>44008</v>
      </c>
      <c r="G1157" s="8">
        <f>RANK(F1157,$F$5:$F$1561)</f>
        <v/>
      </c>
      <c r="H1157" s="8" t="inlineStr"/>
      <c r="I1157" s="9">
        <f>IF(D1157="Private",E1157,"")</f>
        <v/>
      </c>
      <c r="J1157" s="9">
        <f>IF(D1157="Private",F1157,"")</f>
        <v/>
      </c>
    </row>
    <row r="1158">
      <c r="A1158" s="8" t="inlineStr">
        <is>
          <t>McNeese State University</t>
        </is>
      </c>
      <c r="B1158" s="8" t="inlineStr">
        <is>
          <t>Lake Charles</t>
        </is>
      </c>
      <c r="C1158" s="8" t="inlineStr">
        <is>
          <t>LA</t>
        </is>
      </c>
      <c r="D1158" s="8" t="inlineStr">
        <is>
          <t>Public</t>
        </is>
      </c>
      <c r="E1158" s="9" t="n">
        <v>10161</v>
      </c>
      <c r="F1158" s="9" t="n">
        <v>43988</v>
      </c>
      <c r="G1158" s="8">
        <f>RANK(F1158,$F$5:$F$1561)</f>
        <v/>
      </c>
      <c r="H1158" s="8" t="inlineStr"/>
      <c r="I1158" s="9">
        <f>IF(D1158="Private",E1158,"")</f>
        <v/>
      </c>
      <c r="J1158" s="9">
        <f>IF(D1158="Private",F1158,"")</f>
        <v/>
      </c>
    </row>
    <row r="1159">
      <c r="A1159" s="8" t="inlineStr">
        <is>
          <t>Peru State College</t>
        </is>
      </c>
      <c r="B1159" s="8" t="inlineStr">
        <is>
          <t>Peru</t>
        </is>
      </c>
      <c r="C1159" s="8" t="inlineStr">
        <is>
          <t>NE</t>
        </is>
      </c>
      <c r="D1159" s="8" t="inlineStr">
        <is>
          <t>Public</t>
        </is>
      </c>
      <c r="E1159" s="9" t="n">
        <v>15652</v>
      </c>
      <c r="F1159" s="9" t="n">
        <v>43985</v>
      </c>
      <c r="G1159" s="8">
        <f>RANK(F1159,$F$5:$F$1561)</f>
        <v/>
      </c>
      <c r="H1159" s="8" t="inlineStr"/>
      <c r="I1159" s="9">
        <f>IF(D1159="Private",E1159,"")</f>
        <v/>
      </c>
      <c r="J1159" s="9">
        <f>IF(D1159="Private",F1159,"")</f>
        <v/>
      </c>
    </row>
    <row r="1160">
      <c r="A1160" s="8" t="inlineStr">
        <is>
          <t>The University of Montana</t>
        </is>
      </c>
      <c r="B1160" s="8" t="inlineStr">
        <is>
          <t>Missoula</t>
        </is>
      </c>
      <c r="C1160" s="8" t="inlineStr">
        <is>
          <t>MT</t>
        </is>
      </c>
      <c r="D1160" s="8" t="inlineStr">
        <is>
          <t>Public</t>
        </is>
      </c>
      <c r="E1160" s="9" t="n">
        <v>13799</v>
      </c>
      <c r="F1160" s="9" t="n">
        <v>43967</v>
      </c>
      <c r="G1160" s="8">
        <f>RANK(F1160,$F$5:$F$1561)</f>
        <v/>
      </c>
      <c r="H1160" s="8" t="inlineStr"/>
      <c r="I1160" s="9">
        <f>IF(D1160="Private",E1160,"")</f>
        <v/>
      </c>
      <c r="J1160" s="9">
        <f>IF(D1160="Private",F1160,"")</f>
        <v/>
      </c>
    </row>
    <row r="1161">
      <c r="A1161" s="8" t="inlineStr">
        <is>
          <t>Tuskegee University</t>
        </is>
      </c>
      <c r="B1161" s="8" t="inlineStr">
        <is>
          <t>Tuskegee</t>
        </is>
      </c>
      <c r="C1161" s="8" t="inlineStr">
        <is>
          <t>AL</t>
        </is>
      </c>
      <c r="D1161" s="8" t="inlineStr">
        <is>
          <t>Private</t>
        </is>
      </c>
      <c r="E1161" s="9" t="n">
        <v>34926</v>
      </c>
      <c r="F1161" s="9" t="n">
        <v>43878</v>
      </c>
      <c r="G1161" s="8">
        <f>RANK(F1161,$F$5:$F$1561)</f>
        <v/>
      </c>
      <c r="H1161" s="8" t="inlineStr"/>
      <c r="I1161" s="9">
        <f>IF(D1161="Private",E1161,"")</f>
        <v/>
      </c>
      <c r="J1161" s="9">
        <f>IF(D1161="Private",F1161,"")</f>
        <v/>
      </c>
    </row>
    <row r="1162">
      <c r="A1162" s="8" t="inlineStr">
        <is>
          <t>Carson-Newman University</t>
        </is>
      </c>
      <c r="B1162" s="8" t="inlineStr">
        <is>
          <t>Jefferson City</t>
        </is>
      </c>
      <c r="C1162" s="8" t="inlineStr">
        <is>
          <t>TN</t>
        </is>
      </c>
      <c r="D1162" s="8" t="inlineStr">
        <is>
          <t>Private</t>
        </is>
      </c>
      <c r="E1162" s="9" t="n">
        <v>17457</v>
      </c>
      <c r="F1162" s="9" t="n">
        <v>43846</v>
      </c>
      <c r="G1162" s="8">
        <f>RANK(F1162,$F$5:$F$1561)</f>
        <v/>
      </c>
      <c r="H1162" s="8" t="inlineStr"/>
      <c r="I1162" s="9">
        <f>IF(D1162="Private",E1162,"")</f>
        <v/>
      </c>
      <c r="J1162" s="9">
        <f>IF(D1162="Private",F1162,"")</f>
        <v/>
      </c>
    </row>
    <row r="1163">
      <c r="A1163" s="8" t="inlineStr">
        <is>
          <t>Southeastern Louisiana University</t>
        </is>
      </c>
      <c r="B1163" s="8" t="inlineStr">
        <is>
          <t>Hammond</t>
        </is>
      </c>
      <c r="C1163" s="8" t="inlineStr">
        <is>
          <t>LA</t>
        </is>
      </c>
      <c r="D1163" s="8" t="inlineStr">
        <is>
          <t>Public</t>
        </is>
      </c>
      <c r="E1163" s="9" t="n">
        <v>13269</v>
      </c>
      <c r="F1163" s="9" t="n">
        <v>43810</v>
      </c>
      <c r="G1163" s="8">
        <f>RANK(F1163,$F$5:$F$1561)</f>
        <v/>
      </c>
      <c r="H1163" s="8" t="inlineStr"/>
      <c r="I1163" s="9">
        <f>IF(D1163="Private",E1163,"")</f>
        <v/>
      </c>
      <c r="J1163" s="9">
        <f>IF(D1163="Private",F1163,"")</f>
        <v/>
      </c>
    </row>
    <row r="1164">
      <c r="A1164" s="8" t="inlineStr">
        <is>
          <t>William Woods University</t>
        </is>
      </c>
      <c r="B1164" s="8" t="inlineStr">
        <is>
          <t>Fulton</t>
        </is>
      </c>
      <c r="C1164" s="8" t="inlineStr">
        <is>
          <t>MO</t>
        </is>
      </c>
      <c r="D1164" s="8" t="inlineStr">
        <is>
          <t>Private</t>
        </is>
      </c>
      <c r="E1164" s="9" t="n">
        <v>23717</v>
      </c>
      <c r="F1164" s="9" t="n">
        <v>43767</v>
      </c>
      <c r="G1164" s="8">
        <f>RANK(F1164,$F$5:$F$1561)</f>
        <v/>
      </c>
      <c r="H1164" s="8" t="inlineStr"/>
      <c r="I1164" s="9">
        <f>IF(D1164="Private",E1164,"")</f>
        <v/>
      </c>
      <c r="J1164" s="9">
        <f>IF(D1164="Private",F1164,"")</f>
        <v/>
      </c>
    </row>
    <row r="1165">
      <c r="A1165" s="8" t="inlineStr">
        <is>
          <t>Bloomfield College</t>
        </is>
      </c>
      <c r="B1165" s="8" t="inlineStr">
        <is>
          <t>Bloomfield</t>
        </is>
      </c>
      <c r="C1165" s="8" t="inlineStr">
        <is>
          <t>NJ</t>
        </is>
      </c>
      <c r="D1165" s="8" t="inlineStr">
        <is>
          <t>Private</t>
        </is>
      </c>
      <c r="E1165" s="9" t="n">
        <v>21704</v>
      </c>
      <c r="F1165" s="9" t="n">
        <v>43765</v>
      </c>
      <c r="G1165" s="8">
        <f>RANK(F1165,$F$5:$F$1561)</f>
        <v/>
      </c>
      <c r="H1165" s="8" t="inlineStr"/>
      <c r="I1165" s="9">
        <f>IF(D1165="Private",E1165,"")</f>
        <v/>
      </c>
      <c r="J1165" s="9">
        <f>IF(D1165="Private",F1165,"")</f>
        <v/>
      </c>
    </row>
    <row r="1166">
      <c r="A1166" s="8" t="inlineStr">
        <is>
          <t>Chicago State University</t>
        </is>
      </c>
      <c r="B1166" s="8" t="inlineStr">
        <is>
          <t>Chicago</t>
        </is>
      </c>
      <c r="C1166" s="8" t="inlineStr">
        <is>
          <t>IL</t>
        </is>
      </c>
      <c r="D1166" s="8" t="inlineStr">
        <is>
          <t>Public</t>
        </is>
      </c>
      <c r="E1166" s="9" t="n">
        <v>8969</v>
      </c>
      <c r="F1166" s="9" t="n">
        <v>43759</v>
      </c>
      <c r="G1166" s="8">
        <f>RANK(F1166,$F$5:$F$1561)</f>
        <v/>
      </c>
      <c r="H1166" s="8" t="inlineStr"/>
      <c r="I1166" s="9">
        <f>IF(D1166="Private",E1166,"")</f>
        <v/>
      </c>
      <c r="J1166" s="9">
        <f>IF(D1166="Private",F1166,"")</f>
        <v/>
      </c>
    </row>
    <row r="1167">
      <c r="A1167" s="8" t="inlineStr">
        <is>
          <t>Auburn University at Montgomery</t>
        </is>
      </c>
      <c r="B1167" s="8" t="inlineStr">
        <is>
          <t>Montgomery</t>
        </is>
      </c>
      <c r="C1167" s="8" t="inlineStr">
        <is>
          <t>AL</t>
        </is>
      </c>
      <c r="D1167" s="8" t="inlineStr">
        <is>
          <t>Public</t>
        </is>
      </c>
      <c r="E1167" s="9" t="n">
        <v>13689</v>
      </c>
      <c r="F1167" s="9" t="n">
        <v>43743</v>
      </c>
      <c r="G1167" s="8">
        <f>RANK(F1167,$F$5:$F$1561)</f>
        <v/>
      </c>
      <c r="H1167" s="8" t="inlineStr"/>
      <c r="I1167" s="9">
        <f>IF(D1167="Private",E1167,"")</f>
        <v/>
      </c>
      <c r="J1167" s="9">
        <f>IF(D1167="Private",F1167,"")</f>
        <v/>
      </c>
    </row>
    <row r="1168">
      <c r="A1168" s="8" t="inlineStr">
        <is>
          <t>Paul Smiths College of Arts and Science</t>
        </is>
      </c>
      <c r="B1168" s="8" t="inlineStr">
        <is>
          <t>Paul Smiths</t>
        </is>
      </c>
      <c r="C1168" s="8" t="inlineStr">
        <is>
          <t>NY</t>
        </is>
      </c>
      <c r="D1168" s="8" t="inlineStr">
        <is>
          <t>Private</t>
        </is>
      </c>
      <c r="E1168" s="9" t="n">
        <v>24992</v>
      </c>
      <c r="F1168" s="9" t="n">
        <v>43728</v>
      </c>
      <c r="G1168" s="8">
        <f>RANK(F1168,$F$5:$F$1561)</f>
        <v/>
      </c>
      <c r="H1168" s="8" t="inlineStr"/>
      <c r="I1168" s="9">
        <f>IF(D1168="Private",E1168,"")</f>
        <v/>
      </c>
      <c r="J1168" s="9">
        <f>IF(D1168="Private",F1168,"")</f>
        <v/>
      </c>
    </row>
    <row r="1169">
      <c r="A1169" s="8" t="inlineStr">
        <is>
          <t>University of Central Arkansas</t>
        </is>
      </c>
      <c r="B1169" s="8" t="inlineStr">
        <is>
          <t>Conway</t>
        </is>
      </c>
      <c r="C1169" s="8" t="inlineStr">
        <is>
          <t>AR</t>
        </is>
      </c>
      <c r="D1169" s="8" t="inlineStr">
        <is>
          <t>Public</t>
        </is>
      </c>
      <c r="E1169" s="9" t="n">
        <v>14735</v>
      </c>
      <c r="F1169" s="9" t="n">
        <v>43712</v>
      </c>
      <c r="G1169" s="8">
        <f>RANK(F1169,$F$5:$F$1561)</f>
        <v/>
      </c>
      <c r="H1169" s="8" t="inlineStr"/>
      <c r="I1169" s="9">
        <f>IF(D1169="Private",E1169,"")</f>
        <v/>
      </c>
      <c r="J1169" s="9">
        <f>IF(D1169="Private",F1169,"")</f>
        <v/>
      </c>
    </row>
    <row r="1170">
      <c r="A1170" s="8" t="inlineStr">
        <is>
          <t>Catawba College</t>
        </is>
      </c>
      <c r="B1170" s="8" t="inlineStr">
        <is>
          <t>Salisbury</t>
        </is>
      </c>
      <c r="C1170" s="8" t="inlineStr">
        <is>
          <t>NC</t>
        </is>
      </c>
      <c r="D1170" s="8" t="inlineStr">
        <is>
          <t>Private</t>
        </is>
      </c>
      <c r="E1170" s="9" t="n">
        <v>18861</v>
      </c>
      <c r="F1170" s="9" t="n">
        <v>43706</v>
      </c>
      <c r="G1170" s="8">
        <f>RANK(F1170,$F$5:$F$1561)</f>
        <v/>
      </c>
      <c r="H1170" s="8" t="inlineStr"/>
      <c r="I1170" s="9">
        <f>IF(D1170="Private",E1170,"")</f>
        <v/>
      </c>
      <c r="J1170" s="9">
        <f>IF(D1170="Private",F1170,"")</f>
        <v/>
      </c>
    </row>
    <row r="1171">
      <c r="A1171" s="8" t="inlineStr">
        <is>
          <t>Coppin State University</t>
        </is>
      </c>
      <c r="B1171" s="8" t="inlineStr">
        <is>
          <t>Baltimore</t>
        </is>
      </c>
      <c r="C1171" s="8" t="inlineStr">
        <is>
          <t>MD</t>
        </is>
      </c>
      <c r="D1171" s="8" t="inlineStr">
        <is>
          <t>Public</t>
        </is>
      </c>
      <c r="E1171" s="9" t="n">
        <v>6010</v>
      </c>
      <c r="F1171" s="9" t="n">
        <v>43697</v>
      </c>
      <c r="G1171" s="8">
        <f>RANK(F1171,$F$5:$F$1561)</f>
        <v/>
      </c>
      <c r="H1171" s="8" t="inlineStr"/>
      <c r="I1171" s="9">
        <f>IF(D1171="Private",E1171,"")</f>
        <v/>
      </c>
      <c r="J1171" s="9">
        <f>IF(D1171="Private",F1171,"")</f>
        <v/>
      </c>
    </row>
    <row r="1172">
      <c r="A1172" s="8" t="inlineStr">
        <is>
          <t>University of Maryland Eastern Shore</t>
        </is>
      </c>
      <c r="B1172" s="8" t="inlineStr">
        <is>
          <t>Princess Anne</t>
        </is>
      </c>
      <c r="C1172" s="8" t="inlineStr">
        <is>
          <t>MD</t>
        </is>
      </c>
      <c r="D1172" s="8" t="inlineStr">
        <is>
          <t>Public</t>
        </is>
      </c>
      <c r="E1172" s="9" t="n">
        <v>11662</v>
      </c>
      <c r="F1172" s="9" t="n">
        <v>43696</v>
      </c>
      <c r="G1172" s="8">
        <f>RANK(F1172,$F$5:$F$1561)</f>
        <v/>
      </c>
      <c r="H1172" s="8" t="inlineStr"/>
      <c r="I1172" s="9">
        <f>IF(D1172="Private",E1172,"")</f>
        <v/>
      </c>
      <c r="J1172" s="9">
        <f>IF(D1172="Private",F1172,"")</f>
        <v/>
      </c>
    </row>
    <row r="1173">
      <c r="A1173" s="8" t="inlineStr">
        <is>
          <t>Hope International University</t>
        </is>
      </c>
      <c r="B1173" s="8" t="inlineStr">
        <is>
          <t>Fullerton</t>
        </is>
      </c>
      <c r="C1173" s="8" t="inlineStr">
        <is>
          <t>CA</t>
        </is>
      </c>
      <c r="D1173" s="8" t="inlineStr">
        <is>
          <t>Private</t>
        </is>
      </c>
      <c r="E1173" s="9" t="n">
        <v>18248</v>
      </c>
      <c r="F1173" s="9" t="n">
        <v>43659</v>
      </c>
      <c r="G1173" s="8">
        <f>RANK(F1173,$F$5:$F$1561)</f>
        <v/>
      </c>
      <c r="H1173" s="8" t="inlineStr"/>
      <c r="I1173" s="9">
        <f>IF(D1173="Private",E1173,"")</f>
        <v/>
      </c>
      <c r="J1173" s="9">
        <f>IF(D1173="Private",F1173,"")</f>
        <v/>
      </c>
    </row>
    <row r="1174">
      <c r="A1174" s="8" t="inlineStr">
        <is>
          <t>University of Mobile</t>
        </is>
      </c>
      <c r="B1174" s="8" t="inlineStr">
        <is>
          <t>Mobile</t>
        </is>
      </c>
      <c r="C1174" s="8" t="inlineStr">
        <is>
          <t>AL</t>
        </is>
      </c>
      <c r="D1174" s="8" t="inlineStr">
        <is>
          <t>Private</t>
        </is>
      </c>
      <c r="E1174" s="9" t="n">
        <v>18986</v>
      </c>
      <c r="F1174" s="9" t="n">
        <v>43640</v>
      </c>
      <c r="G1174" s="8">
        <f>RANK(F1174,$F$5:$F$1561)</f>
        <v/>
      </c>
      <c r="H1174" s="8" t="inlineStr"/>
      <c r="I1174" s="9">
        <f>IF(D1174="Private",E1174,"")</f>
        <v/>
      </c>
      <c r="J1174" s="9">
        <f>IF(D1174="Private",F1174,"")</f>
        <v/>
      </c>
    </row>
    <row r="1175">
      <c r="A1175" s="8" t="inlineStr">
        <is>
          <t>Florida Agricultural and Mechanical University</t>
        </is>
      </c>
      <c r="B1175" s="8" t="inlineStr">
        <is>
          <t>Tallahassee</t>
        </is>
      </c>
      <c r="C1175" s="8" t="inlineStr">
        <is>
          <t>FL</t>
        </is>
      </c>
      <c r="D1175" s="8" t="inlineStr">
        <is>
          <t>Public</t>
        </is>
      </c>
      <c r="E1175" s="9" t="n">
        <v>12479</v>
      </c>
      <c r="F1175" s="9" t="n">
        <v>43616</v>
      </c>
      <c r="G1175" s="8">
        <f>RANK(F1175,$F$5:$F$1561)</f>
        <v/>
      </c>
      <c r="H1175" s="8" t="inlineStr"/>
      <c r="I1175" s="9">
        <f>IF(D1175="Private",E1175,"")</f>
        <v/>
      </c>
      <c r="J1175" s="9">
        <f>IF(D1175="Private",F1175,"")</f>
        <v/>
      </c>
    </row>
    <row r="1176">
      <c r="A1176" s="8" t="inlineStr">
        <is>
          <t>Marshall University</t>
        </is>
      </c>
      <c r="B1176" s="8" t="inlineStr">
        <is>
          <t>Huntington</t>
        </is>
      </c>
      <c r="C1176" s="8" t="inlineStr">
        <is>
          <t>WV</t>
        </is>
      </c>
      <c r="D1176" s="8" t="inlineStr">
        <is>
          <t>Public</t>
        </is>
      </c>
      <c r="E1176" s="9" t="n">
        <v>8706</v>
      </c>
      <c r="F1176" s="9" t="n">
        <v>43564</v>
      </c>
      <c r="G1176" s="8">
        <f>RANK(F1176,$F$5:$F$1561)</f>
        <v/>
      </c>
      <c r="H1176" s="8" t="inlineStr"/>
      <c r="I1176" s="9">
        <f>IF(D1176="Private",E1176,"")</f>
        <v/>
      </c>
      <c r="J1176" s="9">
        <f>IF(D1176="Private",F1176,"")</f>
        <v/>
      </c>
    </row>
    <row r="1177">
      <c r="A1177" s="8" t="inlineStr">
        <is>
          <t>Marymount California University</t>
        </is>
      </c>
      <c r="B1177" s="8" t="inlineStr">
        <is>
          <t>Rancho Palos Verdes</t>
        </is>
      </c>
      <c r="C1177" s="8" t="inlineStr">
        <is>
          <t>CA</t>
        </is>
      </c>
      <c r="D1177" s="8" t="inlineStr">
        <is>
          <t>Private</t>
        </is>
      </c>
      <c r="E1177" s="9" t="n">
        <v>29910</v>
      </c>
      <c r="F1177" s="9" t="n">
        <v>43555</v>
      </c>
      <c r="G1177" s="8">
        <f>RANK(F1177,$F$5:$F$1561)</f>
        <v/>
      </c>
      <c r="H1177" s="8" t="inlineStr"/>
      <c r="I1177" s="9">
        <f>IF(D1177="Private",E1177,"")</f>
        <v/>
      </c>
      <c r="J1177" s="9">
        <f>IF(D1177="Private",F1177,"")</f>
        <v/>
      </c>
    </row>
    <row r="1178">
      <c r="A1178" s="8" t="inlineStr">
        <is>
          <t>Guilford College</t>
        </is>
      </c>
      <c r="B1178" s="8" t="inlineStr">
        <is>
          <t>Greensboro</t>
        </is>
      </c>
      <c r="C1178" s="8" t="inlineStr">
        <is>
          <t>NC</t>
        </is>
      </c>
      <c r="D1178" s="8" t="inlineStr">
        <is>
          <t>Private</t>
        </is>
      </c>
      <c r="E1178" s="9" t="n">
        <v>23841</v>
      </c>
      <c r="F1178" s="9" t="n">
        <v>43545</v>
      </c>
      <c r="G1178" s="8">
        <f>RANK(F1178,$F$5:$F$1561)</f>
        <v/>
      </c>
      <c r="H1178" s="8" t="inlineStr"/>
      <c r="I1178" s="9">
        <f>IF(D1178="Private",E1178,"")</f>
        <v/>
      </c>
      <c r="J1178" s="9">
        <f>IF(D1178="Private",F1178,"")</f>
        <v/>
      </c>
    </row>
    <row r="1179">
      <c r="A1179" s="8" t="inlineStr">
        <is>
          <t>Hampshire College</t>
        </is>
      </c>
      <c r="B1179" s="8" t="inlineStr">
        <is>
          <t>Amherst</t>
        </is>
      </c>
      <c r="C1179" s="8" t="inlineStr">
        <is>
          <t>MA</t>
        </is>
      </c>
      <c r="D1179" s="8" t="inlineStr">
        <is>
          <t>Private</t>
        </is>
      </c>
      <c r="E1179" s="9" t="n">
        <v>27461</v>
      </c>
      <c r="F1179" s="9" t="n">
        <v>43491</v>
      </c>
      <c r="G1179" s="8">
        <f>RANK(F1179,$F$5:$F$1561)</f>
        <v/>
      </c>
      <c r="H1179" s="8" t="inlineStr"/>
      <c r="I1179" s="9">
        <f>IF(D1179="Private",E1179,"")</f>
        <v/>
      </c>
      <c r="J1179" s="9">
        <f>IF(D1179="Private",F1179,"")</f>
        <v/>
      </c>
    </row>
    <row r="1180">
      <c r="A1180" s="8" t="inlineStr">
        <is>
          <t>Emporia State University</t>
        </is>
      </c>
      <c r="B1180" s="8" t="inlineStr">
        <is>
          <t>Emporia</t>
        </is>
      </c>
      <c r="C1180" s="8" t="inlineStr">
        <is>
          <t>KS</t>
        </is>
      </c>
      <c r="D1180" s="8" t="inlineStr">
        <is>
          <t>Public</t>
        </is>
      </c>
      <c r="E1180" s="9" t="n">
        <v>15312</v>
      </c>
      <c r="F1180" s="9" t="n">
        <v>43438</v>
      </c>
      <c r="G1180" s="8">
        <f>RANK(F1180,$F$5:$F$1561)</f>
        <v/>
      </c>
      <c r="H1180" s="8" t="inlineStr"/>
      <c r="I1180" s="9">
        <f>IF(D1180="Private",E1180,"")</f>
        <v/>
      </c>
      <c r="J1180" s="9">
        <f>IF(D1180="Private",F1180,"")</f>
        <v/>
      </c>
    </row>
    <row r="1181">
      <c r="A1181" s="8" t="inlineStr">
        <is>
          <t>Northwestern Oklahoma State University</t>
        </is>
      </c>
      <c r="B1181" s="8" t="inlineStr">
        <is>
          <t>Alva</t>
        </is>
      </c>
      <c r="C1181" s="8" t="inlineStr">
        <is>
          <t>OK</t>
        </is>
      </c>
      <c r="D1181" s="8" t="inlineStr">
        <is>
          <t>Public</t>
        </is>
      </c>
      <c r="E1181" s="9" t="n">
        <v>10970</v>
      </c>
      <c r="F1181" s="9" t="n">
        <v>43404</v>
      </c>
      <c r="G1181" s="8">
        <f>RANK(F1181,$F$5:$F$1561)</f>
        <v/>
      </c>
      <c r="H1181" s="8" t="inlineStr"/>
      <c r="I1181" s="9">
        <f>IF(D1181="Private",E1181,"")</f>
        <v/>
      </c>
      <c r="J1181" s="9">
        <f>IF(D1181="Private",F1181,"")</f>
        <v/>
      </c>
    </row>
    <row r="1182">
      <c r="A1182" s="8" t="inlineStr">
        <is>
          <t>Prairie View A &amp; M University</t>
        </is>
      </c>
      <c r="B1182" s="8" t="inlineStr">
        <is>
          <t>Prairie View</t>
        </is>
      </c>
      <c r="C1182" s="8" t="inlineStr">
        <is>
          <t>TX</t>
        </is>
      </c>
      <c r="D1182" s="8" t="inlineStr">
        <is>
          <t>Public</t>
        </is>
      </c>
      <c r="E1182" s="9" t="n">
        <v>14847</v>
      </c>
      <c r="F1182" s="9" t="n">
        <v>43390</v>
      </c>
      <c r="G1182" s="8">
        <f>RANK(F1182,$F$5:$F$1561)</f>
        <v/>
      </c>
      <c r="H1182" s="8" t="inlineStr"/>
      <c r="I1182" s="9">
        <f>IF(D1182="Private",E1182,"")</f>
        <v/>
      </c>
      <c r="J1182" s="9">
        <f>IF(D1182="Private",F1182,"")</f>
        <v/>
      </c>
    </row>
    <row r="1183">
      <c r="A1183" s="8" t="inlineStr">
        <is>
          <t>Colorado Mesa University</t>
        </is>
      </c>
      <c r="B1183" s="8" t="inlineStr">
        <is>
          <t>Grand Junction</t>
        </is>
      </c>
      <c r="C1183" s="8" t="inlineStr">
        <is>
          <t>CO</t>
        </is>
      </c>
      <c r="D1183" s="8" t="inlineStr">
        <is>
          <t>Public</t>
        </is>
      </c>
      <c r="E1183" s="9" t="n">
        <v>15898</v>
      </c>
      <c r="F1183" s="9" t="n">
        <v>43389</v>
      </c>
      <c r="G1183" s="8">
        <f>RANK(F1183,$F$5:$F$1561)</f>
        <v/>
      </c>
      <c r="H1183" s="8" t="inlineStr"/>
      <c r="I1183" s="9">
        <f>IF(D1183="Private",E1183,"")</f>
        <v/>
      </c>
      <c r="J1183" s="9">
        <f>IF(D1183="Private",F1183,"")</f>
        <v/>
      </c>
    </row>
    <row r="1184">
      <c r="A1184" s="8" t="inlineStr">
        <is>
          <t>Anderson University</t>
        </is>
      </c>
      <c r="B1184" s="8" t="inlineStr">
        <is>
          <t>Anderson</t>
        </is>
      </c>
      <c r="C1184" s="8" t="inlineStr">
        <is>
          <t>SC</t>
        </is>
      </c>
      <c r="D1184" s="8" t="inlineStr">
        <is>
          <t>Private</t>
        </is>
      </c>
      <c r="E1184" s="9" t="n">
        <v>21271</v>
      </c>
      <c r="F1184" s="9" t="n">
        <v>43381</v>
      </c>
      <c r="G1184" s="8">
        <f>RANK(F1184,$F$5:$F$1561)</f>
        <v/>
      </c>
      <c r="H1184" s="8" t="inlineStr"/>
      <c r="I1184" s="9">
        <f>IF(D1184="Private",E1184,"")</f>
        <v/>
      </c>
      <c r="J1184" s="9">
        <f>IF(D1184="Private",F1184,"")</f>
        <v/>
      </c>
    </row>
    <row r="1185">
      <c r="A1185" s="8" t="inlineStr">
        <is>
          <t>Young Harris College</t>
        </is>
      </c>
      <c r="B1185" s="8" t="inlineStr">
        <is>
          <t>Young Harris</t>
        </is>
      </c>
      <c r="C1185" s="8" t="inlineStr">
        <is>
          <t>GA</t>
        </is>
      </c>
      <c r="D1185" s="8" t="inlineStr">
        <is>
          <t>Private</t>
        </is>
      </c>
      <c r="E1185" s="9" t="n">
        <v>18927</v>
      </c>
      <c r="F1185" s="9" t="n">
        <v>43368</v>
      </c>
      <c r="G1185" s="8">
        <f>RANK(F1185,$F$5:$F$1561)</f>
        <v/>
      </c>
      <c r="H1185" s="8" t="inlineStr"/>
      <c r="I1185" s="9">
        <f>IF(D1185="Private",E1185,"")</f>
        <v/>
      </c>
      <c r="J1185" s="9">
        <f>IF(D1185="Private",F1185,"")</f>
        <v/>
      </c>
    </row>
    <row r="1186">
      <c r="A1186" s="8" t="inlineStr">
        <is>
          <t>Virginia State University</t>
        </is>
      </c>
      <c r="B1186" s="8" t="inlineStr">
        <is>
          <t>Petersburg</t>
        </is>
      </c>
      <c r="C1186" s="8" t="inlineStr">
        <is>
          <t>VA</t>
        </is>
      </c>
      <c r="D1186" s="8" t="inlineStr">
        <is>
          <t>Public</t>
        </is>
      </c>
      <c r="E1186" s="9" t="n">
        <v>15359</v>
      </c>
      <c r="F1186" s="9" t="n">
        <v>43364</v>
      </c>
      <c r="G1186" s="8">
        <f>RANK(F1186,$F$5:$F$1561)</f>
        <v/>
      </c>
      <c r="H1186" s="8" t="inlineStr"/>
      <c r="I1186" s="9">
        <f>IF(D1186="Private",E1186,"")</f>
        <v/>
      </c>
      <c r="J1186" s="9">
        <f>IF(D1186="Private",F1186,"")</f>
        <v/>
      </c>
    </row>
    <row r="1187">
      <c r="A1187" s="8" t="inlineStr">
        <is>
          <t>University of the District of Columbia</t>
        </is>
      </c>
      <c r="B1187" s="8" t="inlineStr">
        <is>
          <t>Washington</t>
        </is>
      </c>
      <c r="C1187" s="8" t="inlineStr">
        <is>
          <t>DC</t>
        </is>
      </c>
      <c r="D1187" s="8" t="inlineStr">
        <is>
          <t>Public</t>
        </is>
      </c>
      <c r="E1187" s="9" t="n">
        <v>16276</v>
      </c>
      <c r="F1187" s="9" t="n">
        <v>43310</v>
      </c>
      <c r="G1187" s="8">
        <f>RANK(F1187,$F$5:$F$1561)</f>
        <v/>
      </c>
      <c r="H1187" s="8" t="inlineStr"/>
      <c r="I1187" s="9">
        <f>IF(D1187="Private",E1187,"")</f>
        <v/>
      </c>
      <c r="J1187" s="9">
        <f>IF(D1187="Private",F1187,"")</f>
        <v/>
      </c>
    </row>
    <row r="1188">
      <c r="A1188" s="8" t="inlineStr">
        <is>
          <t>Northeastern State University</t>
        </is>
      </c>
      <c r="B1188" s="8" t="inlineStr">
        <is>
          <t>Tahlequah</t>
        </is>
      </c>
      <c r="C1188" s="8" t="inlineStr">
        <is>
          <t>OK</t>
        </is>
      </c>
      <c r="D1188" s="8" t="inlineStr">
        <is>
          <t>Public</t>
        </is>
      </c>
      <c r="E1188" s="9" t="n">
        <v>9769</v>
      </c>
      <c r="F1188" s="9" t="n">
        <v>43257</v>
      </c>
      <c r="G1188" s="8">
        <f>RANK(F1188,$F$5:$F$1561)</f>
        <v/>
      </c>
      <c r="H1188" s="8" t="inlineStr"/>
      <c r="I1188" s="9">
        <f>IF(D1188="Private",E1188,"")</f>
        <v/>
      </c>
      <c r="J1188" s="9">
        <f>IF(D1188="Private",F1188,"")</f>
        <v/>
      </c>
    </row>
    <row r="1189">
      <c r="A1189" s="8" t="inlineStr">
        <is>
          <t>Columbus State University</t>
        </is>
      </c>
      <c r="B1189" s="8" t="inlineStr">
        <is>
          <t>Columbus</t>
        </is>
      </c>
      <c r="C1189" s="8" t="inlineStr">
        <is>
          <t>GA</t>
        </is>
      </c>
      <c r="D1189" s="8" t="inlineStr">
        <is>
          <t>Public</t>
        </is>
      </c>
      <c r="E1189" s="9" t="n">
        <v>13697</v>
      </c>
      <c r="F1189" s="9" t="n">
        <v>43204</v>
      </c>
      <c r="G1189" s="8">
        <f>RANK(F1189,$F$5:$F$1561)</f>
        <v/>
      </c>
      <c r="H1189" s="8" t="inlineStr"/>
      <c r="I1189" s="9">
        <f>IF(D1189="Private",E1189,"")</f>
        <v/>
      </c>
      <c r="J1189" s="9">
        <f>IF(D1189="Private",F1189,"")</f>
        <v/>
      </c>
    </row>
    <row r="1190">
      <c r="A1190" s="8" t="inlineStr">
        <is>
          <t>University of Providence</t>
        </is>
      </c>
      <c r="B1190" s="8" t="inlineStr">
        <is>
          <t>Great Falls</t>
        </is>
      </c>
      <c r="C1190" s="8" t="inlineStr">
        <is>
          <t>MT</t>
        </is>
      </c>
      <c r="D1190" s="8" t="inlineStr">
        <is>
          <t>Private</t>
        </is>
      </c>
      <c r="E1190" s="9" t="n">
        <v>23473</v>
      </c>
      <c r="F1190" s="9" t="n">
        <v>43180</v>
      </c>
      <c r="G1190" s="8">
        <f>RANK(F1190,$F$5:$F$1561)</f>
        <v/>
      </c>
      <c r="H1190" s="8" t="inlineStr"/>
      <c r="I1190" s="9">
        <f>IF(D1190="Private",E1190,"")</f>
        <v/>
      </c>
      <c r="J1190" s="9">
        <f>IF(D1190="Private",F1190,"")</f>
        <v/>
      </c>
    </row>
    <row r="1191">
      <c r="A1191" s="8" t="inlineStr">
        <is>
          <t>Utah Tech University</t>
        </is>
      </c>
      <c r="B1191" s="8" t="inlineStr">
        <is>
          <t>Saint George</t>
        </is>
      </c>
      <c r="C1191" s="8" t="inlineStr">
        <is>
          <t>UT</t>
        </is>
      </c>
      <c r="D1191" s="8" t="inlineStr">
        <is>
          <t>Public</t>
        </is>
      </c>
      <c r="E1191" s="9" t="n">
        <v>15298</v>
      </c>
      <c r="F1191" s="9" t="n">
        <v>43180</v>
      </c>
      <c r="G1191" s="8">
        <f>RANK(F1191,$F$5:$F$1561)</f>
        <v/>
      </c>
      <c r="H1191" s="8" t="inlineStr"/>
      <c r="I1191" s="9">
        <f>IF(D1191="Private",E1191,"")</f>
        <v/>
      </c>
      <c r="J1191" s="9">
        <f>IF(D1191="Private",F1191,"")</f>
        <v/>
      </c>
    </row>
    <row r="1192">
      <c r="A1192" s="8" t="inlineStr">
        <is>
          <t>Charleston Southern University</t>
        </is>
      </c>
      <c r="B1192" s="8" t="inlineStr">
        <is>
          <t>Charleston</t>
        </is>
      </c>
      <c r="C1192" s="8" t="inlineStr">
        <is>
          <t>SC</t>
        </is>
      </c>
      <c r="D1192" s="8" t="inlineStr">
        <is>
          <t>Private</t>
        </is>
      </c>
      <c r="E1192" s="9" t="n">
        <v>17368</v>
      </c>
      <c r="F1192" s="9" t="n">
        <v>43163</v>
      </c>
      <c r="G1192" s="8">
        <f>RANK(F1192,$F$5:$F$1561)</f>
        <v/>
      </c>
      <c r="H1192" s="8" t="inlineStr"/>
      <c r="I1192" s="9">
        <f>IF(D1192="Private",E1192,"")</f>
        <v/>
      </c>
      <c r="J1192" s="9">
        <f>IF(D1192="Private",F1192,"")</f>
        <v/>
      </c>
    </row>
    <row r="1193">
      <c r="A1193" s="8" t="inlineStr">
        <is>
          <t>East Central University</t>
        </is>
      </c>
      <c r="B1193" s="8" t="inlineStr">
        <is>
          <t>Ada</t>
        </is>
      </c>
      <c r="C1193" s="8" t="inlineStr">
        <is>
          <t>OK</t>
        </is>
      </c>
      <c r="D1193" s="8" t="inlineStr">
        <is>
          <t>Public</t>
        </is>
      </c>
      <c r="E1193" s="9" t="n">
        <v>11157</v>
      </c>
      <c r="F1193" s="9" t="n">
        <v>43159</v>
      </c>
      <c r="G1193" s="8">
        <f>RANK(F1193,$F$5:$F$1561)</f>
        <v/>
      </c>
      <c r="H1193" s="8" t="inlineStr"/>
      <c r="I1193" s="9">
        <f>IF(D1193="Private",E1193,"")</f>
        <v/>
      </c>
      <c r="J1193" s="9">
        <f>IF(D1193="Private",F1193,"")</f>
        <v/>
      </c>
    </row>
    <row r="1194">
      <c r="A1194" s="8" t="inlineStr">
        <is>
          <t>Bob Jones University</t>
        </is>
      </c>
      <c r="B1194" s="8" t="inlineStr">
        <is>
          <t>Greenville</t>
        </is>
      </c>
      <c r="C1194" s="8" t="inlineStr">
        <is>
          <t>SC</t>
        </is>
      </c>
      <c r="D1194" s="8" t="inlineStr">
        <is>
          <t>Private</t>
        </is>
      </c>
      <c r="E1194" s="9" t="n">
        <v>17680</v>
      </c>
      <c r="F1194" s="9" t="n">
        <v>43148</v>
      </c>
      <c r="G1194" s="8">
        <f>RANK(F1194,$F$5:$F$1561)</f>
        <v/>
      </c>
      <c r="H1194" s="8" t="inlineStr"/>
      <c r="I1194" s="9">
        <f>IF(D1194="Private",E1194,"")</f>
        <v/>
      </c>
      <c r="J1194" s="9">
        <f>IF(D1194="Private",F1194,"")</f>
        <v/>
      </c>
    </row>
    <row r="1195">
      <c r="A1195" s="8" t="inlineStr">
        <is>
          <t>Stephens College</t>
        </is>
      </c>
      <c r="B1195" s="8" t="inlineStr">
        <is>
          <t>Columbia</t>
        </is>
      </c>
      <c r="C1195" s="8" t="inlineStr">
        <is>
          <t>MO</t>
        </is>
      </c>
      <c r="D1195" s="8" t="inlineStr">
        <is>
          <t>Private</t>
        </is>
      </c>
      <c r="E1195" s="9" t="n">
        <v>23026</v>
      </c>
      <c r="F1195" s="9" t="n">
        <v>43139</v>
      </c>
      <c r="G1195" s="8">
        <f>RANK(F1195,$F$5:$F$1561)</f>
        <v/>
      </c>
      <c r="H1195" s="8" t="inlineStr"/>
      <c r="I1195" s="9">
        <f>IF(D1195="Private",E1195,"")</f>
        <v/>
      </c>
      <c r="J1195" s="9">
        <f>IF(D1195="Private",F1195,"")</f>
        <v/>
      </c>
    </row>
    <row r="1196">
      <c r="A1196" s="8" t="inlineStr">
        <is>
          <t>University of Pikeville</t>
        </is>
      </c>
      <c r="B1196" s="8" t="inlineStr">
        <is>
          <t>Pikeville</t>
        </is>
      </c>
      <c r="C1196" s="8" t="inlineStr">
        <is>
          <t>KY</t>
        </is>
      </c>
      <c r="D1196" s="8" t="inlineStr">
        <is>
          <t>Private</t>
        </is>
      </c>
      <c r="E1196" s="9" t="n">
        <v>13814</v>
      </c>
      <c r="F1196" s="9" t="n">
        <v>43124</v>
      </c>
      <c r="G1196" s="8">
        <f>RANK(F1196,$F$5:$F$1561)</f>
        <v/>
      </c>
      <c r="H1196" s="8" t="inlineStr"/>
      <c r="I1196" s="9">
        <f>IF(D1196="Private",E1196,"")</f>
        <v/>
      </c>
      <c r="J1196" s="9">
        <f>IF(D1196="Private",F1196,"")</f>
        <v/>
      </c>
    </row>
    <row r="1197">
      <c r="A1197" s="8" t="inlineStr">
        <is>
          <t>Husson University</t>
        </is>
      </c>
      <c r="B1197" s="8" t="inlineStr">
        <is>
          <t>Bangor</t>
        </is>
      </c>
      <c r="C1197" s="8" t="inlineStr">
        <is>
          <t>ME</t>
        </is>
      </c>
      <c r="D1197" s="8" t="inlineStr">
        <is>
          <t>Private</t>
        </is>
      </c>
      <c r="E1197" s="9" t="n">
        <v>19688</v>
      </c>
      <c r="F1197" s="9" t="n">
        <v>43102</v>
      </c>
      <c r="G1197" s="8">
        <f>RANK(F1197,$F$5:$F$1561)</f>
        <v/>
      </c>
      <c r="H1197" s="8" t="inlineStr"/>
      <c r="I1197" s="9">
        <f>IF(D1197="Private",E1197,"")</f>
        <v/>
      </c>
      <c r="J1197" s="9">
        <f>IF(D1197="Private",F1197,"")</f>
        <v/>
      </c>
    </row>
    <row r="1198">
      <c r="A1198" s="8" t="inlineStr">
        <is>
          <t>Murray State University</t>
        </is>
      </c>
      <c r="B1198" s="8" t="inlineStr">
        <is>
          <t>Murray</t>
        </is>
      </c>
      <c r="C1198" s="8" t="inlineStr">
        <is>
          <t>KY</t>
        </is>
      </c>
      <c r="D1198" s="8" t="inlineStr">
        <is>
          <t>Public</t>
        </is>
      </c>
      <c r="E1198" s="9" t="n">
        <v>11226</v>
      </c>
      <c r="F1198" s="9" t="n">
        <v>43077</v>
      </c>
      <c r="G1198" s="8">
        <f>RANK(F1198,$F$5:$F$1561)</f>
        <v/>
      </c>
      <c r="H1198" s="8" t="inlineStr"/>
      <c r="I1198" s="9">
        <f>IF(D1198="Private",E1198,"")</f>
        <v/>
      </c>
      <c r="J1198" s="9">
        <f>IF(D1198="Private",F1198,"")</f>
        <v/>
      </c>
    </row>
    <row r="1199">
      <c r="A1199" s="8" t="inlineStr">
        <is>
          <t>Indiana University-Kokomo</t>
        </is>
      </c>
      <c r="B1199" s="8" t="inlineStr">
        <is>
          <t>Kokomo</t>
        </is>
      </c>
      <c r="C1199" s="8" t="inlineStr">
        <is>
          <t>IN</t>
        </is>
      </c>
      <c r="D1199" s="8" t="inlineStr">
        <is>
          <t>Public</t>
        </is>
      </c>
      <c r="E1199" s="9" t="n">
        <v>4757</v>
      </c>
      <c r="F1199" s="9" t="n">
        <v>43073</v>
      </c>
      <c r="G1199" s="8">
        <f>RANK(F1199,$F$5:$F$1561)</f>
        <v/>
      </c>
      <c r="H1199" s="8" t="inlineStr"/>
      <c r="I1199" s="9">
        <f>IF(D1199="Private",E1199,"")</f>
        <v/>
      </c>
      <c r="J1199" s="9">
        <f>IF(D1199="Private",F1199,"")</f>
        <v/>
      </c>
    </row>
    <row r="1200">
      <c r="A1200" s="8" t="inlineStr">
        <is>
          <t>The University of Tennessee-Martin</t>
        </is>
      </c>
      <c r="B1200" s="8" t="inlineStr">
        <is>
          <t>Martin</t>
        </is>
      </c>
      <c r="C1200" s="8" t="inlineStr">
        <is>
          <t>TN</t>
        </is>
      </c>
      <c r="D1200" s="8" t="inlineStr">
        <is>
          <t>Public</t>
        </is>
      </c>
      <c r="E1200" s="9" t="n">
        <v>10857</v>
      </c>
      <c r="F1200" s="9" t="n">
        <v>43043</v>
      </c>
      <c r="G1200" s="8">
        <f>RANK(F1200,$F$5:$F$1561)</f>
        <v/>
      </c>
      <c r="H1200" s="8" t="inlineStr"/>
      <c r="I1200" s="9">
        <f>IF(D1200="Private",E1200,"")</f>
        <v/>
      </c>
      <c r="J1200" s="9">
        <f>IF(D1200="Private",F1200,"")</f>
        <v/>
      </c>
    </row>
    <row r="1201">
      <c r="A1201" s="8" t="inlineStr">
        <is>
          <t>Greensboro College</t>
        </is>
      </c>
      <c r="B1201" s="8" t="inlineStr">
        <is>
          <t>Greensboro</t>
        </is>
      </c>
      <c r="C1201" s="8" t="inlineStr">
        <is>
          <t>NC</t>
        </is>
      </c>
      <c r="D1201" s="8" t="inlineStr">
        <is>
          <t>Private</t>
        </is>
      </c>
      <c r="E1201" s="9" t="n">
        <v>15962</v>
      </c>
      <c r="F1201" s="9" t="n">
        <v>43023</v>
      </c>
      <c r="G1201" s="8">
        <f>RANK(F1201,$F$5:$F$1561)</f>
        <v/>
      </c>
      <c r="H1201" s="8" t="inlineStr"/>
      <c r="I1201" s="9">
        <f>IF(D1201="Private",E1201,"")</f>
        <v/>
      </c>
      <c r="J1201" s="9">
        <f>IF(D1201="Private",F1201,"")</f>
        <v/>
      </c>
    </row>
    <row r="1202">
      <c r="A1202" s="8" t="inlineStr">
        <is>
          <t>University of Arkansas at Little Rock</t>
        </is>
      </c>
      <c r="B1202" s="8" t="inlineStr">
        <is>
          <t>Little Rock</t>
        </is>
      </c>
      <c r="C1202" s="8" t="inlineStr">
        <is>
          <t>AR</t>
        </is>
      </c>
      <c r="D1202" s="8" t="inlineStr">
        <is>
          <t>Public</t>
        </is>
      </c>
      <c r="E1202" s="9" t="n">
        <v>15868</v>
      </c>
      <c r="F1202" s="9" t="n">
        <v>42973</v>
      </c>
      <c r="G1202" s="8">
        <f>RANK(F1202,$F$5:$F$1561)</f>
        <v/>
      </c>
      <c r="H1202" s="8" t="inlineStr"/>
      <c r="I1202" s="9">
        <f>IF(D1202="Private",E1202,"")</f>
        <v/>
      </c>
      <c r="J1202" s="9">
        <f>IF(D1202="Private",F1202,"")</f>
        <v/>
      </c>
    </row>
    <row r="1203">
      <c r="A1203" s="8" t="inlineStr">
        <is>
          <t>Tusculum University</t>
        </is>
      </c>
      <c r="B1203" s="8" t="inlineStr">
        <is>
          <t>Greeneville</t>
        </is>
      </c>
      <c r="C1203" s="8" t="inlineStr">
        <is>
          <t>TN</t>
        </is>
      </c>
      <c r="D1203" s="8" t="inlineStr">
        <is>
          <t>Private</t>
        </is>
      </c>
      <c r="E1203" s="9" t="n">
        <v>13516</v>
      </c>
      <c r="F1203" s="9" t="n">
        <v>42969</v>
      </c>
      <c r="G1203" s="8">
        <f>RANK(F1203,$F$5:$F$1561)</f>
        <v/>
      </c>
      <c r="H1203" s="8" t="inlineStr"/>
      <c r="I1203" s="9">
        <f>IF(D1203="Private",E1203,"")</f>
        <v/>
      </c>
      <c r="J1203" s="9">
        <f>IF(D1203="Private",F1203,"")</f>
        <v/>
      </c>
    </row>
    <row r="1204">
      <c r="A1204" s="8" t="inlineStr">
        <is>
          <t>CUNY Medgar Evers College</t>
        </is>
      </c>
      <c r="B1204" s="8" t="inlineStr">
        <is>
          <t>Brooklyn</t>
        </is>
      </c>
      <c r="C1204" s="8" t="inlineStr">
        <is>
          <t>NY</t>
        </is>
      </c>
      <c r="D1204" s="8" t="inlineStr">
        <is>
          <t>Public</t>
        </is>
      </c>
      <c r="E1204" s="9" t="n">
        <v>5993</v>
      </c>
      <c r="F1204" s="9" t="n">
        <v>42968</v>
      </c>
      <c r="G1204" s="8">
        <f>RANK(F1204,$F$5:$F$1561)</f>
        <v/>
      </c>
      <c r="H1204" s="8" t="inlineStr"/>
      <c r="I1204" s="9">
        <f>IF(D1204="Private",E1204,"")</f>
        <v/>
      </c>
      <c r="J1204" s="9">
        <f>IF(D1204="Private",F1204,"")</f>
        <v/>
      </c>
    </row>
    <row r="1205">
      <c r="A1205" s="8" t="inlineStr">
        <is>
          <t>Ferrum College</t>
        </is>
      </c>
      <c r="B1205" s="8" t="inlineStr">
        <is>
          <t>Ferrum</t>
        </is>
      </c>
      <c r="C1205" s="8" t="inlineStr">
        <is>
          <t>VA</t>
        </is>
      </c>
      <c r="D1205" s="8" t="inlineStr">
        <is>
          <t>Private</t>
        </is>
      </c>
      <c r="E1205" s="9" t="n">
        <v>22021</v>
      </c>
      <c r="F1205" s="9" t="n">
        <v>42933</v>
      </c>
      <c r="G1205" s="8">
        <f>RANK(F1205,$F$5:$F$1561)</f>
        <v/>
      </c>
      <c r="H1205" s="8" t="inlineStr"/>
      <c r="I1205" s="9">
        <f>IF(D1205="Private",E1205,"")</f>
        <v/>
      </c>
      <c r="J1205" s="9">
        <f>IF(D1205="Private",F1205,"")</f>
        <v/>
      </c>
    </row>
    <row r="1206">
      <c r="A1206" s="8" t="inlineStr">
        <is>
          <t>University of New Mexico-Main Campus</t>
        </is>
      </c>
      <c r="B1206" s="8" t="inlineStr">
        <is>
          <t>Albuquerque</t>
        </is>
      </c>
      <c r="C1206" s="8" t="inlineStr">
        <is>
          <t>NM</t>
        </is>
      </c>
      <c r="D1206" s="8" t="inlineStr">
        <is>
          <t>Public</t>
        </is>
      </c>
      <c r="E1206" s="9" t="n">
        <v>15070</v>
      </c>
      <c r="F1206" s="9" t="n">
        <v>42925</v>
      </c>
      <c r="G1206" s="8">
        <f>RANK(F1206,$F$5:$F$1561)</f>
        <v/>
      </c>
      <c r="H1206" s="8" t="inlineStr"/>
      <c r="I1206" s="9">
        <f>IF(D1206="Private",E1206,"")</f>
        <v/>
      </c>
      <c r="J1206" s="9">
        <f>IF(D1206="Private",F1206,"")</f>
        <v/>
      </c>
    </row>
    <row r="1207">
      <c r="A1207" s="8" t="inlineStr">
        <is>
          <t>Dallas Christian College</t>
        </is>
      </c>
      <c r="B1207" s="8" t="inlineStr">
        <is>
          <t>Dallas</t>
        </is>
      </c>
      <c r="C1207" s="8" t="inlineStr">
        <is>
          <t>TX</t>
        </is>
      </c>
      <c r="D1207" s="8" t="inlineStr">
        <is>
          <t>Private</t>
        </is>
      </c>
      <c r="E1207" s="9" t="n">
        <v>22841</v>
      </c>
      <c r="F1207" s="9" t="n">
        <v>42903</v>
      </c>
      <c r="G1207" s="8">
        <f>RANK(F1207,$F$5:$F$1561)</f>
        <v/>
      </c>
      <c r="H1207" s="8" t="inlineStr"/>
      <c r="I1207" s="9">
        <f>IF(D1207="Private",E1207,"")</f>
        <v/>
      </c>
      <c r="J1207" s="9">
        <f>IF(D1207="Private",F1207,"")</f>
        <v/>
      </c>
    </row>
    <row r="1208">
      <c r="A1208" s="8" t="inlineStr">
        <is>
          <t>Bard College at Simon's Rock</t>
        </is>
      </c>
      <c r="B1208" s="8" t="inlineStr">
        <is>
          <t>Great Barrington</t>
        </is>
      </c>
      <c r="C1208" s="8" t="inlineStr">
        <is>
          <t>MA</t>
        </is>
      </c>
      <c r="D1208" s="8" t="inlineStr">
        <is>
          <t>Private</t>
        </is>
      </c>
      <c r="E1208" s="9" t="n">
        <v>33316</v>
      </c>
      <c r="F1208" s="9" t="n">
        <v>42825</v>
      </c>
      <c r="G1208" s="8">
        <f>RANK(F1208,$F$5:$F$1561)</f>
        <v/>
      </c>
      <c r="H1208" s="8" t="inlineStr"/>
      <c r="I1208" s="9">
        <f>IF(D1208="Private",E1208,"")</f>
        <v/>
      </c>
      <c r="J1208" s="9">
        <f>IF(D1208="Private",F1208,"")</f>
        <v/>
      </c>
    </row>
    <row r="1209">
      <c r="A1209" s="8" t="inlineStr">
        <is>
          <t>Bard College</t>
        </is>
      </c>
      <c r="B1209" s="8" t="inlineStr">
        <is>
          <t>Annandale-On-Hudson</t>
        </is>
      </c>
      <c r="C1209" s="8" t="inlineStr">
        <is>
          <t>NY</t>
        </is>
      </c>
      <c r="D1209" s="8" t="inlineStr">
        <is>
          <t>Private</t>
        </is>
      </c>
      <c r="E1209" s="9" t="n">
        <v>23332</v>
      </c>
      <c r="F1209" s="9" t="n">
        <v>42825</v>
      </c>
      <c r="G1209" s="8">
        <f>RANK(F1209,$F$5:$F$1561)</f>
        <v/>
      </c>
      <c r="H1209" s="8" t="inlineStr"/>
      <c r="I1209" s="9">
        <f>IF(D1209="Private",E1209,"")</f>
        <v/>
      </c>
      <c r="J1209" s="9">
        <f>IF(D1209="Private",F1209,"")</f>
        <v/>
      </c>
    </row>
    <row r="1210">
      <c r="A1210" s="8" t="inlineStr">
        <is>
          <t>Lee University</t>
        </is>
      </c>
      <c r="B1210" s="8" t="inlineStr">
        <is>
          <t>Cleveland</t>
        </is>
      </c>
      <c r="C1210" s="8" t="inlineStr">
        <is>
          <t>TN</t>
        </is>
      </c>
      <c r="D1210" s="8" t="inlineStr">
        <is>
          <t>Private</t>
        </is>
      </c>
      <c r="E1210" s="9" t="n">
        <v>19443</v>
      </c>
      <c r="F1210" s="9" t="n">
        <v>42772</v>
      </c>
      <c r="G1210" s="8">
        <f>RANK(F1210,$F$5:$F$1561)</f>
        <v/>
      </c>
      <c r="H1210" s="8" t="inlineStr"/>
      <c r="I1210" s="9">
        <f>IF(D1210="Private",E1210,"")</f>
        <v/>
      </c>
      <c r="J1210" s="9">
        <f>IF(D1210="Private",F1210,"")</f>
        <v/>
      </c>
    </row>
    <row r="1211">
      <c r="A1211" s="8" t="inlineStr">
        <is>
          <t>Missouri Baptist University</t>
        </is>
      </c>
      <c r="B1211" s="8" t="inlineStr">
        <is>
          <t>Saint Louis</t>
        </is>
      </c>
      <c r="C1211" s="8" t="inlineStr">
        <is>
          <t>MO</t>
        </is>
      </c>
      <c r="D1211" s="8" t="inlineStr">
        <is>
          <t>Private</t>
        </is>
      </c>
      <c r="E1211" s="9" t="n">
        <v>22928</v>
      </c>
      <c r="F1211" s="9" t="n">
        <v>42766</v>
      </c>
      <c r="G1211" s="8">
        <f>RANK(F1211,$F$5:$F$1561)</f>
        <v/>
      </c>
      <c r="H1211" s="8" t="inlineStr"/>
      <c r="I1211" s="9">
        <f>IF(D1211="Private",E1211,"")</f>
        <v/>
      </c>
      <c r="J1211" s="9">
        <f>IF(D1211="Private",F1211,"")</f>
        <v/>
      </c>
    </row>
    <row r="1212">
      <c r="A1212" s="8" t="inlineStr">
        <is>
          <t>The Evergreen State College</t>
        </is>
      </c>
      <c r="B1212" s="8" t="inlineStr">
        <is>
          <t>Olympia</t>
        </is>
      </c>
      <c r="C1212" s="8" t="inlineStr">
        <is>
          <t>WA</t>
        </is>
      </c>
      <c r="D1212" s="8" t="inlineStr">
        <is>
          <t>Public</t>
        </is>
      </c>
      <c r="E1212" s="9" t="n">
        <v>21048</v>
      </c>
      <c r="F1212" s="9" t="n">
        <v>42742</v>
      </c>
      <c r="G1212" s="8">
        <f>RANK(F1212,$F$5:$F$1561)</f>
        <v/>
      </c>
      <c r="H1212" s="8" t="inlineStr"/>
      <c r="I1212" s="9">
        <f>IF(D1212="Private",E1212,"")</f>
        <v/>
      </c>
      <c r="J1212" s="9">
        <f>IF(D1212="Private",F1212,"")</f>
        <v/>
      </c>
    </row>
    <row r="1213">
      <c r="A1213" s="8" t="inlineStr">
        <is>
          <t>Southeast Missouri State University</t>
        </is>
      </c>
      <c r="B1213" s="8" t="inlineStr">
        <is>
          <t>Cape Girardeau</t>
        </is>
      </c>
      <c r="C1213" s="8" t="inlineStr">
        <is>
          <t>MO</t>
        </is>
      </c>
      <c r="D1213" s="8" t="inlineStr">
        <is>
          <t>Public</t>
        </is>
      </c>
      <c r="E1213" s="9" t="n">
        <v>13321</v>
      </c>
      <c r="F1213" s="9" t="n">
        <v>42700</v>
      </c>
      <c r="G1213" s="8">
        <f>RANK(F1213,$F$5:$F$1561)</f>
        <v/>
      </c>
      <c r="H1213" s="8" t="inlineStr"/>
      <c r="I1213" s="9">
        <f>IF(D1213="Private",E1213,"")</f>
        <v/>
      </c>
      <c r="J1213" s="9">
        <f>IF(D1213="Private",F1213,"")</f>
        <v/>
      </c>
    </row>
    <row r="1214">
      <c r="A1214" s="8" t="inlineStr">
        <is>
          <t>Northland College</t>
        </is>
      </c>
      <c r="B1214" s="8" t="inlineStr">
        <is>
          <t>Ashland</t>
        </is>
      </c>
      <c r="C1214" s="8" t="inlineStr">
        <is>
          <t>WI</t>
        </is>
      </c>
      <c r="D1214" s="8" t="inlineStr">
        <is>
          <t>Private</t>
        </is>
      </c>
      <c r="E1214" s="9" t="n">
        <v>20535</v>
      </c>
      <c r="F1214" s="9" t="n">
        <v>42687</v>
      </c>
      <c r="G1214" s="8">
        <f>RANK(F1214,$F$5:$F$1561)</f>
        <v/>
      </c>
      <c r="H1214" s="8" t="inlineStr"/>
      <c r="I1214" s="9">
        <f>IF(D1214="Private",E1214,"")</f>
        <v/>
      </c>
      <c r="J1214" s="9">
        <f>IF(D1214="Private",F1214,"")</f>
        <v/>
      </c>
    </row>
    <row r="1215">
      <c r="A1215" s="8" t="inlineStr">
        <is>
          <t>Tennessee Wesleyan University</t>
        </is>
      </c>
      <c r="B1215" s="8" t="inlineStr">
        <is>
          <t>Athens</t>
        </is>
      </c>
      <c r="C1215" s="8" t="inlineStr">
        <is>
          <t>TN</t>
        </is>
      </c>
      <c r="D1215" s="8" t="inlineStr">
        <is>
          <t>Private</t>
        </is>
      </c>
      <c r="E1215" s="9" t="n">
        <v>14333</v>
      </c>
      <c r="F1215" s="9" t="n">
        <v>42661</v>
      </c>
      <c r="G1215" s="8">
        <f>RANK(F1215,$F$5:$F$1561)</f>
        <v/>
      </c>
      <c r="H1215" s="8" t="inlineStr"/>
      <c r="I1215" s="9">
        <f>IF(D1215="Private",E1215,"")</f>
        <v/>
      </c>
      <c r="J1215" s="9">
        <f>IF(D1215="Private",F1215,"")</f>
        <v/>
      </c>
    </row>
    <row r="1216">
      <c r="A1216" s="8" t="inlineStr">
        <is>
          <t>Rogers State University</t>
        </is>
      </c>
      <c r="B1216" s="8" t="inlineStr">
        <is>
          <t>Claremore</t>
        </is>
      </c>
      <c r="C1216" s="8" t="inlineStr">
        <is>
          <t>OK</t>
        </is>
      </c>
      <c r="D1216" s="8" t="inlineStr">
        <is>
          <t>Public</t>
        </is>
      </c>
      <c r="E1216" s="9" t="n">
        <v>13361</v>
      </c>
      <c r="F1216" s="9" t="n">
        <v>42648</v>
      </c>
      <c r="G1216" s="8">
        <f>RANK(F1216,$F$5:$F$1561)</f>
        <v/>
      </c>
      <c r="H1216" s="8" t="inlineStr"/>
      <c r="I1216" s="9">
        <f>IF(D1216="Private",E1216,"")</f>
        <v/>
      </c>
      <c r="J1216" s="9">
        <f>IF(D1216="Private",F1216,"")</f>
        <v/>
      </c>
    </row>
    <row r="1217">
      <c r="A1217" s="8" t="inlineStr">
        <is>
          <t>Asbury University</t>
        </is>
      </c>
      <c r="B1217" s="8" t="inlineStr">
        <is>
          <t>Wilmore</t>
        </is>
      </c>
      <c r="C1217" s="8" t="inlineStr">
        <is>
          <t>KY</t>
        </is>
      </c>
      <c r="D1217" s="8" t="inlineStr">
        <is>
          <t>Private</t>
        </is>
      </c>
      <c r="E1217" s="9" t="n">
        <v>23048</v>
      </c>
      <c r="F1217" s="9" t="n">
        <v>42628</v>
      </c>
      <c r="G1217" s="8">
        <f>RANK(F1217,$F$5:$F$1561)</f>
        <v/>
      </c>
      <c r="H1217" s="8" t="inlineStr"/>
      <c r="I1217" s="9">
        <f>IF(D1217="Private",E1217,"")</f>
        <v/>
      </c>
      <c r="J1217" s="9">
        <f>IF(D1217="Private",F1217,"")</f>
        <v/>
      </c>
    </row>
    <row r="1218">
      <c r="A1218" s="8" t="inlineStr">
        <is>
          <t>SUNY College of Agriculture and Technology at Cobleskill</t>
        </is>
      </c>
      <c r="B1218" s="8" t="inlineStr">
        <is>
          <t>Cobleskill</t>
        </is>
      </c>
      <c r="C1218" s="8" t="inlineStr">
        <is>
          <t>NY</t>
        </is>
      </c>
      <c r="D1218" s="8" t="inlineStr">
        <is>
          <t>Public</t>
        </is>
      </c>
      <c r="E1218" s="9" t="n">
        <v>16366</v>
      </c>
      <c r="F1218" s="9" t="n">
        <v>42620</v>
      </c>
      <c r="G1218" s="8">
        <f>RANK(F1218,$F$5:$F$1561)</f>
        <v/>
      </c>
      <c r="H1218" s="8" t="inlineStr"/>
      <c r="I1218" s="9">
        <f>IF(D1218="Private",E1218,"")</f>
        <v/>
      </c>
      <c r="J1218" s="9">
        <f>IF(D1218="Private",F1218,"")</f>
        <v/>
      </c>
    </row>
    <row r="1219">
      <c r="A1219" s="8" t="inlineStr">
        <is>
          <t>Central Methodist University-College of Liberal Arts and Sciences</t>
        </is>
      </c>
      <c r="B1219" s="8" t="inlineStr">
        <is>
          <t>Fayette</t>
        </is>
      </c>
      <c r="C1219" s="8" t="inlineStr">
        <is>
          <t>MO</t>
        </is>
      </c>
      <c r="D1219" s="8" t="inlineStr">
        <is>
          <t>Private</t>
        </is>
      </c>
      <c r="E1219" s="9" t="n">
        <v>25087</v>
      </c>
      <c r="F1219" s="9" t="n">
        <v>42616</v>
      </c>
      <c r="G1219" s="8">
        <f>RANK(F1219,$F$5:$F$1561)</f>
        <v/>
      </c>
      <c r="H1219" s="8" t="inlineStr"/>
      <c r="I1219" s="9">
        <f>IF(D1219="Private",E1219,"")</f>
        <v/>
      </c>
      <c r="J1219" s="9">
        <f>IF(D1219="Private",F1219,"")</f>
        <v/>
      </c>
    </row>
    <row r="1220">
      <c r="A1220" s="8" t="inlineStr">
        <is>
          <t>Central Methodist University-College of Graduate and Extended Studies</t>
        </is>
      </c>
      <c r="B1220" s="8" t="inlineStr">
        <is>
          <t>Fayette</t>
        </is>
      </c>
      <c r="C1220" s="8" t="inlineStr">
        <is>
          <t>MO</t>
        </is>
      </c>
      <c r="D1220" s="8" t="inlineStr">
        <is>
          <t>Private</t>
        </is>
      </c>
      <c r="E1220" s="9" t="n">
        <v>17143</v>
      </c>
      <c r="F1220" s="9" t="n">
        <v>42616</v>
      </c>
      <c r="G1220" s="8">
        <f>RANK(F1220,$F$5:$F$1561)</f>
        <v/>
      </c>
      <c r="H1220" s="8" t="inlineStr"/>
      <c r="I1220" s="9">
        <f>IF(D1220="Private",E1220,"")</f>
        <v/>
      </c>
      <c r="J1220" s="9">
        <f>IF(D1220="Private",F1220,"")</f>
        <v/>
      </c>
    </row>
    <row r="1221">
      <c r="A1221" s="8" t="inlineStr">
        <is>
          <t>University of North Alabama</t>
        </is>
      </c>
      <c r="B1221" s="8" t="inlineStr">
        <is>
          <t>Florence</t>
        </is>
      </c>
      <c r="C1221" s="8" t="inlineStr">
        <is>
          <t>AL</t>
        </is>
      </c>
      <c r="D1221" s="8" t="inlineStr">
        <is>
          <t>Public</t>
        </is>
      </c>
      <c r="E1221" s="9" t="n">
        <v>12631</v>
      </c>
      <c r="F1221" s="9" t="n">
        <v>42601</v>
      </c>
      <c r="G1221" s="8">
        <f>RANK(F1221,$F$5:$F$1561)</f>
        <v/>
      </c>
      <c r="H1221" s="8" t="inlineStr"/>
      <c r="I1221" s="9">
        <f>IF(D1221="Private",E1221,"")</f>
        <v/>
      </c>
      <c r="J1221" s="9">
        <f>IF(D1221="Private",F1221,"")</f>
        <v/>
      </c>
    </row>
    <row r="1222">
      <c r="A1222" s="8" t="inlineStr">
        <is>
          <t>Mars Hill University</t>
        </is>
      </c>
      <c r="B1222" s="8" t="inlineStr">
        <is>
          <t>Mars Hill</t>
        </is>
      </c>
      <c r="C1222" s="8" t="inlineStr">
        <is>
          <t>NC</t>
        </is>
      </c>
      <c r="D1222" s="8" t="inlineStr">
        <is>
          <t>Private</t>
        </is>
      </c>
      <c r="E1222" s="9" t="n">
        <v>19513</v>
      </c>
      <c r="F1222" s="9" t="n">
        <v>42599</v>
      </c>
      <c r="G1222" s="8">
        <f>RANK(F1222,$F$5:$F$1561)</f>
        <v/>
      </c>
      <c r="H1222" s="8" t="inlineStr"/>
      <c r="I1222" s="9">
        <f>IF(D1222="Private",E1222,"")</f>
        <v/>
      </c>
      <c r="J1222" s="9">
        <f>IF(D1222="Private",F1222,"")</f>
        <v/>
      </c>
    </row>
    <row r="1223">
      <c r="A1223" s="8" t="inlineStr">
        <is>
          <t>East Tennessee State University</t>
        </is>
      </c>
      <c r="B1223" s="8" t="inlineStr">
        <is>
          <t>Johnson City</t>
        </is>
      </c>
      <c r="C1223" s="8" t="inlineStr">
        <is>
          <t>TN</t>
        </is>
      </c>
      <c r="D1223" s="8" t="inlineStr">
        <is>
          <t>Public</t>
        </is>
      </c>
      <c r="E1223" s="9" t="n">
        <v>13220</v>
      </c>
      <c r="F1223" s="9" t="n">
        <v>42563</v>
      </c>
      <c r="G1223" s="8">
        <f>RANK(F1223,$F$5:$F$1561)</f>
        <v/>
      </c>
      <c r="H1223" s="8" t="inlineStr"/>
      <c r="I1223" s="9">
        <f>IF(D1223="Private",E1223,"")</f>
        <v/>
      </c>
      <c r="J1223" s="9">
        <f>IF(D1223="Private",F1223,"")</f>
        <v/>
      </c>
    </row>
    <row r="1224">
      <c r="A1224" s="8" t="inlineStr">
        <is>
          <t>Mount Aloysius College</t>
        </is>
      </c>
      <c r="B1224" s="8" t="inlineStr">
        <is>
          <t>Cresson</t>
        </is>
      </c>
      <c r="C1224" s="8" t="inlineStr">
        <is>
          <t>PA</t>
        </is>
      </c>
      <c r="D1224" s="8" t="inlineStr">
        <is>
          <t>Private</t>
        </is>
      </c>
      <c r="E1224" s="9" t="n">
        <v>22921</v>
      </c>
      <c r="F1224" s="9" t="n">
        <v>42489</v>
      </c>
      <c r="G1224" s="8">
        <f>RANK(F1224,$F$5:$F$1561)</f>
        <v/>
      </c>
      <c r="H1224" s="8" t="inlineStr"/>
      <c r="I1224" s="9">
        <f>IF(D1224="Private",E1224,"")</f>
        <v/>
      </c>
      <c r="J1224" s="9">
        <f>IF(D1224="Private",F1224,"")</f>
        <v/>
      </c>
    </row>
    <row r="1225">
      <c r="A1225" s="8" t="inlineStr">
        <is>
          <t>North Central University</t>
        </is>
      </c>
      <c r="B1225" s="8" t="inlineStr">
        <is>
          <t>Minneapolis</t>
        </is>
      </c>
      <c r="C1225" s="8" t="inlineStr">
        <is>
          <t>MN</t>
        </is>
      </c>
      <c r="D1225" s="8" t="inlineStr">
        <is>
          <t>Private</t>
        </is>
      </c>
      <c r="E1225" s="9" t="n">
        <v>24008</v>
      </c>
      <c r="F1225" s="9" t="n">
        <v>42445</v>
      </c>
      <c r="G1225" s="8">
        <f>RANK(F1225,$F$5:$F$1561)</f>
        <v/>
      </c>
      <c r="H1225" s="8" t="inlineStr"/>
      <c r="I1225" s="9">
        <f>IF(D1225="Private",E1225,"")</f>
        <v/>
      </c>
      <c r="J1225" s="9">
        <f>IF(D1225="Private",F1225,"")</f>
        <v/>
      </c>
    </row>
    <row r="1226">
      <c r="A1226" s="8" t="inlineStr">
        <is>
          <t>Montreat College</t>
        </is>
      </c>
      <c r="B1226" s="8" t="inlineStr">
        <is>
          <t>Montreat</t>
        </is>
      </c>
      <c r="C1226" s="8" t="inlineStr">
        <is>
          <t>NC</t>
        </is>
      </c>
      <c r="D1226" s="8" t="inlineStr">
        <is>
          <t>Private</t>
        </is>
      </c>
      <c r="E1226" s="9" t="n">
        <v>24828</v>
      </c>
      <c r="F1226" s="9" t="n">
        <v>42441</v>
      </c>
      <c r="G1226" s="8">
        <f>RANK(F1226,$F$5:$F$1561)</f>
        <v/>
      </c>
      <c r="H1226" s="8" t="inlineStr"/>
      <c r="I1226" s="9">
        <f>IF(D1226="Private",E1226,"")</f>
        <v/>
      </c>
      <c r="J1226" s="9">
        <f>IF(D1226="Private",F1226,"")</f>
        <v/>
      </c>
    </row>
    <row r="1227">
      <c r="A1227" s="8" t="inlineStr">
        <is>
          <t>Davenport University</t>
        </is>
      </c>
      <c r="B1227" s="8" t="inlineStr">
        <is>
          <t>Grand Rapids</t>
        </is>
      </c>
      <c r="C1227" s="8" t="inlineStr">
        <is>
          <t>MI</t>
        </is>
      </c>
      <c r="D1227" s="8" t="inlineStr">
        <is>
          <t>Private</t>
        </is>
      </c>
      <c r="E1227" s="9" t="n">
        <v>18771</v>
      </c>
      <c r="F1227" s="9" t="n">
        <v>42432</v>
      </c>
      <c r="G1227" s="8">
        <f>RANK(F1227,$F$5:$F$1561)</f>
        <v/>
      </c>
      <c r="H1227" s="8" t="inlineStr"/>
      <c r="I1227" s="9">
        <f>IF(D1227="Private",E1227,"")</f>
        <v/>
      </c>
      <c r="J1227" s="9">
        <f>IF(D1227="Private",F1227,"")</f>
        <v/>
      </c>
    </row>
    <row r="1228">
      <c r="A1228" s="8" t="inlineStr">
        <is>
          <t>Midway University</t>
        </is>
      </c>
      <c r="B1228" s="8" t="inlineStr">
        <is>
          <t>Midway</t>
        </is>
      </c>
      <c r="C1228" s="8" t="inlineStr">
        <is>
          <t>KY</t>
        </is>
      </c>
      <c r="D1228" s="8" t="inlineStr">
        <is>
          <t>Private</t>
        </is>
      </c>
      <c r="E1228" s="9" t="n">
        <v>23204</v>
      </c>
      <c r="F1228" s="9" t="n">
        <v>42360</v>
      </c>
      <c r="G1228" s="8">
        <f>RANK(F1228,$F$5:$F$1561)</f>
        <v/>
      </c>
      <c r="H1228" s="8" t="inlineStr"/>
      <c r="I1228" s="9">
        <f>IF(D1228="Private",E1228,"")</f>
        <v/>
      </c>
      <c r="J1228" s="9">
        <f>IF(D1228="Private",F1228,"")</f>
        <v/>
      </c>
    </row>
    <row r="1229">
      <c r="A1229" s="8" t="inlineStr">
        <is>
          <t>Central Baptist College</t>
        </is>
      </c>
      <c r="B1229" s="8" t="inlineStr">
        <is>
          <t>Conway</t>
        </is>
      </c>
      <c r="C1229" s="8" t="inlineStr">
        <is>
          <t>AR</t>
        </is>
      </c>
      <c r="D1229" s="8" t="inlineStr">
        <is>
          <t>Private</t>
        </is>
      </c>
      <c r="E1229" s="9" t="n">
        <v>23545</v>
      </c>
      <c r="F1229" s="9" t="n">
        <v>42333</v>
      </c>
      <c r="G1229" s="8">
        <f>RANK(F1229,$F$5:$F$1561)</f>
        <v/>
      </c>
      <c r="H1229" s="8" t="inlineStr"/>
      <c r="I1229" s="9">
        <f>IF(D1229="Private",E1229,"")</f>
        <v/>
      </c>
      <c r="J1229" s="9">
        <f>IF(D1229="Private",F1229,"")</f>
        <v/>
      </c>
    </row>
    <row r="1230">
      <c r="A1230" s="8" t="inlineStr">
        <is>
          <t>SUNY College of Technology at Canton</t>
        </is>
      </c>
      <c r="B1230" s="8" t="inlineStr">
        <is>
          <t>Canton</t>
        </is>
      </c>
      <c r="C1230" s="8" t="inlineStr">
        <is>
          <t>NY</t>
        </is>
      </c>
      <c r="D1230" s="8" t="inlineStr">
        <is>
          <t>Public</t>
        </is>
      </c>
      <c r="E1230" s="9" t="n">
        <v>11998</v>
      </c>
      <c r="F1230" s="9" t="n">
        <v>42326</v>
      </c>
      <c r="G1230" s="8">
        <f>RANK(F1230,$F$5:$F$1561)</f>
        <v/>
      </c>
      <c r="H1230" s="8" t="inlineStr"/>
      <c r="I1230" s="9">
        <f>IF(D1230="Private",E1230,"")</f>
        <v/>
      </c>
      <c r="J1230" s="9">
        <f>IF(D1230="Private",F1230,"")</f>
        <v/>
      </c>
    </row>
    <row r="1231">
      <c r="A1231" s="8" t="inlineStr">
        <is>
          <t>Faith Baptist Bible College and Theological Seminary</t>
        </is>
      </c>
      <c r="B1231" s="8" t="inlineStr">
        <is>
          <t>Ankeny</t>
        </is>
      </c>
      <c r="C1231" s="8" t="inlineStr">
        <is>
          <t>IA</t>
        </is>
      </c>
      <c r="D1231" s="8" t="inlineStr">
        <is>
          <t>Private</t>
        </is>
      </c>
      <c r="E1231" s="9" t="n">
        <v>15226</v>
      </c>
      <c r="F1231" s="9" t="n">
        <v>42315</v>
      </c>
      <c r="G1231" s="8">
        <f>RANK(F1231,$F$5:$F$1561)</f>
        <v/>
      </c>
      <c r="H1231" s="8" t="inlineStr"/>
      <c r="I1231" s="9">
        <f>IF(D1231="Private",E1231,"")</f>
        <v/>
      </c>
      <c r="J1231" s="9">
        <f>IF(D1231="Private",F1231,"")</f>
        <v/>
      </c>
    </row>
    <row r="1232">
      <c r="A1232" s="8" t="inlineStr">
        <is>
          <t>Texas A&amp;M University-Texarkana</t>
        </is>
      </c>
      <c r="B1232" s="8" t="inlineStr">
        <is>
          <t>Texarkana</t>
        </is>
      </c>
      <c r="C1232" s="8" t="inlineStr">
        <is>
          <t>TX</t>
        </is>
      </c>
      <c r="D1232" s="8" t="inlineStr">
        <is>
          <t>Public</t>
        </is>
      </c>
      <c r="E1232" s="9" t="n">
        <v>14204</v>
      </c>
      <c r="F1232" s="9" t="n">
        <v>42272</v>
      </c>
      <c r="G1232" s="8">
        <f>RANK(F1232,$F$5:$F$1561)</f>
        <v/>
      </c>
      <c r="H1232" s="8" t="inlineStr"/>
      <c r="I1232" s="9">
        <f>IF(D1232="Private",E1232,"")</f>
        <v/>
      </c>
      <c r="J1232" s="9">
        <f>IF(D1232="Private",F1232,"")</f>
        <v/>
      </c>
    </row>
    <row r="1233">
      <c r="A1233" s="8" t="inlineStr">
        <is>
          <t>Francis Marion University</t>
        </is>
      </c>
      <c r="B1233" s="8" t="inlineStr">
        <is>
          <t>Florence</t>
        </is>
      </c>
      <c r="C1233" s="8" t="inlineStr">
        <is>
          <t>SC</t>
        </is>
      </c>
      <c r="D1233" s="8" t="inlineStr">
        <is>
          <t>Public</t>
        </is>
      </c>
      <c r="E1233" s="9" t="n">
        <v>13020</v>
      </c>
      <c r="F1233" s="9" t="n">
        <v>42263</v>
      </c>
      <c r="G1233" s="8">
        <f>RANK(F1233,$F$5:$F$1561)</f>
        <v/>
      </c>
      <c r="H1233" s="8" t="inlineStr"/>
      <c r="I1233" s="9">
        <f>IF(D1233="Private",E1233,"")</f>
        <v/>
      </c>
      <c r="J1233" s="9">
        <f>IF(D1233="Private",F1233,"")</f>
        <v/>
      </c>
    </row>
    <row r="1234">
      <c r="A1234" s="8" t="inlineStr">
        <is>
          <t>Black Hills State University</t>
        </is>
      </c>
      <c r="B1234" s="8" t="inlineStr">
        <is>
          <t>Spearfish</t>
        </is>
      </c>
      <c r="C1234" s="8" t="inlineStr">
        <is>
          <t>SD</t>
        </is>
      </c>
      <c r="D1234" s="8" t="inlineStr">
        <is>
          <t>Public</t>
        </is>
      </c>
      <c r="E1234" s="9" t="n">
        <v>16448</v>
      </c>
      <c r="F1234" s="9" t="n">
        <v>42217</v>
      </c>
      <c r="G1234" s="8">
        <f>RANK(F1234,$F$5:$F$1561)</f>
        <v/>
      </c>
      <c r="H1234" s="8" t="inlineStr"/>
      <c r="I1234" s="9">
        <f>IF(D1234="Private",E1234,"")</f>
        <v/>
      </c>
      <c r="J1234" s="9">
        <f>IF(D1234="Private",F1234,"")</f>
        <v/>
      </c>
    </row>
    <row r="1235">
      <c r="A1235" s="8" t="inlineStr">
        <is>
          <t>Freed-Hardeman University</t>
        </is>
      </c>
      <c r="B1235" s="8" t="inlineStr">
        <is>
          <t>Henderson</t>
        </is>
      </c>
      <c r="C1235" s="8" t="inlineStr">
        <is>
          <t>TN</t>
        </is>
      </c>
      <c r="D1235" s="8" t="inlineStr">
        <is>
          <t>Private</t>
        </is>
      </c>
      <c r="E1235" s="9" t="n">
        <v>17099</v>
      </c>
      <c r="F1235" s="9" t="n">
        <v>42173</v>
      </c>
      <c r="G1235" s="8">
        <f>RANK(F1235,$F$5:$F$1561)</f>
        <v/>
      </c>
      <c r="H1235" s="8" t="inlineStr"/>
      <c r="I1235" s="9">
        <f>IF(D1235="Private",E1235,"")</f>
        <v/>
      </c>
      <c r="J1235" s="9">
        <f>IF(D1235="Private",F1235,"")</f>
        <v/>
      </c>
    </row>
    <row r="1236">
      <c r="A1236" s="8" t="inlineStr">
        <is>
          <t>Belhaven University</t>
        </is>
      </c>
      <c r="B1236" s="8" t="inlineStr">
        <is>
          <t>Jackson</t>
        </is>
      </c>
      <c r="C1236" s="8" t="inlineStr">
        <is>
          <t>MS</t>
        </is>
      </c>
      <c r="D1236" s="8" t="inlineStr">
        <is>
          <t>Private</t>
        </is>
      </c>
      <c r="E1236" s="9" t="n">
        <v>18088</v>
      </c>
      <c r="F1236" s="9" t="n">
        <v>42152</v>
      </c>
      <c r="G1236" s="8">
        <f>RANK(F1236,$F$5:$F$1561)</f>
        <v/>
      </c>
      <c r="H1236" s="8" t="inlineStr"/>
      <c r="I1236" s="9">
        <f>IF(D1236="Private",E1236,"")</f>
        <v/>
      </c>
      <c r="J1236" s="9">
        <f>IF(D1236="Private",F1236,"")</f>
        <v/>
      </c>
    </row>
    <row r="1237">
      <c r="A1237" s="8" t="inlineStr">
        <is>
          <t>Eastern Kentucky University</t>
        </is>
      </c>
      <c r="B1237" s="8" t="inlineStr">
        <is>
          <t>Richmond</t>
        </is>
      </c>
      <c r="C1237" s="8" t="inlineStr">
        <is>
          <t>KY</t>
        </is>
      </c>
      <c r="D1237" s="8" t="inlineStr">
        <is>
          <t>Public</t>
        </is>
      </c>
      <c r="E1237" s="9" t="n">
        <v>13821</v>
      </c>
      <c r="F1237" s="9" t="n">
        <v>42134</v>
      </c>
      <c r="G1237" s="8">
        <f>RANK(F1237,$F$5:$F$1561)</f>
        <v/>
      </c>
      <c r="H1237" s="8" t="inlineStr"/>
      <c r="I1237" s="9">
        <f>IF(D1237="Private",E1237,"")</f>
        <v/>
      </c>
      <c r="J1237" s="9">
        <f>IF(D1237="Private",F1237,"")</f>
        <v/>
      </c>
    </row>
    <row r="1238">
      <c r="A1238" s="8" t="inlineStr">
        <is>
          <t>University of Southern Mississippi</t>
        </is>
      </c>
      <c r="B1238" s="8" t="inlineStr">
        <is>
          <t>Hattiesburg</t>
        </is>
      </c>
      <c r="C1238" s="8" t="inlineStr">
        <is>
          <t>MS</t>
        </is>
      </c>
      <c r="D1238" s="8" t="inlineStr">
        <is>
          <t>Public</t>
        </is>
      </c>
      <c r="E1238" s="9" t="n">
        <v>13863</v>
      </c>
      <c r="F1238" s="9" t="n">
        <v>42073</v>
      </c>
      <c r="G1238" s="8">
        <f>RANK(F1238,$F$5:$F$1561)</f>
        <v/>
      </c>
      <c r="H1238" s="8" t="inlineStr"/>
      <c r="I1238" s="9">
        <f>IF(D1238="Private",E1238,"")</f>
        <v/>
      </c>
      <c r="J1238" s="9">
        <f>IF(D1238="Private",F1238,"")</f>
        <v/>
      </c>
    </row>
    <row r="1239">
      <c r="A1239" s="8" t="inlineStr">
        <is>
          <t>Fisk University</t>
        </is>
      </c>
      <c r="B1239" s="8" t="inlineStr">
        <is>
          <t>Nashville</t>
        </is>
      </c>
      <c r="C1239" s="8" t="inlineStr">
        <is>
          <t>TN</t>
        </is>
      </c>
      <c r="D1239" s="8" t="inlineStr">
        <is>
          <t>Private</t>
        </is>
      </c>
      <c r="E1239" s="9" t="n">
        <v>23136</v>
      </c>
      <c r="F1239" s="9" t="n">
        <v>42011</v>
      </c>
      <c r="G1239" s="8">
        <f>RANK(F1239,$F$5:$F$1561)</f>
        <v/>
      </c>
      <c r="H1239" s="8" t="inlineStr"/>
      <c r="I1239" s="9">
        <f>IF(D1239="Private",E1239,"")</f>
        <v/>
      </c>
      <c r="J1239" s="9">
        <f>IF(D1239="Private",F1239,"")</f>
        <v/>
      </c>
    </row>
    <row r="1240">
      <c r="A1240" s="8" t="inlineStr">
        <is>
          <t>Southeastern University</t>
        </is>
      </c>
      <c r="B1240" s="8" t="inlineStr">
        <is>
          <t>Lakeland</t>
        </is>
      </c>
      <c r="C1240" s="8" t="inlineStr">
        <is>
          <t>FL</t>
        </is>
      </c>
      <c r="D1240" s="8" t="inlineStr">
        <is>
          <t>Private</t>
        </is>
      </c>
      <c r="E1240" s="9" t="n">
        <v>27891</v>
      </c>
      <c r="F1240" s="9" t="n">
        <v>42006</v>
      </c>
      <c r="G1240" s="8">
        <f>RANK(F1240,$F$5:$F$1561)</f>
        <v/>
      </c>
      <c r="H1240" s="8" t="inlineStr"/>
      <c r="I1240" s="9">
        <f>IF(D1240="Private",E1240,"")</f>
        <v/>
      </c>
      <c r="J1240" s="9">
        <f>IF(D1240="Private",F1240,"")</f>
        <v/>
      </c>
    </row>
    <row r="1241">
      <c r="A1241" s="8" t="inlineStr">
        <is>
          <t>Bryn Athyn College of the New Church</t>
        </is>
      </c>
      <c r="B1241" s="8" t="inlineStr">
        <is>
          <t>Bryn Athyn</t>
        </is>
      </c>
      <c r="C1241" s="8" t="inlineStr">
        <is>
          <t>PA</t>
        </is>
      </c>
      <c r="D1241" s="8" t="inlineStr">
        <is>
          <t>Private</t>
        </is>
      </c>
      <c r="E1241" s="9" t="n">
        <v>25238</v>
      </c>
      <c r="F1241" s="9" t="n">
        <v>42001</v>
      </c>
      <c r="G1241" s="8">
        <f>RANK(F1241,$F$5:$F$1561)</f>
        <v/>
      </c>
      <c r="H1241" s="8" t="inlineStr"/>
      <c r="I1241" s="9">
        <f>IF(D1241="Private",E1241,"")</f>
        <v/>
      </c>
      <c r="J1241" s="9">
        <f>IF(D1241="Private",F1241,"")</f>
        <v/>
      </c>
    </row>
    <row r="1242">
      <c r="A1242" s="8" t="inlineStr">
        <is>
          <t>West Liberty University</t>
        </is>
      </c>
      <c r="B1242" s="8" t="inlineStr">
        <is>
          <t>West Liberty</t>
        </is>
      </c>
      <c r="C1242" s="8" t="inlineStr">
        <is>
          <t>WV</t>
        </is>
      </c>
      <c r="D1242" s="8" t="inlineStr">
        <is>
          <t>Public</t>
        </is>
      </c>
      <c r="E1242" s="9" t="n">
        <v>15225</v>
      </c>
      <c r="F1242" s="9" t="n">
        <v>41989</v>
      </c>
      <c r="G1242" s="8">
        <f>RANK(F1242,$F$5:$F$1561)</f>
        <v/>
      </c>
      <c r="H1242" s="8" t="inlineStr"/>
      <c r="I1242" s="9">
        <f>IF(D1242="Private",E1242,"")</f>
        <v/>
      </c>
      <c r="J1242" s="9">
        <f>IF(D1242="Private",F1242,"")</f>
        <v/>
      </c>
    </row>
    <row r="1243">
      <c r="A1243" s="8" t="inlineStr">
        <is>
          <t>Clark Atlanta University</t>
        </is>
      </c>
      <c r="B1243" s="8" t="inlineStr">
        <is>
          <t>Atlanta</t>
        </is>
      </c>
      <c r="C1243" s="8" t="inlineStr">
        <is>
          <t>GA</t>
        </is>
      </c>
      <c r="D1243" s="8" t="inlineStr">
        <is>
          <t>Private</t>
        </is>
      </c>
      <c r="E1243" s="9" t="n">
        <v>33836</v>
      </c>
      <c r="F1243" s="9" t="n">
        <v>41968</v>
      </c>
      <c r="G1243" s="8">
        <f>RANK(F1243,$F$5:$F$1561)</f>
        <v/>
      </c>
      <c r="H1243" s="8" t="inlineStr"/>
      <c r="I1243" s="9">
        <f>IF(D1243="Private",E1243,"")</f>
        <v/>
      </c>
      <c r="J1243" s="9">
        <f>IF(D1243="Private",F1243,"")</f>
        <v/>
      </c>
    </row>
    <row r="1244">
      <c r="A1244" s="8" t="inlineStr">
        <is>
          <t>New England College</t>
        </is>
      </c>
      <c r="B1244" s="8" t="inlineStr">
        <is>
          <t>Henniker</t>
        </is>
      </c>
      <c r="C1244" s="8" t="inlineStr">
        <is>
          <t>NH</t>
        </is>
      </c>
      <c r="D1244" s="8" t="inlineStr">
        <is>
          <t>Private</t>
        </is>
      </c>
      <c r="E1244" s="9" t="n">
        <v>27092</v>
      </c>
      <c r="F1244" s="9" t="n">
        <v>41966</v>
      </c>
      <c r="G1244" s="8">
        <f>RANK(F1244,$F$5:$F$1561)</f>
        <v/>
      </c>
      <c r="H1244" s="8" t="inlineStr"/>
      <c r="I1244" s="9">
        <f>IF(D1244="Private",E1244,"")</f>
        <v/>
      </c>
      <c r="J1244" s="9">
        <f>IF(D1244="Private",F1244,"")</f>
        <v/>
      </c>
    </row>
    <row r="1245">
      <c r="A1245" s="8" t="inlineStr">
        <is>
          <t>Columbia College Chicago</t>
        </is>
      </c>
      <c r="B1245" s="8" t="inlineStr">
        <is>
          <t>Chicago</t>
        </is>
      </c>
      <c r="C1245" s="8" t="inlineStr">
        <is>
          <t>IL</t>
        </is>
      </c>
      <c r="D1245" s="8" t="inlineStr">
        <is>
          <t>Private</t>
        </is>
      </c>
      <c r="E1245" s="9" t="n">
        <v>24611</v>
      </c>
      <c r="F1245" s="9" t="n">
        <v>41963</v>
      </c>
      <c r="G1245" s="8">
        <f>RANK(F1245,$F$5:$F$1561)</f>
        <v/>
      </c>
      <c r="H1245" s="8" t="inlineStr"/>
      <c r="I1245" s="9">
        <f>IF(D1245="Private",E1245,"")</f>
        <v/>
      </c>
      <c r="J1245" s="9">
        <f>IF(D1245="Private",F1245,"")</f>
        <v/>
      </c>
    </row>
    <row r="1246">
      <c r="A1246" s="8" t="inlineStr">
        <is>
          <t>Southern Wesleyan University</t>
        </is>
      </c>
      <c r="B1246" s="8" t="inlineStr">
        <is>
          <t>Central</t>
        </is>
      </c>
      <c r="C1246" s="8" t="inlineStr">
        <is>
          <t>SC</t>
        </is>
      </c>
      <c r="D1246" s="8" t="inlineStr">
        <is>
          <t>Private</t>
        </is>
      </c>
      <c r="E1246" s="9" t="n">
        <v>19352</v>
      </c>
      <c r="F1246" s="9" t="n">
        <v>41948</v>
      </c>
      <c r="G1246" s="8">
        <f>RANK(F1246,$F$5:$F$1561)</f>
        <v/>
      </c>
      <c r="H1246" s="8" t="inlineStr"/>
      <c r="I1246" s="9">
        <f>IF(D1246="Private",E1246,"")</f>
        <v/>
      </c>
      <c r="J1246" s="9">
        <f>IF(D1246="Private",F1246,"")</f>
        <v/>
      </c>
    </row>
    <row r="1247">
      <c r="A1247" s="8" t="inlineStr">
        <is>
          <t>The University of Montana-Western</t>
        </is>
      </c>
      <c r="B1247" s="8" t="inlineStr">
        <is>
          <t>Dillon</t>
        </is>
      </c>
      <c r="C1247" s="8" t="inlineStr">
        <is>
          <t>MT</t>
        </is>
      </c>
      <c r="D1247" s="8" t="inlineStr">
        <is>
          <t>Public</t>
        </is>
      </c>
      <c r="E1247" s="9" t="n">
        <v>12938</v>
      </c>
      <c r="F1247" s="9" t="n">
        <v>41931</v>
      </c>
      <c r="G1247" s="8">
        <f>RANK(F1247,$F$5:$F$1561)</f>
        <v/>
      </c>
      <c r="H1247" s="8" t="inlineStr"/>
      <c r="I1247" s="9">
        <f>IF(D1247="Private",E1247,"")</f>
        <v/>
      </c>
      <c r="J1247" s="9">
        <f>IF(D1247="Private",F1247,"")</f>
        <v/>
      </c>
    </row>
    <row r="1248">
      <c r="A1248" s="8" t="inlineStr">
        <is>
          <t>Montana State University Billings</t>
        </is>
      </c>
      <c r="B1248" s="8" t="inlineStr">
        <is>
          <t>Billings</t>
        </is>
      </c>
      <c r="C1248" s="8" t="inlineStr">
        <is>
          <t>MT</t>
        </is>
      </c>
      <c r="D1248" s="8" t="inlineStr">
        <is>
          <t>Public</t>
        </is>
      </c>
      <c r="E1248" s="9" t="n">
        <v>14676</v>
      </c>
      <c r="F1248" s="9" t="n">
        <v>41907</v>
      </c>
      <c r="G1248" s="8">
        <f>RANK(F1248,$F$5:$F$1561)</f>
        <v/>
      </c>
      <c r="H1248" s="8" t="inlineStr"/>
      <c r="I1248" s="9">
        <f>IF(D1248="Private",E1248,"")</f>
        <v/>
      </c>
      <c r="J1248" s="9">
        <f>IF(D1248="Private",F1248,"")</f>
        <v/>
      </c>
    </row>
    <row r="1249">
      <c r="A1249" s="8" t="inlineStr">
        <is>
          <t>University of Virginia's College at Wise</t>
        </is>
      </c>
      <c r="B1249" s="8" t="inlineStr">
        <is>
          <t>Wise</t>
        </is>
      </c>
      <c r="C1249" s="8" t="inlineStr">
        <is>
          <t>VA</t>
        </is>
      </c>
      <c r="D1249" s="8" t="inlineStr">
        <is>
          <t>Public</t>
        </is>
      </c>
      <c r="E1249" s="9" t="n">
        <v>9784</v>
      </c>
      <c r="F1249" s="9" t="n">
        <v>41901</v>
      </c>
      <c r="G1249" s="8">
        <f>RANK(F1249,$F$5:$F$1561)</f>
        <v/>
      </c>
      <c r="H1249" s="8" t="inlineStr"/>
      <c r="I1249" s="9">
        <f>IF(D1249="Private",E1249,"")</f>
        <v/>
      </c>
      <c r="J1249" s="9">
        <f>IF(D1249="Private",F1249,"")</f>
        <v/>
      </c>
    </row>
    <row r="1250">
      <c r="A1250" s="8" t="inlineStr">
        <is>
          <t>Johnson &amp; Wales University-Providence</t>
        </is>
      </c>
      <c r="B1250" s="8" t="inlineStr">
        <is>
          <t>Providence</t>
        </is>
      </c>
      <c r="C1250" s="8" t="inlineStr">
        <is>
          <t>RI</t>
        </is>
      </c>
      <c r="D1250" s="8" t="inlineStr">
        <is>
          <t>Private</t>
        </is>
      </c>
      <c r="E1250" s="9" t="n">
        <v>29879</v>
      </c>
      <c r="F1250" s="9" t="n">
        <v>41886</v>
      </c>
      <c r="G1250" s="8">
        <f>RANK(F1250,$F$5:$F$1561)</f>
        <v/>
      </c>
      <c r="H1250" s="8" t="inlineStr"/>
      <c r="I1250" s="9">
        <f>IF(D1250="Private",E1250,"")</f>
        <v/>
      </c>
      <c r="J1250" s="9">
        <f>IF(D1250="Private",F1250,"")</f>
        <v/>
      </c>
    </row>
    <row r="1251">
      <c r="A1251" s="8" t="inlineStr">
        <is>
          <t>Johnson &amp; Wales University-Online</t>
        </is>
      </c>
      <c r="B1251" s="8" t="inlineStr">
        <is>
          <t>Providence</t>
        </is>
      </c>
      <c r="C1251" s="8" t="inlineStr">
        <is>
          <t>RI</t>
        </is>
      </c>
      <c r="D1251" s="8" t="inlineStr">
        <is>
          <t>Private</t>
        </is>
      </c>
      <c r="E1251" s="9" t="n">
        <v>21414</v>
      </c>
      <c r="F1251" s="9" t="n">
        <v>41886</v>
      </c>
      <c r="G1251" s="8">
        <f>RANK(F1251,$F$5:$F$1561)</f>
        <v/>
      </c>
      <c r="H1251" s="8" t="inlineStr"/>
      <c r="I1251" s="9">
        <f>IF(D1251="Private",E1251,"")</f>
        <v/>
      </c>
      <c r="J1251" s="9">
        <f>IF(D1251="Private",F1251,"")</f>
        <v/>
      </c>
    </row>
    <row r="1252">
      <c r="A1252" s="8" t="inlineStr">
        <is>
          <t>Johnson &amp; Wales University-Charlotte</t>
        </is>
      </c>
      <c r="B1252" s="8" t="inlineStr">
        <is>
          <t>Charlotte</t>
        </is>
      </c>
      <c r="C1252" s="8" t="inlineStr">
        <is>
          <t>NC</t>
        </is>
      </c>
      <c r="D1252" s="8" t="inlineStr">
        <is>
          <t>Private</t>
        </is>
      </c>
      <c r="E1252" s="9" t="n">
        <v>27013</v>
      </c>
      <c r="F1252" s="9" t="n">
        <v>41886</v>
      </c>
      <c r="G1252" s="8">
        <f>RANK(F1252,$F$5:$F$1561)</f>
        <v/>
      </c>
      <c r="H1252" s="8" t="inlineStr"/>
      <c r="I1252" s="9">
        <f>IF(D1252="Private",E1252,"")</f>
        <v/>
      </c>
      <c r="J1252" s="9">
        <f>IF(D1252="Private",F1252,"")</f>
        <v/>
      </c>
    </row>
    <row r="1253">
      <c r="A1253" s="8" t="inlineStr">
        <is>
          <t>North Greenville University</t>
        </is>
      </c>
      <c r="B1253" s="8" t="inlineStr">
        <is>
          <t>Tigerville</t>
        </is>
      </c>
      <c r="C1253" s="8" t="inlineStr">
        <is>
          <t>SC</t>
        </is>
      </c>
      <c r="D1253" s="8" t="inlineStr">
        <is>
          <t>Private</t>
        </is>
      </c>
      <c r="E1253" s="9" t="n">
        <v>19514</v>
      </c>
      <c r="F1253" s="9" t="n">
        <v>41812</v>
      </c>
      <c r="G1253" s="8">
        <f>RANK(F1253,$F$5:$F$1561)</f>
        <v/>
      </c>
      <c r="H1253" s="8" t="inlineStr"/>
      <c r="I1253" s="9">
        <f>IF(D1253="Private",E1253,"")</f>
        <v/>
      </c>
      <c r="J1253" s="9">
        <f>IF(D1253="Private",F1253,"")</f>
        <v/>
      </c>
    </row>
    <row r="1254">
      <c r="A1254" s="8" t="inlineStr">
        <is>
          <t>Lander University</t>
        </is>
      </c>
      <c r="B1254" s="8" t="inlineStr">
        <is>
          <t>Greenwood</t>
        </is>
      </c>
      <c r="C1254" s="8" t="inlineStr">
        <is>
          <t>SC</t>
        </is>
      </c>
      <c r="D1254" s="8" t="inlineStr">
        <is>
          <t>Public</t>
        </is>
      </c>
      <c r="E1254" s="9" t="n">
        <v>16955</v>
      </c>
      <c r="F1254" s="9" t="n">
        <v>41800</v>
      </c>
      <c r="G1254" s="8">
        <f>RANK(F1254,$F$5:$F$1561)</f>
        <v/>
      </c>
      <c r="H1254" s="8" t="inlineStr"/>
      <c r="I1254" s="9">
        <f>IF(D1254="Private",E1254,"")</f>
        <v/>
      </c>
      <c r="J1254" s="9">
        <f>IF(D1254="Private",F1254,"")</f>
        <v/>
      </c>
    </row>
    <row r="1255">
      <c r="A1255" s="8" t="inlineStr">
        <is>
          <t>Southwestern Assemblies of God University</t>
        </is>
      </c>
      <c r="B1255" s="8" t="inlineStr">
        <is>
          <t>Waxahachie</t>
        </is>
      </c>
      <c r="C1255" s="8" t="inlineStr">
        <is>
          <t>TX</t>
        </is>
      </c>
      <c r="D1255" s="8" t="inlineStr">
        <is>
          <t>Private</t>
        </is>
      </c>
      <c r="E1255" s="9" t="n">
        <v>22440</v>
      </c>
      <c r="F1255" s="9" t="n">
        <v>41771</v>
      </c>
      <c r="G1255" s="8">
        <f>RANK(F1255,$F$5:$F$1561)</f>
        <v/>
      </c>
      <c r="H1255" s="8" t="inlineStr"/>
      <c r="I1255" s="9">
        <f>IF(D1255="Private",E1255,"")</f>
        <v/>
      </c>
      <c r="J1255" s="9">
        <f>IF(D1255="Private",F1255,"")</f>
        <v/>
      </c>
    </row>
    <row r="1256">
      <c r="A1256" s="8" t="inlineStr">
        <is>
          <t>Universidad Politecnica de Puerto Rico</t>
        </is>
      </c>
      <c r="B1256" s="8" t="inlineStr">
        <is>
          <t>Hato Rey</t>
        </is>
      </c>
      <c r="C1256" s="8" t="inlineStr">
        <is>
          <t>PR</t>
        </is>
      </c>
      <c r="D1256" s="8" t="inlineStr">
        <is>
          <t>Private</t>
        </is>
      </c>
      <c r="E1256" s="9" t="n">
        <v>15609</v>
      </c>
      <c r="F1256" s="9" t="n">
        <v>41748</v>
      </c>
      <c r="G1256" s="8">
        <f>RANK(F1256,$F$5:$F$1561)</f>
        <v/>
      </c>
      <c r="H1256" s="8" t="inlineStr"/>
      <c r="I1256" s="9">
        <f>IF(D1256="Private",E1256,"")</f>
        <v/>
      </c>
      <c r="J1256" s="9">
        <f>IF(D1256="Private",F1256,"")</f>
        <v/>
      </c>
    </row>
    <row r="1257">
      <c r="A1257" s="8" t="inlineStr">
        <is>
          <t>Polytechnic University of Puerto Rico-Orlando</t>
        </is>
      </c>
      <c r="B1257" s="8" t="inlineStr">
        <is>
          <t>Orlando</t>
        </is>
      </c>
      <c r="C1257" s="8" t="inlineStr">
        <is>
          <t>FL</t>
        </is>
      </c>
      <c r="D1257" s="8" t="inlineStr">
        <is>
          <t>Private</t>
        </is>
      </c>
      <c r="E1257" s="9" t="n">
        <v>18896</v>
      </c>
      <c r="F1257" s="9" t="n">
        <v>41748</v>
      </c>
      <c r="G1257" s="8">
        <f>RANK(F1257,$F$5:$F$1561)</f>
        <v/>
      </c>
      <c r="H1257" s="8" t="inlineStr"/>
      <c r="I1257" s="9">
        <f>IF(D1257="Private",E1257,"")</f>
        <v/>
      </c>
      <c r="J1257" s="9">
        <f>IF(D1257="Private",F1257,"")</f>
        <v/>
      </c>
    </row>
    <row r="1258">
      <c r="A1258" s="8" t="inlineStr">
        <is>
          <t>Polytechnic University of Puerto Rico-Miami</t>
        </is>
      </c>
      <c r="B1258" s="8" t="inlineStr">
        <is>
          <t>Miami</t>
        </is>
      </c>
      <c r="C1258" s="8" t="inlineStr">
        <is>
          <t>FL</t>
        </is>
      </c>
      <c r="D1258" s="8" t="inlineStr">
        <is>
          <t>Private</t>
        </is>
      </c>
      <c r="E1258" s="9" t="n">
        <v>23535</v>
      </c>
      <c r="F1258" s="9" t="n">
        <v>41748</v>
      </c>
      <c r="G1258" s="8">
        <f>RANK(F1258,$F$5:$F$1561)</f>
        <v/>
      </c>
      <c r="H1258" s="8" t="inlineStr"/>
      <c r="I1258" s="9">
        <f>IF(D1258="Private",E1258,"")</f>
        <v/>
      </c>
      <c r="J1258" s="9">
        <f>IF(D1258="Private",F1258,"")</f>
        <v/>
      </c>
    </row>
    <row r="1259">
      <c r="A1259" s="8" t="inlineStr">
        <is>
          <t>Thomas College</t>
        </is>
      </c>
      <c r="B1259" s="8" t="inlineStr">
        <is>
          <t>Waterville</t>
        </is>
      </c>
      <c r="C1259" s="8" t="inlineStr">
        <is>
          <t>ME</t>
        </is>
      </c>
      <c r="D1259" s="8" t="inlineStr">
        <is>
          <t>Private</t>
        </is>
      </c>
      <c r="E1259" s="9" t="n">
        <v>22084</v>
      </c>
      <c r="F1259" s="9" t="n">
        <v>41735</v>
      </c>
      <c r="G1259" s="8">
        <f>RANK(F1259,$F$5:$F$1561)</f>
        <v/>
      </c>
      <c r="H1259" s="8" t="inlineStr"/>
      <c r="I1259" s="9">
        <f>IF(D1259="Private",E1259,"")</f>
        <v/>
      </c>
      <c r="J1259" s="9">
        <f>IF(D1259="Private",F1259,"")</f>
        <v/>
      </c>
    </row>
    <row r="1260">
      <c r="A1260" s="8" t="inlineStr">
        <is>
          <t>Missouri Southern State University</t>
        </is>
      </c>
      <c r="B1260" s="8" t="inlineStr">
        <is>
          <t>Joplin</t>
        </is>
      </c>
      <c r="C1260" s="8" t="inlineStr">
        <is>
          <t>MO</t>
        </is>
      </c>
      <c r="D1260" s="8" t="inlineStr">
        <is>
          <t>Public</t>
        </is>
      </c>
      <c r="E1260" s="9" t="n">
        <v>9607</v>
      </c>
      <c r="F1260" s="9" t="n">
        <v>41727</v>
      </c>
      <c r="G1260" s="8">
        <f>RANK(F1260,$F$5:$F$1561)</f>
        <v/>
      </c>
      <c r="H1260" s="8" t="inlineStr"/>
      <c r="I1260" s="9">
        <f>IF(D1260="Private",E1260,"")</f>
        <v/>
      </c>
      <c r="J1260" s="9">
        <f>IF(D1260="Private",F1260,"")</f>
        <v/>
      </c>
    </row>
    <row r="1261">
      <c r="A1261" s="8" t="inlineStr">
        <is>
          <t>Austin Peay State University</t>
        </is>
      </c>
      <c r="B1261" s="8" t="inlineStr">
        <is>
          <t>Clarksville</t>
        </is>
      </c>
      <c r="C1261" s="8" t="inlineStr">
        <is>
          <t>TN</t>
        </is>
      </c>
      <c r="D1261" s="8" t="inlineStr">
        <is>
          <t>Public</t>
        </is>
      </c>
      <c r="E1261" s="9" t="n">
        <v>14480</v>
      </c>
      <c r="F1261" s="9" t="n">
        <v>41717</v>
      </c>
      <c r="G1261" s="8">
        <f>RANK(F1261,$F$5:$F$1561)</f>
        <v/>
      </c>
      <c r="H1261" s="8" t="inlineStr"/>
      <c r="I1261" s="9">
        <f>IF(D1261="Private",E1261,"")</f>
        <v/>
      </c>
      <c r="J1261" s="9">
        <f>IF(D1261="Private",F1261,"")</f>
        <v/>
      </c>
    </row>
    <row r="1262">
      <c r="A1262" s="8" t="inlineStr">
        <is>
          <t>Troy University</t>
        </is>
      </c>
      <c r="B1262" s="8" t="inlineStr">
        <is>
          <t>Troy</t>
        </is>
      </c>
      <c r="C1262" s="8" t="inlineStr">
        <is>
          <t>AL</t>
        </is>
      </c>
      <c r="D1262" s="8" t="inlineStr">
        <is>
          <t>Public</t>
        </is>
      </c>
      <c r="E1262" s="9" t="n">
        <v>14019</v>
      </c>
      <c r="F1262" s="9" t="n">
        <v>41691</v>
      </c>
      <c r="G1262" s="8">
        <f>RANK(F1262,$F$5:$F$1561)</f>
        <v/>
      </c>
      <c r="H1262" s="8" t="inlineStr"/>
      <c r="I1262" s="9">
        <f>IF(D1262="Private",E1262,"")</f>
        <v/>
      </c>
      <c r="J1262" s="9">
        <f>IF(D1262="Private",F1262,"")</f>
        <v/>
      </c>
    </row>
    <row r="1263">
      <c r="A1263" s="8" t="inlineStr">
        <is>
          <t>SUNY Morrisville</t>
        </is>
      </c>
      <c r="B1263" s="8" t="inlineStr">
        <is>
          <t>Morrisville</t>
        </is>
      </c>
      <c r="C1263" s="8" t="inlineStr">
        <is>
          <t>NY</t>
        </is>
      </c>
      <c r="D1263" s="8" t="inlineStr">
        <is>
          <t>Public</t>
        </is>
      </c>
      <c r="E1263" s="9" t="n">
        <v>17685</v>
      </c>
      <c r="F1263" s="9" t="n">
        <v>41679</v>
      </c>
      <c r="G1263" s="8">
        <f>RANK(F1263,$F$5:$F$1561)</f>
        <v/>
      </c>
      <c r="H1263" s="8" t="inlineStr"/>
      <c r="I1263" s="9">
        <f>IF(D1263="Private",E1263,"")</f>
        <v/>
      </c>
      <c r="J1263" s="9">
        <f>IF(D1263="Private",F1263,"")</f>
        <v/>
      </c>
    </row>
    <row r="1264">
      <c r="A1264" s="8" t="inlineStr">
        <is>
          <t>Youngstown State University</t>
        </is>
      </c>
      <c r="B1264" s="8" t="inlineStr">
        <is>
          <t>Youngstown</t>
        </is>
      </c>
      <c r="C1264" s="8" t="inlineStr">
        <is>
          <t>OH</t>
        </is>
      </c>
      <c r="D1264" s="8" t="inlineStr">
        <is>
          <t>Public</t>
        </is>
      </c>
      <c r="E1264" s="9" t="n">
        <v>12318</v>
      </c>
      <c r="F1264" s="9" t="n">
        <v>41663</v>
      </c>
      <c r="G1264" s="8">
        <f>RANK(F1264,$F$5:$F$1561)</f>
        <v/>
      </c>
      <c r="H1264" s="8" t="inlineStr"/>
      <c r="I1264" s="9">
        <f>IF(D1264="Private",E1264,"")</f>
        <v/>
      </c>
      <c r="J1264" s="9">
        <f>IF(D1264="Private",F1264,"")</f>
        <v/>
      </c>
    </row>
    <row r="1265">
      <c r="A1265" s="8" t="inlineStr">
        <is>
          <t>Cairn University-Langhorne</t>
        </is>
      </c>
      <c r="B1265" s="8" t="inlineStr">
        <is>
          <t>Langhorne</t>
        </is>
      </c>
      <c r="C1265" s="8" t="inlineStr">
        <is>
          <t>PA</t>
        </is>
      </c>
      <c r="D1265" s="8" t="inlineStr">
        <is>
          <t>Private</t>
        </is>
      </c>
      <c r="E1265" s="9" t="n">
        <v>25661</v>
      </c>
      <c r="F1265" s="9" t="n">
        <v>41656</v>
      </c>
      <c r="G1265" s="8">
        <f>RANK(F1265,$F$5:$F$1561)</f>
        <v/>
      </c>
      <c r="H1265" s="8" t="inlineStr"/>
      <c r="I1265" s="9">
        <f>IF(D1265="Private",E1265,"")</f>
        <v/>
      </c>
      <c r="J1265" s="9">
        <f>IF(D1265="Private",F1265,"")</f>
        <v/>
      </c>
    </row>
    <row r="1266">
      <c r="A1266" s="8" t="inlineStr">
        <is>
          <t>Southwest Baptist University</t>
        </is>
      </c>
      <c r="B1266" s="8" t="inlineStr">
        <is>
          <t>Bolivar</t>
        </is>
      </c>
      <c r="C1266" s="8" t="inlineStr">
        <is>
          <t>MO</t>
        </is>
      </c>
      <c r="D1266" s="8" t="inlineStr">
        <is>
          <t>Private</t>
        </is>
      </c>
      <c r="E1266" s="9" t="n">
        <v>17369</v>
      </c>
      <c r="F1266" s="9" t="n">
        <v>41610</v>
      </c>
      <c r="G1266" s="8">
        <f>RANK(F1266,$F$5:$F$1561)</f>
        <v/>
      </c>
      <c r="H1266" s="8" t="inlineStr"/>
      <c r="I1266" s="9">
        <f>IF(D1266="Private",E1266,"")</f>
        <v/>
      </c>
      <c r="J1266" s="9">
        <f>IF(D1266="Private",F1266,"")</f>
        <v/>
      </c>
    </row>
    <row r="1267">
      <c r="A1267" s="8" t="inlineStr">
        <is>
          <t>Blackburn College</t>
        </is>
      </c>
      <c r="B1267" s="8" t="inlineStr">
        <is>
          <t>Carlinville</t>
        </is>
      </c>
      <c r="C1267" s="8" t="inlineStr">
        <is>
          <t>IL</t>
        </is>
      </c>
      <c r="D1267" s="8" t="inlineStr">
        <is>
          <t>Private</t>
        </is>
      </c>
      <c r="E1267" s="9" t="n">
        <v>19462</v>
      </c>
      <c r="F1267" s="9" t="n">
        <v>41589</v>
      </c>
      <c r="G1267" s="8">
        <f>RANK(F1267,$F$5:$F$1561)</f>
        <v/>
      </c>
      <c r="H1267" s="8" t="inlineStr"/>
      <c r="I1267" s="9">
        <f>IF(D1267="Private",E1267,"")</f>
        <v/>
      </c>
      <c r="J1267" s="9">
        <f>IF(D1267="Private",F1267,"")</f>
        <v/>
      </c>
    </row>
    <row r="1268">
      <c r="A1268" s="8" t="inlineStr">
        <is>
          <t>Tennessee State University</t>
        </is>
      </c>
      <c r="B1268" s="8" t="inlineStr">
        <is>
          <t>Nashville</t>
        </is>
      </c>
      <c r="C1268" s="8" t="inlineStr">
        <is>
          <t>TN</t>
        </is>
      </c>
      <c r="D1268" s="8" t="inlineStr">
        <is>
          <t>Public</t>
        </is>
      </c>
      <c r="E1268" s="9" t="n">
        <v>12494</v>
      </c>
      <c r="F1268" s="9" t="n">
        <v>41588</v>
      </c>
      <c r="G1268" s="8">
        <f>RANK(F1268,$F$5:$F$1561)</f>
        <v/>
      </c>
      <c r="H1268" s="8" t="inlineStr"/>
      <c r="I1268" s="9">
        <f>IF(D1268="Private",E1268,"")</f>
        <v/>
      </c>
      <c r="J1268" s="9">
        <f>IF(D1268="Private",F1268,"")</f>
        <v/>
      </c>
    </row>
    <row r="1269">
      <c r="A1269" s="8" t="inlineStr">
        <is>
          <t>Lees-McRae College</t>
        </is>
      </c>
      <c r="B1269" s="8" t="inlineStr">
        <is>
          <t>Banner Elk</t>
        </is>
      </c>
      <c r="C1269" s="8" t="inlineStr">
        <is>
          <t>NC</t>
        </is>
      </c>
      <c r="D1269" s="8" t="inlineStr">
        <is>
          <t>Private</t>
        </is>
      </c>
      <c r="E1269" s="9" t="n">
        <v>25495</v>
      </c>
      <c r="F1269" s="9" t="n">
        <v>41587</v>
      </c>
      <c r="G1269" s="8">
        <f>RANK(F1269,$F$5:$F$1561)</f>
        <v/>
      </c>
      <c r="H1269" s="8" t="inlineStr"/>
      <c r="I1269" s="9">
        <f>IF(D1269="Private",E1269,"")</f>
        <v/>
      </c>
      <c r="J1269" s="9">
        <f>IF(D1269="Private",F1269,"")</f>
        <v/>
      </c>
    </row>
    <row r="1270">
      <c r="A1270" s="8" t="inlineStr">
        <is>
          <t>St Petersburg College</t>
        </is>
      </c>
      <c r="B1270" s="8" t="inlineStr">
        <is>
          <t>St. Petersburg</t>
        </is>
      </c>
      <c r="C1270" s="8" t="inlineStr">
        <is>
          <t>FL</t>
        </is>
      </c>
      <c r="D1270" s="8" t="inlineStr">
        <is>
          <t>Public</t>
        </is>
      </c>
      <c r="E1270" s="9" t="n">
        <v>2212</v>
      </c>
      <c r="F1270" s="9" t="n">
        <v>41583</v>
      </c>
      <c r="G1270" s="8">
        <f>RANK(F1270,$F$5:$F$1561)</f>
        <v/>
      </c>
      <c r="H1270" s="8" t="inlineStr"/>
      <c r="I1270" s="9">
        <f>IF(D1270="Private",E1270,"")</f>
        <v/>
      </c>
      <c r="J1270" s="9">
        <f>IF(D1270="Private",F1270,"")</f>
        <v/>
      </c>
    </row>
    <row r="1271">
      <c r="A1271" s="8" t="inlineStr">
        <is>
          <t>Brewton-Parker College</t>
        </is>
      </c>
      <c r="B1271" s="8" t="inlineStr">
        <is>
          <t>Mount Vernon</t>
        </is>
      </c>
      <c r="C1271" s="8" t="inlineStr">
        <is>
          <t>GA</t>
        </is>
      </c>
      <c r="D1271" s="8" t="inlineStr">
        <is>
          <t>Private</t>
        </is>
      </c>
      <c r="E1271" s="9" t="n">
        <v>18662</v>
      </c>
      <c r="F1271" s="9" t="n">
        <v>41541</v>
      </c>
      <c r="G1271" s="8">
        <f>RANK(F1271,$F$5:$F$1561)</f>
        <v/>
      </c>
      <c r="H1271" s="8" t="inlineStr"/>
      <c r="I1271" s="9">
        <f>IF(D1271="Private",E1271,"")</f>
        <v/>
      </c>
      <c r="J1271" s="9">
        <f>IF(D1271="Private",F1271,"")</f>
        <v/>
      </c>
    </row>
    <row r="1272">
      <c r="A1272" s="8" t="inlineStr">
        <is>
          <t>Faulkner University</t>
        </is>
      </c>
      <c r="B1272" s="8" t="inlineStr">
        <is>
          <t>Montgomery</t>
        </is>
      </c>
      <c r="C1272" s="8" t="inlineStr">
        <is>
          <t>AL</t>
        </is>
      </c>
      <c r="D1272" s="8" t="inlineStr">
        <is>
          <t>Private</t>
        </is>
      </c>
      <c r="E1272" s="9" t="n">
        <v>20371</v>
      </c>
      <c r="F1272" s="9" t="n">
        <v>41523</v>
      </c>
      <c r="G1272" s="8">
        <f>RANK(F1272,$F$5:$F$1561)</f>
        <v/>
      </c>
      <c r="H1272" s="8" t="inlineStr"/>
      <c r="I1272" s="9">
        <f>IF(D1272="Private",E1272,"")</f>
        <v/>
      </c>
      <c r="J1272" s="9">
        <f>IF(D1272="Private",F1272,"")</f>
        <v/>
      </c>
    </row>
    <row r="1273">
      <c r="A1273" s="8" t="inlineStr">
        <is>
          <t>Jacksonville State University</t>
        </is>
      </c>
      <c r="B1273" s="8" t="inlineStr">
        <is>
          <t>Jacksonville</t>
        </is>
      </c>
      <c r="C1273" s="8" t="inlineStr">
        <is>
          <t>AL</t>
        </is>
      </c>
      <c r="D1273" s="8" t="inlineStr">
        <is>
          <t>Public</t>
        </is>
      </c>
      <c r="E1273" s="9" t="n">
        <v>18336</v>
      </c>
      <c r="F1273" s="9" t="n">
        <v>41504</v>
      </c>
      <c r="G1273" s="8">
        <f>RANK(F1273,$F$5:$F$1561)</f>
        <v/>
      </c>
      <c r="H1273" s="8" t="inlineStr"/>
      <c r="I1273" s="9">
        <f>IF(D1273="Private",E1273,"")</f>
        <v/>
      </c>
      <c r="J1273" s="9">
        <f>IF(D1273="Private",F1273,"")</f>
        <v/>
      </c>
    </row>
    <row r="1274">
      <c r="A1274" s="8" t="inlineStr">
        <is>
          <t>University of Alaska Southeast</t>
        </is>
      </c>
      <c r="B1274" s="8" t="inlineStr">
        <is>
          <t>Juneau</t>
        </is>
      </c>
      <c r="C1274" s="8" t="inlineStr">
        <is>
          <t>AK</t>
        </is>
      </c>
      <c r="D1274" s="8" t="inlineStr">
        <is>
          <t>Public</t>
        </is>
      </c>
      <c r="E1274" s="9" t="n">
        <v>7368</v>
      </c>
      <c r="F1274" s="9" t="n">
        <v>41500</v>
      </c>
      <c r="G1274" s="8">
        <f>RANK(F1274,$F$5:$F$1561)</f>
        <v/>
      </c>
      <c r="H1274" s="8" t="inlineStr"/>
      <c r="I1274" s="9">
        <f>IF(D1274="Private",E1274,"")</f>
        <v/>
      </c>
      <c r="J1274" s="9">
        <f>IF(D1274="Private",F1274,"")</f>
        <v/>
      </c>
    </row>
    <row r="1275">
      <c r="A1275" s="8" t="inlineStr">
        <is>
          <t>Limestone University</t>
        </is>
      </c>
      <c r="B1275" s="8" t="inlineStr">
        <is>
          <t>Gaffney</t>
        </is>
      </c>
      <c r="C1275" s="8" t="inlineStr">
        <is>
          <t>SC</t>
        </is>
      </c>
      <c r="D1275" s="8" t="inlineStr">
        <is>
          <t>Private</t>
        </is>
      </c>
      <c r="E1275" s="9" t="n">
        <v>22047</v>
      </c>
      <c r="F1275" s="9" t="n">
        <v>41484</v>
      </c>
      <c r="G1275" s="8">
        <f>RANK(F1275,$F$5:$F$1561)</f>
        <v/>
      </c>
      <c r="H1275" s="8" t="inlineStr"/>
      <c r="I1275" s="9">
        <f>IF(D1275="Private",E1275,"")</f>
        <v/>
      </c>
      <c r="J1275" s="9">
        <f>IF(D1275="Private",F1275,"")</f>
        <v/>
      </c>
    </row>
    <row r="1276">
      <c r="A1276" s="8" t="inlineStr">
        <is>
          <t>University of North Carolina at Pembroke</t>
        </is>
      </c>
      <c r="B1276" s="8" t="inlineStr">
        <is>
          <t>Pembroke</t>
        </is>
      </c>
      <c r="C1276" s="8" t="inlineStr">
        <is>
          <t>NC</t>
        </is>
      </c>
      <c r="D1276" s="8" t="inlineStr">
        <is>
          <t>Public</t>
        </is>
      </c>
      <c r="E1276" s="9" t="n">
        <v>11160</v>
      </c>
      <c r="F1276" s="9" t="n">
        <v>41470</v>
      </c>
      <c r="G1276" s="8">
        <f>RANK(F1276,$F$5:$F$1561)</f>
        <v/>
      </c>
      <c r="H1276" s="8" t="inlineStr"/>
      <c r="I1276" s="9">
        <f>IF(D1276="Private",E1276,"")</f>
        <v/>
      </c>
      <c r="J1276" s="9">
        <f>IF(D1276="Private",F1276,"")</f>
        <v/>
      </c>
    </row>
    <row r="1277">
      <c r="A1277" s="8" t="inlineStr">
        <is>
          <t>Albizu University-Miami</t>
        </is>
      </c>
      <c r="B1277" s="8" t="inlineStr">
        <is>
          <t>Miami</t>
        </is>
      </c>
      <c r="C1277" s="8" t="inlineStr">
        <is>
          <t>FL</t>
        </is>
      </c>
      <c r="D1277" s="8" t="inlineStr">
        <is>
          <t>Private</t>
        </is>
      </c>
      <c r="E1277" s="9" t="n">
        <v>23634</v>
      </c>
      <c r="F1277" s="9" t="n">
        <v>41451</v>
      </c>
      <c r="G1277" s="8">
        <f>RANK(F1277,$F$5:$F$1561)</f>
        <v/>
      </c>
      <c r="H1277" s="8" t="inlineStr"/>
      <c r="I1277" s="9">
        <f>IF(D1277="Private",E1277,"")</f>
        <v/>
      </c>
      <c r="J1277" s="9">
        <f>IF(D1277="Private",F1277,"")</f>
        <v/>
      </c>
    </row>
    <row r="1278">
      <c r="A1278" s="8" t="inlineStr">
        <is>
          <t>Southern University and A &amp; M College</t>
        </is>
      </c>
      <c r="B1278" s="8" t="inlineStr">
        <is>
          <t>Baton Rouge</t>
        </is>
      </c>
      <c r="C1278" s="8" t="inlineStr">
        <is>
          <t>LA</t>
        </is>
      </c>
      <c r="D1278" s="8" t="inlineStr">
        <is>
          <t>Public</t>
        </is>
      </c>
      <c r="E1278" s="9" t="n">
        <v>16991</v>
      </c>
      <c r="F1278" s="9" t="n">
        <v>41443</v>
      </c>
      <c r="G1278" s="8">
        <f>RANK(F1278,$F$5:$F$1561)</f>
        <v/>
      </c>
      <c r="H1278" s="8" t="inlineStr"/>
      <c r="I1278" s="9">
        <f>IF(D1278="Private",E1278,"")</f>
        <v/>
      </c>
      <c r="J1278" s="9">
        <f>IF(D1278="Private",F1278,"")</f>
        <v/>
      </c>
    </row>
    <row r="1279">
      <c r="A1279" s="8" t="inlineStr">
        <is>
          <t>Randall University</t>
        </is>
      </c>
      <c r="B1279" s="8" t="inlineStr">
        <is>
          <t>Moore</t>
        </is>
      </c>
      <c r="C1279" s="8" t="inlineStr">
        <is>
          <t>OK</t>
        </is>
      </c>
      <c r="D1279" s="8" t="inlineStr">
        <is>
          <t>Private</t>
        </is>
      </c>
      <c r="E1279" s="9" t="n">
        <v>16856</v>
      </c>
      <c r="F1279" s="9" t="n">
        <v>41437</v>
      </c>
      <c r="G1279" s="8">
        <f>RANK(F1279,$F$5:$F$1561)</f>
        <v/>
      </c>
      <c r="H1279" s="8" t="inlineStr"/>
      <c r="I1279" s="9">
        <f>IF(D1279="Private",E1279,"")</f>
        <v/>
      </c>
      <c r="J1279" s="9">
        <f>IF(D1279="Private",F1279,"")</f>
        <v/>
      </c>
    </row>
    <row r="1280">
      <c r="A1280" s="8" t="inlineStr">
        <is>
          <t>Fort Lewis College</t>
        </is>
      </c>
      <c r="B1280" s="8" t="inlineStr">
        <is>
          <t>Durango</t>
        </is>
      </c>
      <c r="C1280" s="8" t="inlineStr">
        <is>
          <t>CO</t>
        </is>
      </c>
      <c r="D1280" s="8" t="inlineStr">
        <is>
          <t>Public</t>
        </is>
      </c>
      <c r="E1280" s="9" t="n">
        <v>14925</v>
      </c>
      <c r="F1280" s="9" t="n">
        <v>41422</v>
      </c>
      <c r="G1280" s="8">
        <f>RANK(F1280,$F$5:$F$1561)</f>
        <v/>
      </c>
      <c r="H1280" s="8" t="inlineStr"/>
      <c r="I1280" s="9">
        <f>IF(D1280="Private",E1280,"")</f>
        <v/>
      </c>
      <c r="J1280" s="9">
        <f>IF(D1280="Private",F1280,"")</f>
        <v/>
      </c>
    </row>
    <row r="1281">
      <c r="A1281" s="8" t="inlineStr">
        <is>
          <t>St. John's College</t>
        </is>
      </c>
      <c r="B1281" s="8" t="inlineStr">
        <is>
          <t>Santa Fe</t>
        </is>
      </c>
      <c r="C1281" s="8" t="inlineStr">
        <is>
          <t>NM</t>
        </is>
      </c>
      <c r="D1281" s="8" t="inlineStr">
        <is>
          <t>Private</t>
        </is>
      </c>
      <c r="E1281" s="9" t="n">
        <v>40106</v>
      </c>
      <c r="F1281" s="9" t="n">
        <v>41407</v>
      </c>
      <c r="G1281" s="8">
        <f>RANK(F1281,$F$5:$F$1561)</f>
        <v/>
      </c>
      <c r="H1281" s="8" t="inlineStr"/>
      <c r="I1281" s="9">
        <f>IF(D1281="Private",E1281,"")</f>
        <v/>
      </c>
      <c r="J1281" s="9">
        <f>IF(D1281="Private",F1281,"")</f>
        <v/>
      </c>
    </row>
    <row r="1282">
      <c r="A1282" s="8" t="inlineStr">
        <is>
          <t>Wilson College</t>
        </is>
      </c>
      <c r="B1282" s="8" t="inlineStr">
        <is>
          <t>Chambersburg</t>
        </is>
      </c>
      <c r="C1282" s="8" t="inlineStr">
        <is>
          <t>PA</t>
        </is>
      </c>
      <c r="D1282" s="8" t="inlineStr">
        <is>
          <t>Private</t>
        </is>
      </c>
      <c r="E1282" s="9" t="n">
        <v>22019</v>
      </c>
      <c r="F1282" s="9" t="n">
        <v>41326</v>
      </c>
      <c r="G1282" s="8">
        <f>RANK(F1282,$F$5:$F$1561)</f>
        <v/>
      </c>
      <c r="H1282" s="8" t="inlineStr"/>
      <c r="I1282" s="9">
        <f>IF(D1282="Private",E1282,"")</f>
        <v/>
      </c>
      <c r="J1282" s="9">
        <f>IF(D1282="Private",F1282,"")</f>
        <v/>
      </c>
    </row>
    <row r="1283">
      <c r="A1283" s="8" t="inlineStr">
        <is>
          <t>Metropolitan College of New York</t>
        </is>
      </c>
      <c r="B1283" s="8" t="inlineStr">
        <is>
          <t>New York</t>
        </is>
      </c>
      <c r="C1283" s="8" t="inlineStr">
        <is>
          <t>NY</t>
        </is>
      </c>
      <c r="D1283" s="8" t="inlineStr">
        <is>
          <t>Private</t>
        </is>
      </c>
      <c r="E1283" s="9" t="n">
        <v>25488</v>
      </c>
      <c r="F1283" s="9" t="n">
        <v>41281</v>
      </c>
      <c r="G1283" s="8">
        <f>RANK(F1283,$F$5:$F$1561)</f>
        <v/>
      </c>
      <c r="H1283" s="8" t="inlineStr"/>
      <c r="I1283" s="9">
        <f>IF(D1283="Private",E1283,"")</f>
        <v/>
      </c>
      <c r="J1283" s="9">
        <f>IF(D1283="Private",F1283,"")</f>
        <v/>
      </c>
    </row>
    <row r="1284">
      <c r="A1284" s="8" t="inlineStr">
        <is>
          <t>Lancaster Bible College</t>
        </is>
      </c>
      <c r="B1284" s="8" t="inlineStr">
        <is>
          <t>Lancaster</t>
        </is>
      </c>
      <c r="C1284" s="8" t="inlineStr">
        <is>
          <t>PA</t>
        </is>
      </c>
      <c r="D1284" s="8" t="inlineStr">
        <is>
          <t>Private</t>
        </is>
      </c>
      <c r="E1284" s="9" t="n">
        <v>22475</v>
      </c>
      <c r="F1284" s="9" t="n">
        <v>41277</v>
      </c>
      <c r="G1284" s="8">
        <f>RANK(F1284,$F$5:$F$1561)</f>
        <v/>
      </c>
      <c r="H1284" s="8" t="inlineStr"/>
      <c r="I1284" s="9">
        <f>IF(D1284="Private",E1284,"")</f>
        <v/>
      </c>
      <c r="J1284" s="9">
        <f>IF(D1284="Private",F1284,"")</f>
        <v/>
      </c>
    </row>
    <row r="1285">
      <c r="A1285" s="8" t="inlineStr">
        <is>
          <t>Houghton University</t>
        </is>
      </c>
      <c r="B1285" s="8" t="inlineStr">
        <is>
          <t>Houghton</t>
        </is>
      </c>
      <c r="C1285" s="8" t="inlineStr">
        <is>
          <t>NY</t>
        </is>
      </c>
      <c r="D1285" s="8" t="inlineStr">
        <is>
          <t>Private</t>
        </is>
      </c>
      <c r="E1285" s="9" t="n">
        <v>23290</v>
      </c>
      <c r="F1285" s="9" t="n">
        <v>41253</v>
      </c>
      <c r="G1285" s="8">
        <f>RANK(F1285,$F$5:$F$1561)</f>
        <v/>
      </c>
      <c r="H1285" s="8" t="inlineStr"/>
      <c r="I1285" s="9">
        <f>IF(D1285="Private",E1285,"")</f>
        <v/>
      </c>
      <c r="J1285" s="9">
        <f>IF(D1285="Private",F1285,"")</f>
        <v/>
      </c>
    </row>
    <row r="1286">
      <c r="A1286" s="8" t="inlineStr">
        <is>
          <t>Indiana University-East</t>
        </is>
      </c>
      <c r="B1286" s="8" t="inlineStr">
        <is>
          <t>Richmond</t>
        </is>
      </c>
      <c r="C1286" s="8" t="inlineStr">
        <is>
          <t>IN</t>
        </is>
      </c>
      <c r="D1286" s="8" t="inlineStr">
        <is>
          <t>Public</t>
        </is>
      </c>
      <c r="E1286" s="9" t="n">
        <v>8149</v>
      </c>
      <c r="F1286" s="9" t="n">
        <v>41226</v>
      </c>
      <c r="G1286" s="8">
        <f>RANK(F1286,$F$5:$F$1561)</f>
        <v/>
      </c>
      <c r="H1286" s="8" t="inlineStr"/>
      <c r="I1286" s="9">
        <f>IF(D1286="Private",E1286,"")</f>
        <v/>
      </c>
      <c r="J1286" s="9">
        <f>IF(D1286="Private",F1286,"")</f>
        <v/>
      </c>
    </row>
    <row r="1287">
      <c r="A1287" s="8" t="inlineStr">
        <is>
          <t>Norfolk State University</t>
        </is>
      </c>
      <c r="B1287" s="8" t="inlineStr">
        <is>
          <t>Norfolk</t>
        </is>
      </c>
      <c r="C1287" s="8" t="inlineStr">
        <is>
          <t>VA</t>
        </is>
      </c>
      <c r="D1287" s="8" t="inlineStr">
        <is>
          <t>Public</t>
        </is>
      </c>
      <c r="E1287" s="9" t="n">
        <v>12643</v>
      </c>
      <c r="F1287" s="9" t="n">
        <v>41222</v>
      </c>
      <c r="G1287" s="8">
        <f>RANK(F1287,$F$5:$F$1561)</f>
        <v/>
      </c>
      <c r="H1287" s="8" t="inlineStr"/>
      <c r="I1287" s="9">
        <f>IF(D1287="Private",E1287,"")</f>
        <v/>
      </c>
      <c r="J1287" s="9">
        <f>IF(D1287="Private",F1287,"")</f>
        <v/>
      </c>
    </row>
    <row r="1288">
      <c r="A1288" s="8" t="inlineStr">
        <is>
          <t>Oakwood University</t>
        </is>
      </c>
      <c r="B1288" s="8" t="inlineStr">
        <is>
          <t>Huntsville</t>
        </is>
      </c>
      <c r="C1288" s="8" t="inlineStr">
        <is>
          <t>AL</t>
        </is>
      </c>
      <c r="D1288" s="8" t="inlineStr">
        <is>
          <t>Private</t>
        </is>
      </c>
      <c r="E1288" s="9" t="n">
        <v>22588</v>
      </c>
      <c r="F1288" s="9" t="n">
        <v>41219</v>
      </c>
      <c r="G1288" s="8">
        <f>RANK(F1288,$F$5:$F$1561)</f>
        <v/>
      </c>
      <c r="H1288" s="8" t="inlineStr"/>
      <c r="I1288" s="9">
        <f>IF(D1288="Private",E1288,"")</f>
        <v/>
      </c>
      <c r="J1288" s="9">
        <f>IF(D1288="Private",F1288,"")</f>
        <v/>
      </c>
    </row>
    <row r="1289">
      <c r="A1289" s="8" t="inlineStr">
        <is>
          <t>University of Puerto Rico-Mayaguez</t>
        </is>
      </c>
      <c r="B1289" s="8" t="inlineStr">
        <is>
          <t>Mayaguez</t>
        </is>
      </c>
      <c r="C1289" s="8" t="inlineStr">
        <is>
          <t>PR</t>
        </is>
      </c>
      <c r="D1289" s="8" t="inlineStr">
        <is>
          <t>Public</t>
        </is>
      </c>
      <c r="E1289" s="9" t="n">
        <v>12058</v>
      </c>
      <c r="F1289" s="9" t="n">
        <v>41188</v>
      </c>
      <c r="G1289" s="8">
        <f>RANK(F1289,$F$5:$F$1561)</f>
        <v/>
      </c>
      <c r="H1289" s="8" t="inlineStr"/>
      <c r="I1289" s="9">
        <f>IF(D1289="Private",E1289,"")</f>
        <v/>
      </c>
      <c r="J1289" s="9">
        <f>IF(D1289="Private",F1289,"")</f>
        <v/>
      </c>
    </row>
    <row r="1290">
      <c r="A1290" s="8" t="inlineStr">
        <is>
          <t>California Institute of the Arts</t>
        </is>
      </c>
      <c r="B1290" s="8" t="inlineStr">
        <is>
          <t>Valencia</t>
        </is>
      </c>
      <c r="C1290" s="8" t="inlineStr">
        <is>
          <t>CA</t>
        </is>
      </c>
      <c r="D1290" s="8" t="inlineStr">
        <is>
          <t>Private</t>
        </is>
      </c>
      <c r="E1290" s="9" t="n">
        <v>46083</v>
      </c>
      <c r="F1290" s="9" t="n">
        <v>41120</v>
      </c>
      <c r="G1290" s="8">
        <f>RANK(F1290,$F$5:$F$1561)</f>
        <v/>
      </c>
      <c r="H1290" s="8" t="inlineStr"/>
      <c r="I1290" s="9">
        <f>IF(D1290="Private",E1290,"")</f>
        <v/>
      </c>
      <c r="J1290" s="9">
        <f>IF(D1290="Private",F1290,"")</f>
        <v/>
      </c>
    </row>
    <row r="1291">
      <c r="A1291" s="8" t="inlineStr">
        <is>
          <t>Pine Manor College</t>
        </is>
      </c>
      <c r="B1291" s="8" t="inlineStr">
        <is>
          <t>Chestnut Hill</t>
        </is>
      </c>
      <c r="C1291" s="8" t="inlineStr">
        <is>
          <t>MA</t>
        </is>
      </c>
      <c r="D1291" s="8" t="inlineStr">
        <is>
          <t>Private</t>
        </is>
      </c>
      <c r="E1291" s="9" t="n">
        <v>12273</v>
      </c>
      <c r="F1291" s="9" t="n">
        <v>41103</v>
      </c>
      <c r="G1291" s="8">
        <f>RANK(F1291,$F$5:$F$1561)</f>
        <v/>
      </c>
      <c r="H1291" s="8" t="inlineStr"/>
      <c r="I1291" s="9">
        <f>IF(D1291="Private",E1291,"")</f>
        <v/>
      </c>
      <c r="J1291" s="9">
        <f>IF(D1291="Private",F1291,"")</f>
        <v/>
      </c>
    </row>
    <row r="1292">
      <c r="A1292" s="8" t="inlineStr">
        <is>
          <t>Western Kentucky University</t>
        </is>
      </c>
      <c r="B1292" s="8" t="inlineStr">
        <is>
          <t>Bowling Green</t>
        </is>
      </c>
      <c r="C1292" s="8" t="inlineStr">
        <is>
          <t>KY</t>
        </is>
      </c>
      <c r="D1292" s="8" t="inlineStr">
        <is>
          <t>Public</t>
        </is>
      </c>
      <c r="E1292" s="9" t="n">
        <v>11691</v>
      </c>
      <c r="F1292" s="9" t="n">
        <v>41091</v>
      </c>
      <c r="G1292" s="8">
        <f>RANK(F1292,$F$5:$F$1561)</f>
        <v/>
      </c>
      <c r="H1292" s="8" t="inlineStr"/>
      <c r="I1292" s="9">
        <f>IF(D1292="Private",E1292,"")</f>
        <v/>
      </c>
      <c r="J1292" s="9">
        <f>IF(D1292="Private",F1292,"")</f>
        <v/>
      </c>
    </row>
    <row r="1293">
      <c r="A1293" s="8" t="inlineStr">
        <is>
          <t>Louisiana State University-Alexandria</t>
        </is>
      </c>
      <c r="B1293" s="8" t="inlineStr">
        <is>
          <t>Alexandria</t>
        </is>
      </c>
      <c r="C1293" s="8" t="inlineStr">
        <is>
          <t>LA</t>
        </is>
      </c>
      <c r="D1293" s="8" t="inlineStr">
        <is>
          <t>Public</t>
        </is>
      </c>
      <c r="E1293" s="9" t="n">
        <v>7166</v>
      </c>
      <c r="F1293" s="9" t="n">
        <v>41051</v>
      </c>
      <c r="G1293" s="8">
        <f>RANK(F1293,$F$5:$F$1561)</f>
        <v/>
      </c>
      <c r="H1293" s="8" t="inlineStr"/>
      <c r="I1293" s="9">
        <f>IF(D1293="Private",E1293,"")</f>
        <v/>
      </c>
      <c r="J1293" s="9">
        <f>IF(D1293="Private",F1293,"")</f>
        <v/>
      </c>
    </row>
    <row r="1294">
      <c r="A1294" s="8" t="inlineStr">
        <is>
          <t>University of the Cumberlands</t>
        </is>
      </c>
      <c r="B1294" s="8" t="inlineStr">
        <is>
          <t>Williamsburg</t>
        </is>
      </c>
      <c r="C1294" s="8" t="inlineStr">
        <is>
          <t>KY</t>
        </is>
      </c>
      <c r="D1294" s="8" t="inlineStr">
        <is>
          <t>Private</t>
        </is>
      </c>
      <c r="E1294" s="9" t="n">
        <v>14654</v>
      </c>
      <c r="F1294" s="9" t="n">
        <v>41038</v>
      </c>
      <c r="G1294" s="8">
        <f>RANK(F1294,$F$5:$F$1561)</f>
        <v/>
      </c>
      <c r="H1294" s="8" t="inlineStr"/>
      <c r="I1294" s="9">
        <f>IF(D1294="Private",E1294,"")</f>
        <v/>
      </c>
      <c r="J1294" s="9">
        <f>IF(D1294="Private",F1294,"")</f>
        <v/>
      </c>
    </row>
    <row r="1295">
      <c r="A1295" s="8" t="inlineStr">
        <is>
          <t>Missouri Valley College</t>
        </is>
      </c>
      <c r="B1295" s="8" t="inlineStr">
        <is>
          <t>Marshall</t>
        </is>
      </c>
      <c r="C1295" s="8" t="inlineStr">
        <is>
          <t>MO</t>
        </is>
      </c>
      <c r="D1295" s="8" t="inlineStr">
        <is>
          <t>Private</t>
        </is>
      </c>
      <c r="E1295" s="9" t="n">
        <v>18440</v>
      </c>
      <c r="F1295" s="9" t="n">
        <v>40998</v>
      </c>
      <c r="G1295" s="8">
        <f>RANK(F1295,$F$5:$F$1561)</f>
        <v/>
      </c>
      <c r="H1295" s="8" t="inlineStr"/>
      <c r="I1295" s="9">
        <f>IF(D1295="Private",E1295,"")</f>
        <v/>
      </c>
      <c r="J1295" s="9">
        <f>IF(D1295="Private",F1295,"")</f>
        <v/>
      </c>
    </row>
    <row r="1296">
      <c r="A1296" s="8" t="inlineStr">
        <is>
          <t>Huntington University</t>
        </is>
      </c>
      <c r="B1296" s="8" t="inlineStr">
        <is>
          <t>Huntington</t>
        </is>
      </c>
      <c r="C1296" s="8" t="inlineStr">
        <is>
          <t>IN</t>
        </is>
      </c>
      <c r="D1296" s="8" t="inlineStr">
        <is>
          <t>Private</t>
        </is>
      </c>
      <c r="E1296" s="9" t="n">
        <v>18851</v>
      </c>
      <c r="F1296" s="9" t="n">
        <v>40979</v>
      </c>
      <c r="G1296" s="8">
        <f>RANK(F1296,$F$5:$F$1561)</f>
        <v/>
      </c>
      <c r="H1296" s="8" t="inlineStr"/>
      <c r="I1296" s="9">
        <f>IF(D1296="Private",E1296,"")</f>
        <v/>
      </c>
      <c r="J1296" s="9">
        <f>IF(D1296="Private",F1296,"")</f>
        <v/>
      </c>
    </row>
    <row r="1297">
      <c r="A1297" s="8" t="inlineStr">
        <is>
          <t>Winston-Salem State University</t>
        </is>
      </c>
      <c r="B1297" s="8" t="inlineStr">
        <is>
          <t>Winston-Salem</t>
        </is>
      </c>
      <c r="C1297" s="8" t="inlineStr">
        <is>
          <t>NC</t>
        </is>
      </c>
      <c r="D1297" s="8" t="inlineStr">
        <is>
          <t>Public</t>
        </is>
      </c>
      <c r="E1297" s="9" t="n">
        <v>13435</v>
      </c>
      <c r="F1297" s="9" t="n">
        <v>40976</v>
      </c>
      <c r="G1297" s="8">
        <f>RANK(F1297,$F$5:$F$1561)</f>
        <v/>
      </c>
      <c r="H1297" s="8" t="inlineStr"/>
      <c r="I1297" s="9">
        <f>IF(D1297="Private",E1297,"")</f>
        <v/>
      </c>
      <c r="J1297" s="9">
        <f>IF(D1297="Private",F1297,"")</f>
        <v/>
      </c>
    </row>
    <row r="1298">
      <c r="A1298" s="8" t="inlineStr">
        <is>
          <t>Ohio Christian University</t>
        </is>
      </c>
      <c r="B1298" s="8" t="inlineStr">
        <is>
          <t>Circleville</t>
        </is>
      </c>
      <c r="C1298" s="8" t="inlineStr">
        <is>
          <t>OH</t>
        </is>
      </c>
      <c r="D1298" s="8" t="inlineStr">
        <is>
          <t>Private</t>
        </is>
      </c>
      <c r="E1298" s="9" t="n">
        <v>22451</v>
      </c>
      <c r="F1298" s="9" t="n">
        <v>40968</v>
      </c>
      <c r="G1298" s="8">
        <f>RANK(F1298,$F$5:$F$1561)</f>
        <v/>
      </c>
      <c r="H1298" s="8" t="inlineStr"/>
      <c r="I1298" s="9">
        <f>IF(D1298="Private",E1298,"")</f>
        <v/>
      </c>
      <c r="J1298" s="9">
        <f>IF(D1298="Private",F1298,"")</f>
        <v/>
      </c>
    </row>
    <row r="1299">
      <c r="A1299" s="8" t="inlineStr">
        <is>
          <t>Oakland City University</t>
        </is>
      </c>
      <c r="B1299" s="8" t="inlineStr">
        <is>
          <t>Oakland City</t>
        </is>
      </c>
      <c r="C1299" s="8" t="inlineStr">
        <is>
          <t>IN</t>
        </is>
      </c>
      <c r="D1299" s="8" t="inlineStr">
        <is>
          <t>Private</t>
        </is>
      </c>
      <c r="E1299" s="9" t="n">
        <v>11304</v>
      </c>
      <c r="F1299" s="9" t="n">
        <v>40917</v>
      </c>
      <c r="G1299" s="8">
        <f>RANK(F1299,$F$5:$F$1561)</f>
        <v/>
      </c>
      <c r="H1299" s="8" t="inlineStr"/>
      <c r="I1299" s="9">
        <f>IF(D1299="Private",E1299,"")</f>
        <v/>
      </c>
      <c r="J1299" s="9">
        <f>IF(D1299="Private",F1299,"")</f>
        <v/>
      </c>
    </row>
    <row r="1300">
      <c r="A1300" s="8" t="inlineStr">
        <is>
          <t>Kentucky Christian University</t>
        </is>
      </c>
      <c r="B1300" s="8" t="inlineStr">
        <is>
          <t>Grayson</t>
        </is>
      </c>
      <c r="C1300" s="8" t="inlineStr">
        <is>
          <t>KY</t>
        </is>
      </c>
      <c r="D1300" s="8" t="inlineStr">
        <is>
          <t>Private</t>
        </is>
      </c>
      <c r="E1300" s="9" t="n">
        <v>23106</v>
      </c>
      <c r="F1300" s="9" t="n">
        <v>40872</v>
      </c>
      <c r="G1300" s="8">
        <f>RANK(F1300,$F$5:$F$1561)</f>
        <v/>
      </c>
      <c r="H1300" s="8" t="inlineStr"/>
      <c r="I1300" s="9">
        <f>IF(D1300="Private",E1300,"")</f>
        <v/>
      </c>
      <c r="J1300" s="9">
        <f>IF(D1300="Private",F1300,"")</f>
        <v/>
      </c>
    </row>
    <row r="1301">
      <c r="A1301" s="8" t="inlineStr">
        <is>
          <t>New Mexico Highlands University</t>
        </is>
      </c>
      <c r="B1301" s="8" t="inlineStr">
        <is>
          <t>Las Vegas</t>
        </is>
      </c>
      <c r="C1301" s="8" t="inlineStr">
        <is>
          <t>NM</t>
        </is>
      </c>
      <c r="D1301" s="8" t="inlineStr">
        <is>
          <t>Public</t>
        </is>
      </c>
      <c r="E1301" s="9" t="n">
        <v>12305</v>
      </c>
      <c r="F1301" s="9" t="n">
        <v>40872</v>
      </c>
      <c r="G1301" s="8">
        <f>RANK(F1301,$F$5:$F$1561)</f>
        <v/>
      </c>
      <c r="H1301" s="8" t="inlineStr"/>
      <c r="I1301" s="9">
        <f>IF(D1301="Private",E1301,"")</f>
        <v/>
      </c>
      <c r="J1301" s="9">
        <f>IF(D1301="Private",F1301,"")</f>
        <v/>
      </c>
    </row>
    <row r="1302">
      <c r="A1302" s="8" t="inlineStr">
        <is>
          <t>William Carey University</t>
        </is>
      </c>
      <c r="B1302" s="8" t="inlineStr">
        <is>
          <t>Hattiesburg</t>
        </is>
      </c>
      <c r="C1302" s="8" t="inlineStr">
        <is>
          <t>MS</t>
        </is>
      </c>
      <c r="D1302" s="8" t="inlineStr">
        <is>
          <t>Private</t>
        </is>
      </c>
      <c r="E1302" s="9" t="n">
        <v>10886</v>
      </c>
      <c r="F1302" s="9" t="n">
        <v>40817</v>
      </c>
      <c r="G1302" s="8">
        <f>RANK(F1302,$F$5:$F$1561)</f>
        <v/>
      </c>
      <c r="H1302" s="8" t="inlineStr"/>
      <c r="I1302" s="9">
        <f>IF(D1302="Private",E1302,"")</f>
        <v/>
      </c>
      <c r="J1302" s="9">
        <f>IF(D1302="Private",F1302,"")</f>
        <v/>
      </c>
    </row>
    <row r="1303">
      <c r="A1303" s="8" t="inlineStr">
        <is>
          <t>Indiana University-South Bend</t>
        </is>
      </c>
      <c r="B1303" s="8" t="inlineStr">
        <is>
          <t>South Bend</t>
        </is>
      </c>
      <c r="C1303" s="8" t="inlineStr">
        <is>
          <t>IN</t>
        </is>
      </c>
      <c r="D1303" s="8" t="inlineStr">
        <is>
          <t>Public</t>
        </is>
      </c>
      <c r="E1303" s="9" t="n">
        <v>8518</v>
      </c>
      <c r="F1303" s="9" t="n">
        <v>40816</v>
      </c>
      <c r="G1303" s="8">
        <f>RANK(F1303,$F$5:$F$1561)</f>
        <v/>
      </c>
      <c r="H1303" s="8" t="inlineStr"/>
      <c r="I1303" s="9">
        <f>IF(D1303="Private",E1303,"")</f>
        <v/>
      </c>
      <c r="J1303" s="9">
        <f>IF(D1303="Private",F1303,"")</f>
        <v/>
      </c>
    </row>
    <row r="1304">
      <c r="A1304" s="8" t="inlineStr">
        <is>
          <t>Florida SouthWestern State College</t>
        </is>
      </c>
      <c r="B1304" s="8" t="inlineStr">
        <is>
          <t>Fort Myers</t>
        </is>
      </c>
      <c r="C1304" s="8" t="inlineStr">
        <is>
          <t>FL</t>
        </is>
      </c>
      <c r="D1304" s="8" t="inlineStr">
        <is>
          <t>Public</t>
        </is>
      </c>
      <c r="E1304" s="9" t="n">
        <v>8547</v>
      </c>
      <c r="F1304" s="9" t="n">
        <v>40800</v>
      </c>
      <c r="G1304" s="8">
        <f>RANK(F1304,$F$5:$F$1561)</f>
        <v/>
      </c>
      <c r="H1304" s="8" t="inlineStr"/>
      <c r="I1304" s="9">
        <f>IF(D1304="Private",E1304,"")</f>
        <v/>
      </c>
      <c r="J1304" s="9">
        <f>IF(D1304="Private",F1304,"")</f>
        <v/>
      </c>
    </row>
    <row r="1305">
      <c r="A1305" s="8" t="inlineStr">
        <is>
          <t>Seminole State College of Florida</t>
        </is>
      </c>
      <c r="B1305" s="8" t="inlineStr">
        <is>
          <t>Sanford</t>
        </is>
      </c>
      <c r="C1305" s="8" t="inlineStr">
        <is>
          <t>FL</t>
        </is>
      </c>
      <c r="D1305" s="8" t="inlineStr">
        <is>
          <t>Public</t>
        </is>
      </c>
      <c r="E1305" s="9" t="n">
        <v>3902</v>
      </c>
      <c r="F1305" s="9" t="n">
        <v>40799</v>
      </c>
      <c r="G1305" s="8">
        <f>RANK(F1305,$F$5:$F$1561)</f>
        <v/>
      </c>
      <c r="H1305" s="8" t="inlineStr"/>
      <c r="I1305" s="9">
        <f>IF(D1305="Private",E1305,"")</f>
        <v/>
      </c>
      <c r="J1305" s="9">
        <f>IF(D1305="Private",F1305,"")</f>
        <v/>
      </c>
    </row>
    <row r="1306">
      <c r="A1306" s="8" t="inlineStr">
        <is>
          <t>Georgia Highlands College</t>
        </is>
      </c>
      <c r="B1306" s="8" t="inlineStr">
        <is>
          <t>Rome</t>
        </is>
      </c>
      <c r="C1306" s="8" t="inlineStr">
        <is>
          <t>GA</t>
        </is>
      </c>
      <c r="D1306" s="8" t="inlineStr">
        <is>
          <t>Public</t>
        </is>
      </c>
      <c r="E1306" s="9" t="n">
        <v>6848</v>
      </c>
      <c r="F1306" s="9" t="n">
        <v>40769</v>
      </c>
      <c r="G1306" s="8">
        <f>RANK(F1306,$F$5:$F$1561)</f>
        <v/>
      </c>
      <c r="H1306" s="8" t="inlineStr"/>
      <c r="I1306" s="9">
        <f>IF(D1306="Private",E1306,"")</f>
        <v/>
      </c>
      <c r="J1306" s="9">
        <f>IF(D1306="Private",F1306,"")</f>
        <v/>
      </c>
    </row>
    <row r="1307">
      <c r="A1307" s="8" t="inlineStr">
        <is>
          <t>Colorado Mountain College</t>
        </is>
      </c>
      <c r="B1307" s="8" t="inlineStr">
        <is>
          <t>Glenwood Springs</t>
        </is>
      </c>
      <c r="C1307" s="8" t="inlineStr">
        <is>
          <t>CO</t>
        </is>
      </c>
      <c r="D1307" s="8" t="inlineStr">
        <is>
          <t>Public</t>
        </is>
      </c>
      <c r="E1307" s="9" t="n">
        <v>6002</v>
      </c>
      <c r="F1307" s="9" t="n">
        <v>40761</v>
      </c>
      <c r="G1307" s="8">
        <f>RANK(F1307,$F$5:$F$1561)</f>
        <v/>
      </c>
      <c r="H1307" s="8" t="inlineStr"/>
      <c r="I1307" s="9">
        <f>IF(D1307="Private",E1307,"")</f>
        <v/>
      </c>
      <c r="J1307" s="9">
        <f>IF(D1307="Private",F1307,"")</f>
        <v/>
      </c>
    </row>
    <row r="1308">
      <c r="A1308" s="8" t="inlineStr">
        <is>
          <t>Berea College</t>
        </is>
      </c>
      <c r="B1308" s="8" t="inlineStr">
        <is>
          <t>Berea</t>
        </is>
      </c>
      <c r="C1308" s="8" t="inlineStr">
        <is>
          <t>KY</t>
        </is>
      </c>
      <c r="D1308" s="8" t="inlineStr">
        <is>
          <t>Private</t>
        </is>
      </c>
      <c r="E1308" s="9" t="n">
        <v>3442</v>
      </c>
      <c r="F1308" s="9" t="n">
        <v>40738</v>
      </c>
      <c r="G1308" s="8">
        <f>RANK(F1308,$F$5:$F$1561)</f>
        <v/>
      </c>
      <c r="H1308" s="8" t="inlineStr"/>
      <c r="I1308" s="9">
        <f>IF(D1308="Private",E1308,"")</f>
        <v/>
      </c>
      <c r="J1308" s="9">
        <f>IF(D1308="Private",F1308,"")</f>
        <v/>
      </c>
    </row>
    <row r="1309">
      <c r="A1309" s="8" t="inlineStr">
        <is>
          <t>Henderson State University</t>
        </is>
      </c>
      <c r="B1309" s="8" t="inlineStr">
        <is>
          <t>Arkadelphia</t>
        </is>
      </c>
      <c r="C1309" s="8" t="inlineStr">
        <is>
          <t>AR</t>
        </is>
      </c>
      <c r="D1309" s="8" t="inlineStr">
        <is>
          <t>Public</t>
        </is>
      </c>
      <c r="E1309" s="9" t="n">
        <v>16696</v>
      </c>
      <c r="F1309" s="9" t="n">
        <v>40681</v>
      </c>
      <c r="G1309" s="8">
        <f>RANK(F1309,$F$5:$F$1561)</f>
        <v/>
      </c>
      <c r="H1309" s="8" t="inlineStr"/>
      <c r="I1309" s="9">
        <f>IF(D1309="Private",E1309,"")</f>
        <v/>
      </c>
      <c r="J1309" s="9">
        <f>IF(D1309="Private",F1309,"")</f>
        <v/>
      </c>
    </row>
    <row r="1310">
      <c r="A1310" s="8" t="inlineStr">
        <is>
          <t>Southern Arkansas University Main Campus</t>
        </is>
      </c>
      <c r="B1310" s="8" t="inlineStr">
        <is>
          <t>Magnolia</t>
        </is>
      </c>
      <c r="C1310" s="8" t="inlineStr">
        <is>
          <t>AR</t>
        </is>
      </c>
      <c r="D1310" s="8" t="inlineStr">
        <is>
          <t>Public</t>
        </is>
      </c>
      <c r="E1310" s="9" t="n">
        <v>15873</v>
      </c>
      <c r="F1310" s="9" t="n">
        <v>40671</v>
      </c>
      <c r="G1310" s="8">
        <f>RANK(F1310,$F$5:$F$1561)</f>
        <v/>
      </c>
      <c r="H1310" s="8" t="inlineStr"/>
      <c r="I1310" s="9">
        <f>IF(D1310="Private",E1310,"")</f>
        <v/>
      </c>
      <c r="J1310" s="9">
        <f>IF(D1310="Private",F1310,"")</f>
        <v/>
      </c>
    </row>
    <row r="1311">
      <c r="A1311" s="8" t="inlineStr">
        <is>
          <t>College of the Ozarks</t>
        </is>
      </c>
      <c r="B1311" s="8" t="inlineStr">
        <is>
          <t>Point Lookout</t>
        </is>
      </c>
      <c r="C1311" s="8" t="inlineStr">
        <is>
          <t>MO</t>
        </is>
      </c>
      <c r="D1311" s="8" t="inlineStr">
        <is>
          <t>Private</t>
        </is>
      </c>
      <c r="E1311" s="9" t="n">
        <v>7202</v>
      </c>
      <c r="F1311" s="9" t="n">
        <v>40659</v>
      </c>
      <c r="G1311" s="8">
        <f>RANK(F1311,$F$5:$F$1561)</f>
        <v/>
      </c>
      <c r="H1311" s="8" t="inlineStr"/>
      <c r="I1311" s="9">
        <f>IF(D1311="Private",E1311,"")</f>
        <v/>
      </c>
      <c r="J1311" s="9">
        <f>IF(D1311="Private",F1311,"")</f>
        <v/>
      </c>
    </row>
    <row r="1312">
      <c r="A1312" s="8" t="inlineStr">
        <is>
          <t>Vincennes University</t>
        </is>
      </c>
      <c r="B1312" s="8" t="inlineStr">
        <is>
          <t>Vincennes</t>
        </is>
      </c>
      <c r="C1312" s="8" t="inlineStr">
        <is>
          <t>IN</t>
        </is>
      </c>
      <c r="D1312" s="8" t="inlineStr">
        <is>
          <t>Public</t>
        </is>
      </c>
      <c r="E1312" s="9" t="n">
        <v>10862</v>
      </c>
      <c r="F1312" s="9" t="n">
        <v>40582</v>
      </c>
      <c r="G1312" s="8">
        <f>RANK(F1312,$F$5:$F$1561)</f>
        <v/>
      </c>
      <c r="H1312" s="8" t="inlineStr"/>
      <c r="I1312" s="9">
        <f>IF(D1312="Private",E1312,"")</f>
        <v/>
      </c>
      <c r="J1312" s="9">
        <f>IF(D1312="Private",F1312,"")</f>
        <v/>
      </c>
    </row>
    <row r="1313">
      <c r="A1313" s="8" t="inlineStr">
        <is>
          <t>Huston-Tillotson University</t>
        </is>
      </c>
      <c r="B1313" s="8" t="inlineStr">
        <is>
          <t>Austin</t>
        </is>
      </c>
      <c r="C1313" s="8" t="inlineStr">
        <is>
          <t>TX</t>
        </is>
      </c>
      <c r="D1313" s="8" t="inlineStr">
        <is>
          <t>Private</t>
        </is>
      </c>
      <c r="E1313" s="9" t="n">
        <v>10311</v>
      </c>
      <c r="F1313" s="9" t="n">
        <v>40582</v>
      </c>
      <c r="G1313" s="8">
        <f>RANK(F1313,$F$5:$F$1561)</f>
        <v/>
      </c>
      <c r="H1313" s="8" t="inlineStr"/>
      <c r="I1313" s="9">
        <f>IF(D1313="Private",E1313,"")</f>
        <v/>
      </c>
      <c r="J1313" s="9">
        <f>IF(D1313="Private",F1313,"")</f>
        <v/>
      </c>
    </row>
    <row r="1314">
      <c r="A1314" s="8" t="inlineStr">
        <is>
          <t>Fisher College</t>
        </is>
      </c>
      <c r="B1314" s="8" t="inlineStr">
        <is>
          <t>Boston</t>
        </is>
      </c>
      <c r="C1314" s="8" t="inlineStr">
        <is>
          <t>MA</t>
        </is>
      </c>
      <c r="D1314" s="8" t="inlineStr">
        <is>
          <t>Private</t>
        </is>
      </c>
      <c r="E1314" s="9" t="n">
        <v>24758</v>
      </c>
      <c r="F1314" s="9" t="n">
        <v>40552</v>
      </c>
      <c r="G1314" s="8">
        <f>RANK(F1314,$F$5:$F$1561)</f>
        <v/>
      </c>
      <c r="H1314" s="8" t="inlineStr"/>
      <c r="I1314" s="9">
        <f>IF(D1314="Private",E1314,"")</f>
        <v/>
      </c>
      <c r="J1314" s="9">
        <f>IF(D1314="Private",F1314,"")</f>
        <v/>
      </c>
    </row>
    <row r="1315">
      <c r="A1315" s="8" t="inlineStr">
        <is>
          <t>University of Maine at Fort Kent</t>
        </is>
      </c>
      <c r="B1315" s="8" t="inlineStr">
        <is>
          <t>Fort Kent</t>
        </is>
      </c>
      <c r="C1315" s="8" t="inlineStr">
        <is>
          <t>ME</t>
        </is>
      </c>
      <c r="D1315" s="8" t="inlineStr">
        <is>
          <t>Public</t>
        </is>
      </c>
      <c r="E1315" s="9" t="n">
        <v>9214</v>
      </c>
      <c r="F1315" s="9" t="n">
        <v>40481</v>
      </c>
      <c r="G1315" s="8">
        <f>RANK(F1315,$F$5:$F$1561)</f>
        <v/>
      </c>
      <c r="H1315" s="8" t="inlineStr"/>
      <c r="I1315" s="9">
        <f>IF(D1315="Private",E1315,"")</f>
        <v/>
      </c>
      <c r="J1315" s="9">
        <f>IF(D1315="Private",F1315,"")</f>
        <v/>
      </c>
    </row>
    <row r="1316">
      <c r="A1316" s="8" t="inlineStr">
        <is>
          <t>University of the Ozarks</t>
        </is>
      </c>
      <c r="B1316" s="8" t="inlineStr">
        <is>
          <t>Clarksville</t>
        </is>
      </c>
      <c r="C1316" s="8" t="inlineStr">
        <is>
          <t>AR</t>
        </is>
      </c>
      <c r="D1316" s="8" t="inlineStr">
        <is>
          <t>Private</t>
        </is>
      </c>
      <c r="E1316" s="9" t="n">
        <v>14486</v>
      </c>
      <c r="F1316" s="9" t="n">
        <v>40448</v>
      </c>
      <c r="G1316" s="8">
        <f>RANK(F1316,$F$5:$F$1561)</f>
        <v/>
      </c>
      <c r="H1316" s="8" t="inlineStr"/>
      <c r="I1316" s="9">
        <f>IF(D1316="Private",E1316,"")</f>
        <v/>
      </c>
      <c r="J1316" s="9">
        <f>IF(D1316="Private",F1316,"")</f>
        <v/>
      </c>
    </row>
    <row r="1317">
      <c r="A1317" s="8" t="inlineStr">
        <is>
          <t>University of Montevallo</t>
        </is>
      </c>
      <c r="B1317" s="8" t="inlineStr">
        <is>
          <t>Montevallo</t>
        </is>
      </c>
      <c r="C1317" s="8" t="inlineStr">
        <is>
          <t>AL</t>
        </is>
      </c>
      <c r="D1317" s="8" t="inlineStr">
        <is>
          <t>Public</t>
        </is>
      </c>
      <c r="E1317" s="9" t="n">
        <v>17348</v>
      </c>
      <c r="F1317" s="9" t="n">
        <v>40439</v>
      </c>
      <c r="G1317" s="8">
        <f>RANK(F1317,$F$5:$F$1561)</f>
        <v/>
      </c>
      <c r="H1317" s="8" t="inlineStr"/>
      <c r="I1317" s="9">
        <f>IF(D1317="Private",E1317,"")</f>
        <v/>
      </c>
      <c r="J1317" s="9">
        <f>IF(D1317="Private",F1317,"")</f>
        <v/>
      </c>
    </row>
    <row r="1318">
      <c r="A1318" s="8" t="inlineStr">
        <is>
          <t>Goddard College</t>
        </is>
      </c>
      <c r="B1318" s="8" t="inlineStr">
        <is>
          <t>Plainfield</t>
        </is>
      </c>
      <c r="C1318" s="8" t="inlineStr">
        <is>
          <t>VT</t>
        </is>
      </c>
      <c r="D1318" s="8" t="inlineStr">
        <is>
          <t>Private</t>
        </is>
      </c>
      <c r="E1318" s="9" t="n">
        <v>26622</v>
      </c>
      <c r="F1318" s="9" t="n">
        <v>40421</v>
      </c>
      <c r="G1318" s="8">
        <f>RANK(F1318,$F$5:$F$1561)</f>
        <v/>
      </c>
      <c r="H1318" s="8" t="inlineStr"/>
      <c r="I1318" s="9">
        <f>IF(D1318="Private",E1318,"")</f>
        <v/>
      </c>
      <c r="J1318" s="9">
        <f>IF(D1318="Private",F1318,"")</f>
        <v/>
      </c>
    </row>
    <row r="1319">
      <c r="A1319" s="8" t="inlineStr">
        <is>
          <t>North Carolina Central University</t>
        </is>
      </c>
      <c r="B1319" s="8" t="inlineStr">
        <is>
          <t>Durham</t>
        </is>
      </c>
      <c r="C1319" s="8" t="inlineStr">
        <is>
          <t>NC</t>
        </is>
      </c>
      <c r="D1319" s="8" t="inlineStr">
        <is>
          <t>Public</t>
        </is>
      </c>
      <c r="E1319" s="9" t="n">
        <v>15328</v>
      </c>
      <c r="F1319" s="9" t="n">
        <v>40346</v>
      </c>
      <c r="G1319" s="8">
        <f>RANK(F1319,$F$5:$F$1561)</f>
        <v/>
      </c>
      <c r="H1319" s="8" t="inlineStr"/>
      <c r="I1319" s="9">
        <f>IF(D1319="Private",E1319,"")</f>
        <v/>
      </c>
      <c r="J1319" s="9">
        <f>IF(D1319="Private",F1319,"")</f>
        <v/>
      </c>
    </row>
    <row r="1320">
      <c r="A1320" s="8" t="inlineStr">
        <is>
          <t>Arkansas Tech University</t>
        </is>
      </c>
      <c r="B1320" s="8" t="inlineStr">
        <is>
          <t>Russellville</t>
        </is>
      </c>
      <c r="C1320" s="8" t="inlineStr">
        <is>
          <t>AR</t>
        </is>
      </c>
      <c r="D1320" s="8" t="inlineStr">
        <is>
          <t>Public</t>
        </is>
      </c>
      <c r="E1320" s="9" t="n">
        <v>12191</v>
      </c>
      <c r="F1320" s="9" t="n">
        <v>40334</v>
      </c>
      <c r="G1320" s="8">
        <f>RANK(F1320,$F$5:$F$1561)</f>
        <v/>
      </c>
      <c r="H1320" s="8" t="inlineStr"/>
      <c r="I1320" s="9">
        <f>IF(D1320="Private",E1320,"")</f>
        <v/>
      </c>
      <c r="J1320" s="9">
        <f>IF(D1320="Private",F1320,"")</f>
        <v/>
      </c>
    </row>
    <row r="1321">
      <c r="A1321" s="8" t="inlineStr">
        <is>
          <t>Life Pacific University</t>
        </is>
      </c>
      <c r="B1321" s="8" t="inlineStr">
        <is>
          <t>San Dimas</t>
        </is>
      </c>
      <c r="C1321" s="8" t="inlineStr">
        <is>
          <t>CA</t>
        </is>
      </c>
      <c r="D1321" s="8" t="inlineStr">
        <is>
          <t>Private</t>
        </is>
      </c>
      <c r="E1321" s="9" t="n">
        <v>24055</v>
      </c>
      <c r="F1321" s="9" t="n">
        <v>40331</v>
      </c>
      <c r="G1321" s="8">
        <f>RANK(F1321,$F$5:$F$1561)</f>
        <v/>
      </c>
      <c r="H1321" s="8" t="inlineStr"/>
      <c r="I1321" s="9">
        <f>IF(D1321="Private",E1321,"")</f>
        <v/>
      </c>
      <c r="J1321" s="9">
        <f>IF(D1321="Private",F1321,"")</f>
        <v/>
      </c>
    </row>
    <row r="1322">
      <c r="A1322" s="8" t="inlineStr">
        <is>
          <t>Central Christian College of Kansas</t>
        </is>
      </c>
      <c r="B1322" s="8" t="inlineStr">
        <is>
          <t>McPherson</t>
        </is>
      </c>
      <c r="C1322" s="8" t="inlineStr">
        <is>
          <t>KS</t>
        </is>
      </c>
      <c r="D1322" s="8" t="inlineStr">
        <is>
          <t>Private</t>
        </is>
      </c>
      <c r="E1322" s="9" t="n">
        <v>15466</v>
      </c>
      <c r="F1322" s="9" t="n">
        <v>40305</v>
      </c>
      <c r="G1322" s="8">
        <f>RANK(F1322,$F$5:$F$1561)</f>
        <v/>
      </c>
      <c r="H1322" s="8" t="inlineStr"/>
      <c r="I1322" s="9">
        <f>IF(D1322="Private",E1322,"")</f>
        <v/>
      </c>
      <c r="J1322" s="9">
        <f>IF(D1322="Private",F1322,"")</f>
        <v/>
      </c>
    </row>
    <row r="1323">
      <c r="A1323" s="8" t="inlineStr">
        <is>
          <t>Missouri Western State University</t>
        </is>
      </c>
      <c r="B1323" s="8" t="inlineStr">
        <is>
          <t>Saint Joseph</t>
        </is>
      </c>
      <c r="C1323" s="8" t="inlineStr">
        <is>
          <t>MO</t>
        </is>
      </c>
      <c r="D1323" s="8" t="inlineStr">
        <is>
          <t>Public</t>
        </is>
      </c>
      <c r="E1323" s="9" t="n">
        <v>13220</v>
      </c>
      <c r="F1323" s="9" t="n">
        <v>40253</v>
      </c>
      <c r="G1323" s="8">
        <f>RANK(F1323,$F$5:$F$1561)</f>
        <v/>
      </c>
      <c r="H1323" s="8" t="inlineStr"/>
      <c r="I1323" s="9">
        <f>IF(D1323="Private",E1323,"")</f>
        <v/>
      </c>
      <c r="J1323" s="9">
        <f>IF(D1323="Private",F1323,"")</f>
        <v/>
      </c>
    </row>
    <row r="1324">
      <c r="A1324" s="8" t="inlineStr">
        <is>
          <t>Concord University</t>
        </is>
      </c>
      <c r="B1324" s="8" t="inlineStr">
        <is>
          <t>Athens</t>
        </is>
      </c>
      <c r="C1324" s="8" t="inlineStr">
        <is>
          <t>WV</t>
        </is>
      </c>
      <c r="D1324" s="8" t="inlineStr">
        <is>
          <t>Public</t>
        </is>
      </c>
      <c r="E1324" s="9" t="n">
        <v>9182</v>
      </c>
      <c r="F1324" s="9" t="n">
        <v>40246</v>
      </c>
      <c r="G1324" s="8">
        <f>RANK(F1324,$F$5:$F$1561)</f>
        <v/>
      </c>
      <c r="H1324" s="8" t="inlineStr"/>
      <c r="I1324" s="9">
        <f>IF(D1324="Private",E1324,"")</f>
        <v/>
      </c>
      <c r="J1324" s="9">
        <f>IF(D1324="Private",F1324,"")</f>
        <v/>
      </c>
    </row>
    <row r="1325">
      <c r="A1325" s="8" t="inlineStr">
        <is>
          <t>Pillar College</t>
        </is>
      </c>
      <c r="B1325" s="8" t="inlineStr">
        <is>
          <t>Newark</t>
        </is>
      </c>
      <c r="C1325" s="8" t="inlineStr">
        <is>
          <t>NJ</t>
        </is>
      </c>
      <c r="D1325" s="8" t="inlineStr">
        <is>
          <t>Private</t>
        </is>
      </c>
      <c r="E1325" s="9" t="n">
        <v>21481</v>
      </c>
      <c r="F1325" s="9" t="n">
        <v>40220</v>
      </c>
      <c r="G1325" s="8">
        <f>RANK(F1325,$F$5:$F$1561)</f>
        <v/>
      </c>
      <c r="H1325" s="8" t="inlineStr"/>
      <c r="I1325" s="9">
        <f>IF(D1325="Private",E1325,"")</f>
        <v/>
      </c>
      <c r="J1325" s="9">
        <f>IF(D1325="Private",F1325,"")</f>
        <v/>
      </c>
    </row>
    <row r="1326">
      <c r="A1326" s="8" t="inlineStr">
        <is>
          <t>York University</t>
        </is>
      </c>
      <c r="B1326" s="8" t="inlineStr">
        <is>
          <t>York</t>
        </is>
      </c>
      <c r="C1326" s="8" t="inlineStr">
        <is>
          <t>NE</t>
        </is>
      </c>
      <c r="D1326" s="8" t="inlineStr">
        <is>
          <t>Private</t>
        </is>
      </c>
      <c r="E1326" s="9" t="n">
        <v>17870</v>
      </c>
      <c r="F1326" s="9" t="n">
        <v>40076</v>
      </c>
      <c r="G1326" s="8">
        <f>RANK(F1326,$F$5:$F$1561)</f>
        <v/>
      </c>
      <c r="H1326" s="8" t="inlineStr"/>
      <c r="I1326" s="9">
        <f>IF(D1326="Private",E1326,"")</f>
        <v/>
      </c>
      <c r="J1326" s="9">
        <f>IF(D1326="Private",F1326,"")</f>
        <v/>
      </c>
    </row>
    <row r="1327">
      <c r="A1327" s="8" t="inlineStr">
        <is>
          <t>Edinboro University of Pennsylvania</t>
        </is>
      </c>
      <c r="B1327" s="8" t="inlineStr">
        <is>
          <t>Edinboro</t>
        </is>
      </c>
      <c r="C1327" s="8" t="inlineStr">
        <is>
          <t>PA</t>
        </is>
      </c>
      <c r="D1327" s="8" t="inlineStr">
        <is>
          <t>Public</t>
        </is>
      </c>
      <c r="E1327" s="9" t="n">
        <v>17096</v>
      </c>
      <c r="F1327" s="9" t="n">
        <v>40051</v>
      </c>
      <c r="G1327" s="8">
        <f>RANK(F1327,$F$5:$F$1561)</f>
        <v/>
      </c>
      <c r="H1327" s="8" t="inlineStr"/>
      <c r="I1327" s="9">
        <f>IF(D1327="Private",E1327,"")</f>
        <v/>
      </c>
      <c r="J1327" s="9">
        <f>IF(D1327="Private",F1327,"")</f>
        <v/>
      </c>
    </row>
    <row r="1328">
      <c r="A1328" s="8" t="inlineStr">
        <is>
          <t>Morehead State University</t>
        </is>
      </c>
      <c r="B1328" s="8" t="inlineStr">
        <is>
          <t>Morehead</t>
        </is>
      </c>
      <c r="C1328" s="8" t="inlineStr">
        <is>
          <t>KY</t>
        </is>
      </c>
      <c r="D1328" s="8" t="inlineStr">
        <is>
          <t>Public</t>
        </is>
      </c>
      <c r="E1328" s="9" t="n">
        <v>10738</v>
      </c>
      <c r="F1328" s="9" t="n">
        <v>40010</v>
      </c>
      <c r="G1328" s="8">
        <f>RANK(F1328,$F$5:$F$1561)</f>
        <v/>
      </c>
      <c r="H1328" s="8" t="inlineStr"/>
      <c r="I1328" s="9">
        <f>IF(D1328="Private",E1328,"")</f>
        <v/>
      </c>
      <c r="J1328" s="9">
        <f>IF(D1328="Private",F1328,"")</f>
        <v/>
      </c>
    </row>
    <row r="1329">
      <c r="A1329" s="8" t="inlineStr">
        <is>
          <t>Campbellsville University</t>
        </is>
      </c>
      <c r="B1329" s="8" t="inlineStr">
        <is>
          <t>Campbellsville</t>
        </is>
      </c>
      <c r="C1329" s="8" t="inlineStr">
        <is>
          <t>KY</t>
        </is>
      </c>
      <c r="D1329" s="8" t="inlineStr">
        <is>
          <t>Private</t>
        </is>
      </c>
      <c r="E1329" s="9" t="n">
        <v>23445</v>
      </c>
      <c r="F1329" s="9" t="n">
        <v>39948</v>
      </c>
      <c r="G1329" s="8">
        <f>RANK(F1329,$F$5:$F$1561)</f>
        <v/>
      </c>
      <c r="H1329" s="8" t="inlineStr"/>
      <c r="I1329" s="9">
        <f>IF(D1329="Private",E1329,"")</f>
        <v/>
      </c>
      <c r="J1329" s="9">
        <f>IF(D1329="Private",F1329,"")</f>
        <v/>
      </c>
    </row>
    <row r="1330">
      <c r="A1330" s="8" t="inlineStr">
        <is>
          <t>Union College</t>
        </is>
      </c>
      <c r="B1330" s="8" t="inlineStr">
        <is>
          <t>Barbourville</t>
        </is>
      </c>
      <c r="C1330" s="8" t="inlineStr">
        <is>
          <t>KY</t>
        </is>
      </c>
      <c r="D1330" s="8" t="inlineStr">
        <is>
          <t>Private</t>
        </is>
      </c>
      <c r="E1330" s="9" t="n">
        <v>21504</v>
      </c>
      <c r="F1330" s="9" t="n">
        <v>39874</v>
      </c>
      <c r="G1330" s="8">
        <f>RANK(F1330,$F$5:$F$1561)</f>
        <v/>
      </c>
      <c r="H1330" s="8" t="inlineStr"/>
      <c r="I1330" s="9">
        <f>IF(D1330="Private",E1330,"")</f>
        <v/>
      </c>
      <c r="J1330" s="9">
        <f>IF(D1330="Private",F1330,"")</f>
        <v/>
      </c>
    </row>
    <row r="1331">
      <c r="A1331" s="8" t="inlineStr">
        <is>
          <t>University of Rio Grande</t>
        </is>
      </c>
      <c r="B1331" s="8" t="inlineStr">
        <is>
          <t>Rio Grande</t>
        </is>
      </c>
      <c r="C1331" s="8" t="inlineStr">
        <is>
          <t>OH</t>
        </is>
      </c>
      <c r="D1331" s="8" t="inlineStr">
        <is>
          <t>Private</t>
        </is>
      </c>
      <c r="E1331" s="9" t="n">
        <v>37327</v>
      </c>
      <c r="F1331" s="9" t="n">
        <v>39844</v>
      </c>
      <c r="G1331" s="8">
        <f>RANK(F1331,$F$5:$F$1561)</f>
        <v/>
      </c>
      <c r="H1331" s="8" t="inlineStr"/>
      <c r="I1331" s="9">
        <f>IF(D1331="Private",E1331,"")</f>
        <v/>
      </c>
      <c r="J1331" s="9">
        <f>IF(D1331="Private",F1331,"")</f>
        <v/>
      </c>
    </row>
    <row r="1332">
      <c r="A1332" s="8" t="inlineStr">
        <is>
          <t>University of Arkansas-Fort Smith</t>
        </is>
      </c>
      <c r="B1332" s="8" t="inlineStr">
        <is>
          <t>Fort Smith</t>
        </is>
      </c>
      <c r="C1332" s="8" t="inlineStr">
        <is>
          <t>AR</t>
        </is>
      </c>
      <c r="D1332" s="8" t="inlineStr">
        <is>
          <t>Public</t>
        </is>
      </c>
      <c r="E1332" s="9" t="n">
        <v>9336</v>
      </c>
      <c r="F1332" s="9" t="n">
        <v>39832</v>
      </c>
      <c r="G1332" s="8">
        <f>RANK(F1332,$F$5:$F$1561)</f>
        <v/>
      </c>
      <c r="H1332" s="8" t="inlineStr"/>
      <c r="I1332" s="9">
        <f>IF(D1332="Private",E1332,"")</f>
        <v/>
      </c>
      <c r="J1332" s="9">
        <f>IF(D1332="Private",F1332,"")</f>
        <v/>
      </c>
    </row>
    <row r="1333">
      <c r="A1333" s="8" t="inlineStr">
        <is>
          <t>Arkansas State University</t>
        </is>
      </c>
      <c r="B1333" s="8" t="inlineStr">
        <is>
          <t>Jonesboro</t>
        </is>
      </c>
      <c r="C1333" s="8" t="inlineStr">
        <is>
          <t>AR</t>
        </is>
      </c>
      <c r="D1333" s="8" t="inlineStr">
        <is>
          <t>Public</t>
        </is>
      </c>
      <c r="E1333" s="9" t="n">
        <v>13430</v>
      </c>
      <c r="F1333" s="9" t="n">
        <v>39824</v>
      </c>
      <c r="G1333" s="8">
        <f>RANK(F1333,$F$5:$F$1561)</f>
        <v/>
      </c>
      <c r="H1333" s="8" t="inlineStr"/>
      <c r="I1333" s="9">
        <f>IF(D1333="Private",E1333,"")</f>
        <v/>
      </c>
      <c r="J1333" s="9">
        <f>IF(D1333="Private",F1333,"")</f>
        <v/>
      </c>
    </row>
    <row r="1334">
      <c r="A1334" s="8" t="inlineStr">
        <is>
          <t>Shawnee State University</t>
        </is>
      </c>
      <c r="B1334" s="8" t="inlineStr">
        <is>
          <t>Portsmouth</t>
        </is>
      </c>
      <c r="C1334" s="8" t="inlineStr">
        <is>
          <t>OH</t>
        </is>
      </c>
      <c r="D1334" s="8" t="inlineStr">
        <is>
          <t>Public</t>
        </is>
      </c>
      <c r="E1334" s="9" t="n">
        <v>15477</v>
      </c>
      <c r="F1334" s="9" t="n">
        <v>39746</v>
      </c>
      <c r="G1334" s="8">
        <f>RANK(F1334,$F$5:$F$1561)</f>
        <v/>
      </c>
      <c r="H1334" s="8" t="inlineStr"/>
      <c r="I1334" s="9">
        <f>IF(D1334="Private",E1334,"")</f>
        <v/>
      </c>
      <c r="J1334" s="9">
        <f>IF(D1334="Private",F1334,"")</f>
        <v/>
      </c>
    </row>
    <row r="1335">
      <c r="A1335" s="8" t="inlineStr">
        <is>
          <t>Lincoln Christian University</t>
        </is>
      </c>
      <c r="B1335" s="8" t="inlineStr">
        <is>
          <t>Lincoln</t>
        </is>
      </c>
      <c r="C1335" s="8" t="inlineStr">
        <is>
          <t>IL</t>
        </is>
      </c>
      <c r="D1335" s="8" t="inlineStr">
        <is>
          <t>Private</t>
        </is>
      </c>
      <c r="E1335" s="9" t="n">
        <v>17436</v>
      </c>
      <c r="F1335" s="9" t="n">
        <v>39734</v>
      </c>
      <c r="G1335" s="8">
        <f>RANK(F1335,$F$5:$F$1561)</f>
        <v/>
      </c>
      <c r="H1335" s="8" t="inlineStr"/>
      <c r="I1335" s="9">
        <f>IF(D1335="Private",E1335,"")</f>
        <v/>
      </c>
      <c r="J1335" s="9">
        <f>IF(D1335="Private",F1335,"")</f>
        <v/>
      </c>
    </row>
    <row r="1336">
      <c r="A1336" s="8" t="inlineStr">
        <is>
          <t>Barclay College</t>
        </is>
      </c>
      <c r="B1336" s="8" t="inlineStr">
        <is>
          <t>Haviland</t>
        </is>
      </c>
      <c r="C1336" s="8" t="inlineStr">
        <is>
          <t>KS</t>
        </is>
      </c>
      <c r="D1336" s="8" t="inlineStr">
        <is>
          <t>Private</t>
        </is>
      </c>
      <c r="E1336" s="9" t="n">
        <v>23840</v>
      </c>
      <c r="F1336" s="9" t="n">
        <v>39726</v>
      </c>
      <c r="G1336" s="8">
        <f>RANK(F1336,$F$5:$F$1561)</f>
        <v/>
      </c>
      <c r="H1336" s="8" t="inlineStr"/>
      <c r="I1336" s="9">
        <f>IF(D1336="Private",E1336,"")</f>
        <v/>
      </c>
      <c r="J1336" s="9">
        <f>IF(D1336="Private",F1336,"")</f>
        <v/>
      </c>
    </row>
    <row r="1337">
      <c r="A1337" s="8" t="inlineStr">
        <is>
          <t>Brevard College</t>
        </is>
      </c>
      <c r="B1337" s="8" t="inlineStr">
        <is>
          <t>Brevard</t>
        </is>
      </c>
      <c r="C1337" s="8" t="inlineStr">
        <is>
          <t>NC</t>
        </is>
      </c>
      <c r="D1337" s="8" t="inlineStr">
        <is>
          <t>Private</t>
        </is>
      </c>
      <c r="E1337" s="9" t="n">
        <v>18596</v>
      </c>
      <c r="F1337" s="9" t="n">
        <v>39714</v>
      </c>
      <c r="G1337" s="8">
        <f>RANK(F1337,$F$5:$F$1561)</f>
        <v/>
      </c>
      <c r="H1337" s="8" t="inlineStr"/>
      <c r="I1337" s="9">
        <f>IF(D1337="Private",E1337,"")</f>
        <v/>
      </c>
      <c r="J1337" s="9">
        <f>IF(D1337="Private",F1337,"")</f>
        <v/>
      </c>
    </row>
    <row r="1338">
      <c r="A1338" s="8" t="inlineStr">
        <is>
          <t>Columbia College</t>
        </is>
      </c>
      <c r="B1338" s="8" t="inlineStr">
        <is>
          <t>Columbia</t>
        </is>
      </c>
      <c r="C1338" s="8" t="inlineStr">
        <is>
          <t>SC</t>
        </is>
      </c>
      <c r="D1338" s="8" t="inlineStr">
        <is>
          <t>Private</t>
        </is>
      </c>
      <c r="E1338" s="9" t="n">
        <v>21098</v>
      </c>
      <c r="F1338" s="9" t="n">
        <v>39714</v>
      </c>
      <c r="G1338" s="8">
        <f>RANK(F1338,$F$5:$F$1561)</f>
        <v/>
      </c>
      <c r="H1338" s="8" t="inlineStr"/>
      <c r="I1338" s="9">
        <f>IF(D1338="Private",E1338,"")</f>
        <v/>
      </c>
      <c r="J1338" s="9">
        <f>IF(D1338="Private",F1338,"")</f>
        <v/>
      </c>
    </row>
    <row r="1339">
      <c r="A1339" s="8" t="inlineStr">
        <is>
          <t>University of Science and Arts of Oklahoma</t>
        </is>
      </c>
      <c r="B1339" s="8" t="inlineStr">
        <is>
          <t>Chickasha</t>
        </is>
      </c>
      <c r="C1339" s="8" t="inlineStr">
        <is>
          <t>OK</t>
        </is>
      </c>
      <c r="D1339" s="8" t="inlineStr">
        <is>
          <t>Public</t>
        </is>
      </c>
      <c r="E1339" s="9" t="n">
        <v>9215</v>
      </c>
      <c r="F1339" s="9" t="n">
        <v>39676</v>
      </c>
      <c r="G1339" s="8">
        <f>RANK(F1339,$F$5:$F$1561)</f>
        <v/>
      </c>
      <c r="H1339" s="8" t="inlineStr"/>
      <c r="I1339" s="9">
        <f>IF(D1339="Private",E1339,"")</f>
        <v/>
      </c>
      <c r="J1339" s="9">
        <f>IF(D1339="Private",F1339,"")</f>
        <v/>
      </c>
    </row>
    <row r="1340">
      <c r="A1340" s="8" t="inlineStr">
        <is>
          <t>Mary Baldwin University</t>
        </is>
      </c>
      <c r="B1340" s="8" t="inlineStr">
        <is>
          <t>Staunton</t>
        </is>
      </c>
      <c r="C1340" s="8" t="inlineStr">
        <is>
          <t>VA</t>
        </is>
      </c>
      <c r="D1340" s="8" t="inlineStr">
        <is>
          <t>Private</t>
        </is>
      </c>
      <c r="E1340" s="9" t="n">
        <v>17514</v>
      </c>
      <c r="F1340" s="9" t="n">
        <v>39605</v>
      </c>
      <c r="G1340" s="8">
        <f>RANK(F1340,$F$5:$F$1561)</f>
        <v/>
      </c>
      <c r="H1340" s="8" t="inlineStr"/>
      <c r="I1340" s="9">
        <f>IF(D1340="Private",E1340,"")</f>
        <v/>
      </c>
      <c r="J1340" s="9">
        <f>IF(D1340="Private",F1340,"")</f>
        <v/>
      </c>
    </row>
    <row r="1341">
      <c r="A1341" s="8" t="inlineStr">
        <is>
          <t>Johnson C Smith University</t>
        </is>
      </c>
      <c r="B1341" s="8" t="inlineStr">
        <is>
          <t>Charlotte</t>
        </is>
      </c>
      <c r="C1341" s="8" t="inlineStr">
        <is>
          <t>NC</t>
        </is>
      </c>
      <c r="D1341" s="8" t="inlineStr">
        <is>
          <t>Private</t>
        </is>
      </c>
      <c r="E1341" s="9" t="n">
        <v>16703</v>
      </c>
      <c r="F1341" s="9" t="n">
        <v>39488</v>
      </c>
      <c r="G1341" s="8">
        <f>RANK(F1341,$F$5:$F$1561)</f>
        <v/>
      </c>
      <c r="H1341" s="8" t="inlineStr"/>
      <c r="I1341" s="9">
        <f>IF(D1341="Private",E1341,"")</f>
        <v/>
      </c>
      <c r="J1341" s="9">
        <f>IF(D1341="Private",F1341,"")</f>
        <v/>
      </c>
    </row>
    <row r="1342">
      <c r="A1342" s="8" t="inlineStr">
        <is>
          <t>Keystone College</t>
        </is>
      </c>
      <c r="B1342" s="8" t="inlineStr">
        <is>
          <t>La Plume</t>
        </is>
      </c>
      <c r="C1342" s="8" t="inlineStr">
        <is>
          <t>PA</t>
        </is>
      </c>
      <c r="D1342" s="8" t="inlineStr">
        <is>
          <t>Private</t>
        </is>
      </c>
      <c r="E1342" s="9" t="n">
        <v>18666</v>
      </c>
      <c r="F1342" s="9" t="n">
        <v>39466</v>
      </c>
      <c r="G1342" s="8">
        <f>RANK(F1342,$F$5:$F$1561)</f>
        <v/>
      </c>
      <c r="H1342" s="8" t="inlineStr"/>
      <c r="I1342" s="9">
        <f>IF(D1342="Private",E1342,"")</f>
        <v/>
      </c>
      <c r="J1342" s="9">
        <f>IF(D1342="Private",F1342,"")</f>
        <v/>
      </c>
    </row>
    <row r="1343">
      <c r="A1343" s="8" t="inlineStr">
        <is>
          <t>Point University</t>
        </is>
      </c>
      <c r="B1343" s="8" t="inlineStr">
        <is>
          <t>West Point</t>
        </is>
      </c>
      <c r="C1343" s="8" t="inlineStr">
        <is>
          <t>GA</t>
        </is>
      </c>
      <c r="D1343" s="8" t="inlineStr">
        <is>
          <t>Private</t>
        </is>
      </c>
      <c r="E1343" s="9" t="n">
        <v>19095</v>
      </c>
      <c r="F1343" s="9" t="n">
        <v>39459</v>
      </c>
      <c r="G1343" s="8">
        <f>RANK(F1343,$F$5:$F$1561)</f>
        <v/>
      </c>
      <c r="H1343" s="8" t="inlineStr"/>
      <c r="I1343" s="9">
        <f>IF(D1343="Private",E1343,"")</f>
        <v/>
      </c>
      <c r="J1343" s="9">
        <f>IF(D1343="Private",F1343,"")</f>
        <v/>
      </c>
    </row>
    <row r="1344">
      <c r="A1344" s="8" t="inlineStr">
        <is>
          <t>Cameron University</t>
        </is>
      </c>
      <c r="B1344" s="8" t="inlineStr">
        <is>
          <t>Lawton</t>
        </is>
      </c>
      <c r="C1344" s="8" t="inlineStr">
        <is>
          <t>OK</t>
        </is>
      </c>
      <c r="D1344" s="8" t="inlineStr">
        <is>
          <t>Public</t>
        </is>
      </c>
      <c r="E1344" s="9" t="n">
        <v>8919</v>
      </c>
      <c r="F1344" s="9" t="n">
        <v>39357</v>
      </c>
      <c r="G1344" s="8">
        <f>RANK(F1344,$F$5:$F$1561)</f>
        <v/>
      </c>
      <c r="H1344" s="8" t="inlineStr"/>
      <c r="I1344" s="9">
        <f>IF(D1344="Private",E1344,"")</f>
        <v/>
      </c>
      <c r="J1344" s="9">
        <f>IF(D1344="Private",F1344,"")</f>
        <v/>
      </c>
    </row>
    <row r="1345">
      <c r="A1345" s="8" t="inlineStr">
        <is>
          <t>Brescia University</t>
        </is>
      </c>
      <c r="B1345" s="8" t="inlineStr">
        <is>
          <t>Owensboro</t>
        </is>
      </c>
      <c r="C1345" s="8" t="inlineStr">
        <is>
          <t>KY</t>
        </is>
      </c>
      <c r="D1345" s="8" t="inlineStr">
        <is>
          <t>Private</t>
        </is>
      </c>
      <c r="E1345" s="9" t="n">
        <v>13626</v>
      </c>
      <c r="F1345" s="9" t="n">
        <v>39343</v>
      </c>
      <c r="G1345" s="8">
        <f>RANK(F1345,$F$5:$F$1561)</f>
        <v/>
      </c>
      <c r="H1345" s="8" t="inlineStr"/>
      <c r="I1345" s="9">
        <f>IF(D1345="Private",E1345,"")</f>
        <v/>
      </c>
      <c r="J1345" s="9">
        <f>IF(D1345="Private",F1345,"")</f>
        <v/>
      </c>
    </row>
    <row r="1346">
      <c r="A1346" s="8" t="inlineStr">
        <is>
          <t>Emmaus Bible College</t>
        </is>
      </c>
      <c r="B1346" s="8" t="inlineStr">
        <is>
          <t>Dubuque</t>
        </is>
      </c>
      <c r="C1346" s="8" t="inlineStr">
        <is>
          <t>IA</t>
        </is>
      </c>
      <c r="D1346" s="8" t="inlineStr">
        <is>
          <t>Private</t>
        </is>
      </c>
      <c r="E1346" s="9" t="n">
        <v>14934</v>
      </c>
      <c r="F1346" s="9" t="n">
        <v>39334</v>
      </c>
      <c r="G1346" s="8">
        <f>RANK(F1346,$F$5:$F$1561)</f>
        <v/>
      </c>
      <c r="H1346" s="8" t="inlineStr"/>
      <c r="I1346" s="9">
        <f>IF(D1346="Private",E1346,"")</f>
        <v/>
      </c>
      <c r="J1346" s="9">
        <f>IF(D1346="Private",F1346,"")</f>
        <v/>
      </c>
    </row>
    <row r="1347">
      <c r="A1347" s="8" t="inlineStr">
        <is>
          <t>Savannah State University</t>
        </is>
      </c>
      <c r="B1347" s="8" t="inlineStr">
        <is>
          <t>Savannah</t>
        </is>
      </c>
      <c r="C1347" s="8" t="inlineStr">
        <is>
          <t>GA</t>
        </is>
      </c>
      <c r="D1347" s="8" t="inlineStr">
        <is>
          <t>Public</t>
        </is>
      </c>
      <c r="E1347" s="9" t="n">
        <v>10295</v>
      </c>
      <c r="F1347" s="9" t="n">
        <v>39332</v>
      </c>
      <c r="G1347" s="8">
        <f>RANK(F1347,$F$5:$F$1561)</f>
        <v/>
      </c>
      <c r="H1347" s="8" t="inlineStr"/>
      <c r="I1347" s="9">
        <f>IF(D1347="Private",E1347,"")</f>
        <v/>
      </c>
      <c r="J1347" s="9">
        <f>IF(D1347="Private",F1347,"")</f>
        <v/>
      </c>
    </row>
    <row r="1348">
      <c r="A1348" s="8" t="inlineStr">
        <is>
          <t>Hollins University</t>
        </is>
      </c>
      <c r="B1348" s="8" t="inlineStr">
        <is>
          <t>Roanoke</t>
        </is>
      </c>
      <c r="C1348" s="8" t="inlineStr">
        <is>
          <t>VA</t>
        </is>
      </c>
      <c r="D1348" s="8" t="inlineStr">
        <is>
          <t>Private</t>
        </is>
      </c>
      <c r="E1348" s="9" t="n">
        <v>22664</v>
      </c>
      <c r="F1348" s="9" t="n">
        <v>39313</v>
      </c>
      <c r="G1348" s="8">
        <f>RANK(F1348,$F$5:$F$1561)</f>
        <v/>
      </c>
      <c r="H1348" s="8" t="inlineStr"/>
      <c r="I1348" s="9">
        <f>IF(D1348="Private",E1348,"")</f>
        <v/>
      </c>
      <c r="J1348" s="9">
        <f>IF(D1348="Private",F1348,"")</f>
        <v/>
      </c>
    </row>
    <row r="1349">
      <c r="A1349" s="8" t="inlineStr">
        <is>
          <t>University of the Virgin Islands</t>
        </is>
      </c>
      <c r="B1349" s="8" t="inlineStr">
        <is>
          <t>Charlotte Amalie</t>
        </is>
      </c>
      <c r="C1349" s="8" t="inlineStr">
        <is>
          <t>VI</t>
        </is>
      </c>
      <c r="D1349" s="8" t="inlineStr">
        <is>
          <t>Public</t>
        </is>
      </c>
      <c r="E1349" s="9" t="n">
        <v>9527</v>
      </c>
      <c r="F1349" s="9" t="n">
        <v>39307</v>
      </c>
      <c r="G1349" s="8">
        <f>RANK(F1349,$F$5:$F$1561)</f>
        <v/>
      </c>
      <c r="H1349" s="8" t="inlineStr"/>
      <c r="I1349" s="9">
        <f>IF(D1349="Private",E1349,"")</f>
        <v/>
      </c>
      <c r="J1349" s="9">
        <f>IF(D1349="Private",F1349,"")</f>
        <v/>
      </c>
    </row>
    <row r="1350">
      <c r="A1350" s="8" t="inlineStr">
        <is>
          <t>Delta State University</t>
        </is>
      </c>
      <c r="B1350" s="8" t="inlineStr">
        <is>
          <t>Cleveland</t>
        </is>
      </c>
      <c r="C1350" s="8" t="inlineStr">
        <is>
          <t>MS</t>
        </is>
      </c>
      <c r="D1350" s="8" t="inlineStr">
        <is>
          <t>Public</t>
        </is>
      </c>
      <c r="E1350" s="9" t="n">
        <v>14377</v>
      </c>
      <c r="F1350" s="9" t="n">
        <v>39273</v>
      </c>
      <c r="G1350" s="8">
        <f>RANK(F1350,$F$5:$F$1561)</f>
        <v/>
      </c>
      <c r="H1350" s="8" t="inlineStr"/>
      <c r="I1350" s="9">
        <f>IF(D1350="Private",E1350,"")</f>
        <v/>
      </c>
      <c r="J1350" s="9">
        <f>IF(D1350="Private",F1350,"")</f>
        <v/>
      </c>
    </row>
    <row r="1351">
      <c r="A1351" s="8" t="inlineStr">
        <is>
          <t>University of Maine at Augusta</t>
        </is>
      </c>
      <c r="B1351" s="8" t="inlineStr">
        <is>
          <t>Augusta</t>
        </is>
      </c>
      <c r="C1351" s="8" t="inlineStr">
        <is>
          <t>ME</t>
        </is>
      </c>
      <c r="D1351" s="8" t="inlineStr">
        <is>
          <t>Public</t>
        </is>
      </c>
      <c r="E1351" s="9" t="n">
        <v>9889</v>
      </c>
      <c r="F1351" s="9" t="n">
        <v>39258</v>
      </c>
      <c r="G1351" s="8">
        <f>RANK(F1351,$F$5:$F$1561)</f>
        <v/>
      </c>
      <c r="H1351" s="8" t="inlineStr"/>
      <c r="I1351" s="9">
        <f>IF(D1351="Private",E1351,"")</f>
        <v/>
      </c>
      <c r="J1351" s="9">
        <f>IF(D1351="Private",F1351,"")</f>
        <v/>
      </c>
    </row>
    <row r="1352">
      <c r="A1352" s="8" t="inlineStr">
        <is>
          <t>Dalton State College</t>
        </is>
      </c>
      <c r="B1352" s="8" t="inlineStr">
        <is>
          <t>Dalton</t>
        </is>
      </c>
      <c r="C1352" s="8" t="inlineStr">
        <is>
          <t>GA</t>
        </is>
      </c>
      <c r="D1352" s="8" t="inlineStr">
        <is>
          <t>Public</t>
        </is>
      </c>
      <c r="E1352" s="9" t="n">
        <v>5240</v>
      </c>
      <c r="F1352" s="9" t="n">
        <v>39230</v>
      </c>
      <c r="G1352" s="8">
        <f>RANK(F1352,$F$5:$F$1561)</f>
        <v/>
      </c>
      <c r="H1352" s="8" t="inlineStr"/>
      <c r="I1352" s="9">
        <f>IF(D1352="Private",E1352,"")</f>
        <v/>
      </c>
      <c r="J1352" s="9">
        <f>IF(D1352="Private",F1352,"")</f>
        <v/>
      </c>
    </row>
    <row r="1353">
      <c r="A1353" s="8" t="inlineStr">
        <is>
          <t>Lincoln University</t>
        </is>
      </c>
      <c r="B1353" s="8" t="inlineStr">
        <is>
          <t>Lincoln University</t>
        </is>
      </c>
      <c r="C1353" s="8" t="inlineStr">
        <is>
          <t>PA</t>
        </is>
      </c>
      <c r="D1353" s="8" t="inlineStr">
        <is>
          <t>Public</t>
        </is>
      </c>
      <c r="E1353" s="9" t="n">
        <v>14404</v>
      </c>
      <c r="F1353" s="9" t="n">
        <v>39222</v>
      </c>
      <c r="G1353" s="8">
        <f>RANK(F1353,$F$5:$F$1561)</f>
        <v/>
      </c>
      <c r="H1353" s="8" t="inlineStr"/>
      <c r="I1353" s="9">
        <f>IF(D1353="Private",E1353,"")</f>
        <v/>
      </c>
      <c r="J1353" s="9">
        <f>IF(D1353="Private",F1353,"")</f>
        <v/>
      </c>
    </row>
    <row r="1354">
      <c r="A1354" s="8" t="inlineStr">
        <is>
          <t>Ecclesia College</t>
        </is>
      </c>
      <c r="B1354" s="8" t="inlineStr">
        <is>
          <t>Springdale</t>
        </is>
      </c>
      <c r="C1354" s="8" t="inlineStr">
        <is>
          <t>AR</t>
        </is>
      </c>
      <c r="D1354" s="8" t="inlineStr">
        <is>
          <t>Private</t>
        </is>
      </c>
      <c r="E1354" s="9" t="n">
        <v>17209</v>
      </c>
      <c r="F1354" s="9" t="n">
        <v>39184</v>
      </c>
      <c r="G1354" s="8">
        <f>RANK(F1354,$F$5:$F$1561)</f>
        <v/>
      </c>
      <c r="H1354" s="8" t="inlineStr"/>
      <c r="I1354" s="9">
        <f>IF(D1354="Private",E1354,"")</f>
        <v/>
      </c>
      <c r="J1354" s="9">
        <f>IF(D1354="Private",F1354,"")</f>
        <v/>
      </c>
    </row>
    <row r="1355">
      <c r="A1355" s="8" t="inlineStr">
        <is>
          <t>Drury University-College of Continuing Professional Studies</t>
        </is>
      </c>
      <c r="B1355" s="8" t="inlineStr">
        <is>
          <t>Springfield</t>
        </is>
      </c>
      <c r="C1355" s="8" t="inlineStr">
        <is>
          <t>MO</t>
        </is>
      </c>
      <c r="D1355" s="8" t="inlineStr">
        <is>
          <t>Private</t>
        </is>
      </c>
      <c r="E1355" s="9" t="n">
        <v>12568</v>
      </c>
      <c r="F1355" s="9" t="n">
        <v>39169</v>
      </c>
      <c r="G1355" s="8">
        <f>RANK(F1355,$F$5:$F$1561)</f>
        <v/>
      </c>
      <c r="H1355" s="8" t="inlineStr"/>
      <c r="I1355" s="9">
        <f>IF(D1355="Private",E1355,"")</f>
        <v/>
      </c>
      <c r="J1355" s="9">
        <f>IF(D1355="Private",F1355,"")</f>
        <v/>
      </c>
    </row>
    <row r="1356">
      <c r="A1356" s="8" t="inlineStr">
        <is>
          <t>Drury University</t>
        </is>
      </c>
      <c r="B1356" s="8" t="inlineStr">
        <is>
          <t>Springfield</t>
        </is>
      </c>
      <c r="C1356" s="8" t="inlineStr">
        <is>
          <t>MO</t>
        </is>
      </c>
      <c r="D1356" s="8" t="inlineStr">
        <is>
          <t>Private</t>
        </is>
      </c>
      <c r="E1356" s="9" t="n">
        <v>18582</v>
      </c>
      <c r="F1356" s="9" t="n">
        <v>39169</v>
      </c>
      <c r="G1356" s="8">
        <f>RANK(F1356,$F$5:$F$1561)</f>
        <v/>
      </c>
      <c r="H1356" s="8" t="inlineStr"/>
      <c r="I1356" s="9">
        <f>IF(D1356="Private",E1356,"")</f>
        <v/>
      </c>
      <c r="J1356" s="9">
        <f>IF(D1356="Private",F1356,"")</f>
        <v/>
      </c>
    </row>
    <row r="1357">
      <c r="A1357" s="8" t="inlineStr">
        <is>
          <t>Northern New Mexico College</t>
        </is>
      </c>
      <c r="B1357" s="8" t="inlineStr">
        <is>
          <t>Espanola</t>
        </is>
      </c>
      <c r="C1357" s="8" t="inlineStr">
        <is>
          <t>NM</t>
        </is>
      </c>
      <c r="D1357" s="8" t="inlineStr">
        <is>
          <t>Public</t>
        </is>
      </c>
      <c r="E1357" s="9" t="n">
        <v>9158</v>
      </c>
      <c r="F1357" s="9" t="n">
        <v>39149</v>
      </c>
      <c r="G1357" s="8">
        <f>RANK(F1357,$F$5:$F$1561)</f>
        <v/>
      </c>
      <c r="H1357" s="8" t="inlineStr"/>
      <c r="I1357" s="9">
        <f>IF(D1357="Private",E1357,"")</f>
        <v/>
      </c>
      <c r="J1357" s="9">
        <f>IF(D1357="Private",F1357,"")</f>
        <v/>
      </c>
    </row>
    <row r="1358">
      <c r="A1358" s="8" t="inlineStr">
        <is>
          <t>Emmanuel College</t>
        </is>
      </c>
      <c r="B1358" s="8" t="inlineStr">
        <is>
          <t>Franklin Springs</t>
        </is>
      </c>
      <c r="C1358" s="8" t="inlineStr">
        <is>
          <t>GA</t>
        </is>
      </c>
      <c r="D1358" s="8" t="inlineStr">
        <is>
          <t>Private</t>
        </is>
      </c>
      <c r="E1358" s="9" t="n">
        <v>19128</v>
      </c>
      <c r="F1358" s="9" t="n">
        <v>39143</v>
      </c>
      <c r="G1358" s="8">
        <f>RANK(F1358,$F$5:$F$1561)</f>
        <v/>
      </c>
      <c r="H1358" s="8" t="inlineStr"/>
      <c r="I1358" s="9">
        <f>IF(D1358="Private",E1358,"")</f>
        <v/>
      </c>
      <c r="J1358" s="9">
        <f>IF(D1358="Private",F1358,"")</f>
        <v/>
      </c>
    </row>
    <row r="1359">
      <c r="A1359" s="8" t="inlineStr">
        <is>
          <t>Middle Georgia State University</t>
        </is>
      </c>
      <c r="B1359" s="8" t="inlineStr">
        <is>
          <t>Macon</t>
        </is>
      </c>
      <c r="C1359" s="8" t="inlineStr">
        <is>
          <t>GA</t>
        </is>
      </c>
      <c r="D1359" s="8" t="inlineStr">
        <is>
          <t>Public</t>
        </is>
      </c>
      <c r="E1359" s="9" t="n">
        <v>10295</v>
      </c>
      <c r="F1359" s="9" t="n">
        <v>39134</v>
      </c>
      <c r="G1359" s="8">
        <f>RANK(F1359,$F$5:$F$1561)</f>
        <v/>
      </c>
      <c r="H1359" s="8" t="inlineStr"/>
      <c r="I1359" s="9">
        <f>IF(D1359="Private",E1359,"")</f>
        <v/>
      </c>
      <c r="J1359" s="9">
        <f>IF(D1359="Private",F1359,"")</f>
        <v/>
      </c>
    </row>
    <row r="1360">
      <c r="A1360" s="8" t="inlineStr">
        <is>
          <t>Hallmark University</t>
        </is>
      </c>
      <c r="B1360" s="8" t="inlineStr">
        <is>
          <t>San Antonio</t>
        </is>
      </c>
      <c r="C1360" s="8" t="inlineStr">
        <is>
          <t>TX</t>
        </is>
      </c>
      <c r="D1360" s="8" t="inlineStr">
        <is>
          <t>Private</t>
        </is>
      </c>
      <c r="E1360" s="9" t="n">
        <v>10708</v>
      </c>
      <c r="F1360" s="9" t="n">
        <v>39118</v>
      </c>
      <c r="G1360" s="8">
        <f>RANK(F1360,$F$5:$F$1561)</f>
        <v/>
      </c>
      <c r="H1360" s="8" t="inlineStr"/>
      <c r="I1360" s="9">
        <f>IF(D1360="Private",E1360,"")</f>
        <v/>
      </c>
      <c r="J1360" s="9">
        <f>IF(D1360="Private",F1360,"")</f>
        <v/>
      </c>
    </row>
    <row r="1361">
      <c r="A1361" s="8" t="inlineStr">
        <is>
          <t>Alabama A &amp; M University</t>
        </is>
      </c>
      <c r="B1361" s="8" t="inlineStr">
        <is>
          <t>Normal</t>
        </is>
      </c>
      <c r="C1361" s="8" t="inlineStr">
        <is>
          <t>AL</t>
        </is>
      </c>
      <c r="D1361" s="8" t="inlineStr">
        <is>
          <t>Public</t>
        </is>
      </c>
      <c r="E1361" s="9" t="n">
        <v>13057</v>
      </c>
      <c r="F1361" s="9" t="n">
        <v>39059</v>
      </c>
      <c r="G1361" s="8">
        <f>RANK(F1361,$F$5:$F$1561)</f>
        <v/>
      </c>
      <c r="H1361" s="8" t="inlineStr"/>
      <c r="I1361" s="9">
        <f>IF(D1361="Private",E1361,"")</f>
        <v/>
      </c>
      <c r="J1361" s="9">
        <f>IF(D1361="Private",F1361,"")</f>
        <v/>
      </c>
    </row>
    <row r="1362">
      <c r="A1362" s="8" t="inlineStr">
        <is>
          <t>Southwestern Christian University</t>
        </is>
      </c>
      <c r="B1362" s="8" t="inlineStr">
        <is>
          <t>Bethany</t>
        </is>
      </c>
      <c r="C1362" s="8" t="inlineStr">
        <is>
          <t>OK</t>
        </is>
      </c>
      <c r="D1362" s="8" t="inlineStr">
        <is>
          <t>Private</t>
        </is>
      </c>
      <c r="E1362" s="9" t="n">
        <v>19626</v>
      </c>
      <c r="F1362" s="9" t="n">
        <v>39043</v>
      </c>
      <c r="G1362" s="8">
        <f>RANK(F1362,$F$5:$F$1561)</f>
        <v/>
      </c>
      <c r="H1362" s="8" t="inlineStr"/>
      <c r="I1362" s="9">
        <f>IF(D1362="Private",E1362,"")</f>
        <v/>
      </c>
      <c r="J1362" s="9">
        <f>IF(D1362="Private",F1362,"")</f>
        <v/>
      </c>
    </row>
    <row r="1363">
      <c r="A1363" s="8" t="inlineStr">
        <is>
          <t>Florida State College at Jacksonville</t>
        </is>
      </c>
      <c r="B1363" s="8" t="inlineStr">
        <is>
          <t>Jacksonville</t>
        </is>
      </c>
      <c r="C1363" s="8" t="inlineStr">
        <is>
          <t>FL</t>
        </is>
      </c>
      <c r="D1363" s="8" t="inlineStr">
        <is>
          <t>Public</t>
        </is>
      </c>
      <c r="E1363" s="9" t="n">
        <v>3296</v>
      </c>
      <c r="F1363" s="9" t="n">
        <v>39024</v>
      </c>
      <c r="G1363" s="8">
        <f>RANK(F1363,$F$5:$F$1561)</f>
        <v/>
      </c>
      <c r="H1363" s="8" t="inlineStr"/>
      <c r="I1363" s="9">
        <f>IF(D1363="Private",E1363,"")</f>
        <v/>
      </c>
      <c r="J1363" s="9">
        <f>IF(D1363="Private",F1363,"")</f>
        <v/>
      </c>
    </row>
    <row r="1364">
      <c r="A1364" s="8" t="inlineStr">
        <is>
          <t>Calvary University</t>
        </is>
      </c>
      <c r="B1364" s="8" t="inlineStr">
        <is>
          <t>Kansas City</t>
        </is>
      </c>
      <c r="C1364" s="8" t="inlineStr">
        <is>
          <t>MO</t>
        </is>
      </c>
      <c r="D1364" s="8" t="inlineStr">
        <is>
          <t>Private</t>
        </is>
      </c>
      <c r="E1364" s="9" t="n">
        <v>13621</v>
      </c>
      <c r="F1364" s="9" t="n">
        <v>39019</v>
      </c>
      <c r="G1364" s="8">
        <f>RANK(F1364,$F$5:$F$1561)</f>
        <v/>
      </c>
      <c r="H1364" s="8" t="inlineStr"/>
      <c r="I1364" s="9">
        <f>IF(D1364="Private",E1364,"")</f>
        <v/>
      </c>
      <c r="J1364" s="9">
        <f>IF(D1364="Private",F1364,"")</f>
        <v/>
      </c>
    </row>
    <row r="1365">
      <c r="A1365" s="8" t="inlineStr">
        <is>
          <t>Harrisburg University of Science and Technology</t>
        </is>
      </c>
      <c r="B1365" s="8" t="inlineStr">
        <is>
          <t>Harrisburg</t>
        </is>
      </c>
      <c r="C1365" s="8" t="inlineStr">
        <is>
          <t>PA</t>
        </is>
      </c>
      <c r="D1365" s="8" t="inlineStr">
        <is>
          <t>Private</t>
        </is>
      </c>
      <c r="E1365" s="9" t="n">
        <v>12295</v>
      </c>
      <c r="F1365" s="9" t="n">
        <v>39015</v>
      </c>
      <c r="G1365" s="8">
        <f>RANK(F1365,$F$5:$F$1561)</f>
        <v/>
      </c>
      <c r="H1365" s="8" t="inlineStr"/>
      <c r="I1365" s="9">
        <f>IF(D1365="Private",E1365,"")</f>
        <v/>
      </c>
      <c r="J1365" s="9">
        <f>IF(D1365="Private",F1365,"")</f>
        <v/>
      </c>
    </row>
    <row r="1366">
      <c r="A1366" s="8" t="inlineStr">
        <is>
          <t>Polk State College</t>
        </is>
      </c>
      <c r="B1366" s="8" t="inlineStr">
        <is>
          <t>Winter Haven</t>
        </is>
      </c>
      <c r="C1366" s="8" t="inlineStr">
        <is>
          <t>FL</t>
        </is>
      </c>
      <c r="D1366" s="8" t="inlineStr">
        <is>
          <t>Public</t>
        </is>
      </c>
      <c r="E1366" s="9" t="n">
        <v>7994</v>
      </c>
      <c r="F1366" s="9" t="n">
        <v>38897</v>
      </c>
      <c r="G1366" s="8">
        <f>RANK(F1366,$F$5:$F$1561)</f>
        <v/>
      </c>
      <c r="H1366" s="8" t="inlineStr"/>
      <c r="I1366" s="9">
        <f>IF(D1366="Private",E1366,"")</f>
        <v/>
      </c>
      <c r="J1366" s="9">
        <f>IF(D1366="Private",F1366,"")</f>
        <v/>
      </c>
    </row>
    <row r="1367">
      <c r="A1367" s="8" t="inlineStr">
        <is>
          <t>Southern Virginia University</t>
        </is>
      </c>
      <c r="B1367" s="8" t="inlineStr">
        <is>
          <t>Buena Vista</t>
        </is>
      </c>
      <c r="C1367" s="8" t="inlineStr">
        <is>
          <t>VA</t>
        </is>
      </c>
      <c r="D1367" s="8" t="inlineStr">
        <is>
          <t>Private</t>
        </is>
      </c>
      <c r="E1367" s="9" t="n">
        <v>21387</v>
      </c>
      <c r="F1367" s="9" t="n">
        <v>38890</v>
      </c>
      <c r="G1367" s="8">
        <f>RANK(F1367,$F$5:$F$1561)</f>
        <v/>
      </c>
      <c r="H1367" s="8" t="inlineStr"/>
      <c r="I1367" s="9">
        <f>IF(D1367="Private",E1367,"")</f>
        <v/>
      </c>
      <c r="J1367" s="9">
        <f>IF(D1367="Private",F1367,"")</f>
        <v/>
      </c>
    </row>
    <row r="1368">
      <c r="A1368" s="8" t="inlineStr">
        <is>
          <t>Williams Baptist University</t>
        </is>
      </c>
      <c r="B1368" s="8" t="inlineStr">
        <is>
          <t>Walnut Ridge</t>
        </is>
      </c>
      <c r="C1368" s="8" t="inlineStr">
        <is>
          <t>AR</t>
        </is>
      </c>
      <c r="D1368" s="8" t="inlineStr">
        <is>
          <t>Private</t>
        </is>
      </c>
      <c r="E1368" s="9" t="n">
        <v>15664</v>
      </c>
      <c r="F1368" s="9" t="n">
        <v>38840</v>
      </c>
      <c r="G1368" s="8">
        <f>RANK(F1368,$F$5:$F$1561)</f>
        <v/>
      </c>
      <c r="H1368" s="8" t="inlineStr"/>
      <c r="I1368" s="9">
        <f>IF(D1368="Private",E1368,"")</f>
        <v/>
      </c>
      <c r="J1368" s="9">
        <f>IF(D1368="Private",F1368,"")</f>
        <v/>
      </c>
    </row>
    <row r="1369">
      <c r="A1369" s="8" t="inlineStr">
        <is>
          <t>The University of Tennessee Southern</t>
        </is>
      </c>
      <c r="B1369" s="8" t="inlineStr">
        <is>
          <t>Pulaski</t>
        </is>
      </c>
      <c r="C1369" s="8" t="inlineStr">
        <is>
          <t>TN</t>
        </is>
      </c>
      <c r="D1369" s="8" t="inlineStr">
        <is>
          <t>Private</t>
        </is>
      </c>
      <c r="E1369" s="9" t="n">
        <v>19613</v>
      </c>
      <c r="F1369" s="9" t="n">
        <v>38823</v>
      </c>
      <c r="G1369" s="8">
        <f>RANK(F1369,$F$5:$F$1561)</f>
        <v/>
      </c>
      <c r="H1369" s="8" t="inlineStr"/>
      <c r="I1369" s="9">
        <f>IF(D1369="Private",E1369,"")</f>
        <v/>
      </c>
      <c r="J1369" s="9">
        <f>IF(D1369="Private",F1369,"")</f>
        <v/>
      </c>
    </row>
    <row r="1370">
      <c r="A1370" s="8" t="inlineStr">
        <is>
          <t>Truett McConnell University</t>
        </is>
      </c>
      <c r="B1370" s="8" t="inlineStr">
        <is>
          <t>Cleveland</t>
        </is>
      </c>
      <c r="C1370" s="8" t="inlineStr">
        <is>
          <t>GA</t>
        </is>
      </c>
      <c r="D1370" s="8" t="inlineStr">
        <is>
          <t>Private</t>
        </is>
      </c>
      <c r="E1370" s="9" t="n">
        <v>19652</v>
      </c>
      <c r="F1370" s="9" t="n">
        <v>38798</v>
      </c>
      <c r="G1370" s="8">
        <f>RANK(F1370,$F$5:$F$1561)</f>
        <v/>
      </c>
      <c r="H1370" s="8" t="inlineStr"/>
      <c r="I1370" s="9">
        <f>IF(D1370="Private",E1370,"")</f>
        <v/>
      </c>
      <c r="J1370" s="9">
        <f>IF(D1370="Private",F1370,"")</f>
        <v/>
      </c>
    </row>
    <row r="1371">
      <c r="A1371" s="8" t="inlineStr">
        <is>
          <t>The Baptist College of Florida</t>
        </is>
      </c>
      <c r="B1371" s="8" t="inlineStr">
        <is>
          <t>Graceville</t>
        </is>
      </c>
      <c r="C1371" s="8" t="inlineStr">
        <is>
          <t>FL</t>
        </is>
      </c>
      <c r="D1371" s="8" t="inlineStr">
        <is>
          <t>Private</t>
        </is>
      </c>
      <c r="E1371" s="9" t="n">
        <v>7641</v>
      </c>
      <c r="F1371" s="9" t="n">
        <v>38772</v>
      </c>
      <c r="G1371" s="8">
        <f>RANK(F1371,$F$5:$F$1561)</f>
        <v/>
      </c>
      <c r="H1371" s="8" t="inlineStr"/>
      <c r="I1371" s="9">
        <f>IF(D1371="Private",E1371,"")</f>
        <v/>
      </c>
      <c r="J1371" s="9">
        <f>IF(D1371="Private",F1371,"")</f>
        <v/>
      </c>
    </row>
    <row r="1372">
      <c r="A1372" s="8" t="inlineStr">
        <is>
          <t>Kuyper College</t>
        </is>
      </c>
      <c r="B1372" s="8" t="inlineStr">
        <is>
          <t>Grand Rapids</t>
        </is>
      </c>
      <c r="C1372" s="8" t="inlineStr">
        <is>
          <t>MI</t>
        </is>
      </c>
      <c r="D1372" s="8" t="inlineStr">
        <is>
          <t>Private</t>
        </is>
      </c>
      <c r="E1372" s="9" t="n">
        <v>21208</v>
      </c>
      <c r="F1372" s="9" t="n">
        <v>38728</v>
      </c>
      <c r="G1372" s="8">
        <f>RANK(F1372,$F$5:$F$1561)</f>
        <v/>
      </c>
      <c r="H1372" s="8" t="inlineStr"/>
      <c r="I1372" s="9">
        <f>IF(D1372="Private",E1372,"")</f>
        <v/>
      </c>
      <c r="J1372" s="9">
        <f>IF(D1372="Private",F1372,"")</f>
        <v/>
      </c>
    </row>
    <row r="1373">
      <c r="A1373" s="8" t="inlineStr">
        <is>
          <t>Davis &amp; Elkins College</t>
        </is>
      </c>
      <c r="B1373" s="8" t="inlineStr">
        <is>
          <t>Elkins</t>
        </is>
      </c>
      <c r="C1373" s="8" t="inlineStr">
        <is>
          <t>WV</t>
        </is>
      </c>
      <c r="D1373" s="8" t="inlineStr">
        <is>
          <t>Private</t>
        </is>
      </c>
      <c r="E1373" s="9" t="n">
        <v>17947</v>
      </c>
      <c r="F1373" s="9" t="n">
        <v>38710</v>
      </c>
      <c r="G1373" s="8">
        <f>RANK(F1373,$F$5:$F$1561)</f>
        <v/>
      </c>
      <c r="H1373" s="8" t="inlineStr"/>
      <c r="I1373" s="9">
        <f>IF(D1373="Private",E1373,"")</f>
        <v/>
      </c>
      <c r="J1373" s="9">
        <f>IF(D1373="Private",F1373,"")</f>
        <v/>
      </c>
    </row>
    <row r="1374">
      <c r="A1374" s="8" t="inlineStr">
        <is>
          <t>Hannibal-LaGrange University</t>
        </is>
      </c>
      <c r="B1374" s="8" t="inlineStr">
        <is>
          <t>Hannibal</t>
        </is>
      </c>
      <c r="C1374" s="8" t="inlineStr">
        <is>
          <t>MO</t>
        </is>
      </c>
      <c r="D1374" s="8" t="inlineStr">
        <is>
          <t>Private</t>
        </is>
      </c>
      <c r="E1374" s="9" t="n">
        <v>17790</v>
      </c>
      <c r="F1374" s="9" t="n">
        <v>38656</v>
      </c>
      <c r="G1374" s="8">
        <f>RANK(F1374,$F$5:$F$1561)</f>
        <v/>
      </c>
      <c r="H1374" s="8" t="inlineStr"/>
      <c r="I1374" s="9">
        <f>IF(D1374="Private",E1374,"")</f>
        <v/>
      </c>
      <c r="J1374" s="9">
        <f>IF(D1374="Private",F1374,"")</f>
        <v/>
      </c>
    </row>
    <row r="1375">
      <c r="A1375" s="8" t="inlineStr">
        <is>
          <t>Bluefield State University</t>
        </is>
      </c>
      <c r="B1375" s="8" t="inlineStr">
        <is>
          <t>Bluefield</t>
        </is>
      </c>
      <c r="C1375" s="8" t="inlineStr">
        <is>
          <t>WV</t>
        </is>
      </c>
      <c r="D1375" s="8" t="inlineStr">
        <is>
          <t>Public</t>
        </is>
      </c>
      <c r="E1375" s="9" t="n">
        <v>11143</v>
      </c>
      <c r="F1375" s="9" t="n">
        <v>38646</v>
      </c>
      <c r="G1375" s="8">
        <f>RANK(F1375,$F$5:$F$1561)</f>
        <v/>
      </c>
      <c r="H1375" s="8" t="inlineStr"/>
      <c r="I1375" s="9">
        <f>IF(D1375="Private",E1375,"")</f>
        <v/>
      </c>
      <c r="J1375" s="9">
        <f>IF(D1375="Private",F1375,"")</f>
        <v/>
      </c>
    </row>
    <row r="1376">
      <c r="A1376" s="8" t="inlineStr">
        <is>
          <t>University of West Alabama</t>
        </is>
      </c>
      <c r="B1376" s="8" t="inlineStr">
        <is>
          <t>Livingston</t>
        </is>
      </c>
      <c r="C1376" s="8" t="inlineStr">
        <is>
          <t>AL</t>
        </is>
      </c>
      <c r="D1376" s="8" t="inlineStr">
        <is>
          <t>Public</t>
        </is>
      </c>
      <c r="E1376" s="9" t="n">
        <v>16258</v>
      </c>
      <c r="F1376" s="9" t="n">
        <v>38617</v>
      </c>
      <c r="G1376" s="8">
        <f>RANK(F1376,$F$5:$F$1561)</f>
        <v/>
      </c>
      <c r="H1376" s="8" t="inlineStr"/>
      <c r="I1376" s="9">
        <f>IF(D1376="Private",E1376,"")</f>
        <v/>
      </c>
      <c r="J1376" s="9">
        <f>IF(D1376="Private",F1376,"")</f>
        <v/>
      </c>
    </row>
    <row r="1377">
      <c r="A1377" s="8" t="inlineStr">
        <is>
          <t>Virginia Union University</t>
        </is>
      </c>
      <c r="B1377" s="8" t="inlineStr">
        <is>
          <t>Richmond</t>
        </is>
      </c>
      <c r="C1377" s="8" t="inlineStr">
        <is>
          <t>VA</t>
        </is>
      </c>
      <c r="D1377" s="8" t="inlineStr">
        <is>
          <t>Private</t>
        </is>
      </c>
      <c r="E1377" s="9" t="n">
        <v>18052</v>
      </c>
      <c r="F1377" s="9" t="n">
        <v>38575</v>
      </c>
      <c r="G1377" s="8">
        <f>RANK(F1377,$F$5:$F$1561)</f>
        <v/>
      </c>
      <c r="H1377" s="8" t="inlineStr"/>
      <c r="I1377" s="9">
        <f>IF(D1377="Private",E1377,"")</f>
        <v/>
      </c>
      <c r="J1377" s="9">
        <f>IF(D1377="Private",F1377,"")</f>
        <v/>
      </c>
    </row>
    <row r="1378">
      <c r="A1378" s="8" t="inlineStr">
        <is>
          <t>Mississippi University for Women</t>
        </is>
      </c>
      <c r="B1378" s="8" t="inlineStr">
        <is>
          <t>Columbus</t>
        </is>
      </c>
      <c r="C1378" s="8" t="inlineStr">
        <is>
          <t>MS</t>
        </is>
      </c>
      <c r="D1378" s="8" t="inlineStr">
        <is>
          <t>Public</t>
        </is>
      </c>
      <c r="E1378" s="9" t="n">
        <v>11952</v>
      </c>
      <c r="F1378" s="9" t="n">
        <v>38551</v>
      </c>
      <c r="G1378" s="8">
        <f>RANK(F1378,$F$5:$F$1561)</f>
        <v/>
      </c>
      <c r="H1378" s="8" t="inlineStr"/>
      <c r="I1378" s="9">
        <f>IF(D1378="Private",E1378,"")</f>
        <v/>
      </c>
      <c r="J1378" s="9">
        <f>IF(D1378="Private",F1378,"")</f>
        <v/>
      </c>
    </row>
    <row r="1379">
      <c r="A1379" s="8" t="inlineStr">
        <is>
          <t>Fairmont State University</t>
        </is>
      </c>
      <c r="B1379" s="8" t="inlineStr">
        <is>
          <t>Fairmont</t>
        </is>
      </c>
      <c r="C1379" s="8" t="inlineStr">
        <is>
          <t>WV</t>
        </is>
      </c>
      <c r="D1379" s="8" t="inlineStr">
        <is>
          <t>Public</t>
        </is>
      </c>
      <c r="E1379" s="9" t="n">
        <v>11884</v>
      </c>
      <c r="F1379" s="9" t="n">
        <v>38538</v>
      </c>
      <c r="G1379" s="8">
        <f>RANK(F1379,$F$5:$F$1561)</f>
        <v/>
      </c>
      <c r="H1379" s="8" t="inlineStr"/>
      <c r="I1379" s="9">
        <f>IF(D1379="Private",E1379,"")</f>
        <v/>
      </c>
      <c r="J1379" s="9">
        <f>IF(D1379="Private",F1379,"")</f>
        <v/>
      </c>
    </row>
    <row r="1380">
      <c r="A1380" s="8" t="inlineStr">
        <is>
          <t>Saint Mary-of-the-Woods College</t>
        </is>
      </c>
      <c r="B1380" s="8" t="inlineStr">
        <is>
          <t>Saint Mary of the Woods</t>
        </is>
      </c>
      <c r="C1380" s="8" t="inlineStr">
        <is>
          <t>IN</t>
        </is>
      </c>
      <c r="D1380" s="8" t="inlineStr">
        <is>
          <t>Private</t>
        </is>
      </c>
      <c r="E1380" s="9" t="n">
        <v>15385</v>
      </c>
      <c r="F1380" s="9" t="n">
        <v>38510</v>
      </c>
      <c r="G1380" s="8">
        <f>RANK(F1380,$F$5:$F$1561)</f>
        <v/>
      </c>
      <c r="H1380" s="8" t="inlineStr"/>
      <c r="I1380" s="9">
        <f>IF(D1380="Private",E1380,"")</f>
        <v/>
      </c>
      <c r="J1380" s="9">
        <f>IF(D1380="Private",F1380,"")</f>
        <v/>
      </c>
    </row>
    <row r="1381">
      <c r="A1381" s="8" t="inlineStr">
        <is>
          <t>Alice Lloyd College</t>
        </is>
      </c>
      <c r="B1381" s="8" t="inlineStr">
        <is>
          <t>Pippa Passes</t>
        </is>
      </c>
      <c r="C1381" s="8" t="inlineStr">
        <is>
          <t>KY</t>
        </is>
      </c>
      <c r="D1381" s="8" t="inlineStr">
        <is>
          <t>Private</t>
        </is>
      </c>
      <c r="E1381" s="9" t="n">
        <v>16293</v>
      </c>
      <c r="F1381" s="9" t="n">
        <v>38478</v>
      </c>
      <c r="G1381" s="8">
        <f>RANK(F1381,$F$5:$F$1561)</f>
        <v/>
      </c>
      <c r="H1381" s="8" t="inlineStr"/>
      <c r="I1381" s="9">
        <f>IF(D1381="Private",E1381,"")</f>
        <v/>
      </c>
      <c r="J1381" s="9">
        <f>IF(D1381="Private",F1381,"")</f>
        <v/>
      </c>
    </row>
    <row r="1382">
      <c r="A1382" s="8" t="inlineStr">
        <is>
          <t>Lackawanna College</t>
        </is>
      </c>
      <c r="B1382" s="8" t="inlineStr">
        <is>
          <t>Scranton</t>
        </is>
      </c>
      <c r="C1382" s="8" t="inlineStr">
        <is>
          <t>PA</t>
        </is>
      </c>
      <c r="D1382" s="8" t="inlineStr">
        <is>
          <t>Private</t>
        </is>
      </c>
      <c r="E1382" s="9" t="n">
        <v>19122</v>
      </c>
      <c r="F1382" s="9" t="n">
        <v>38461</v>
      </c>
      <c r="G1382" s="8">
        <f>RANK(F1382,$F$5:$F$1561)</f>
        <v/>
      </c>
      <c r="H1382" s="8" t="inlineStr"/>
      <c r="I1382" s="9">
        <f>IF(D1382="Private",E1382,"")</f>
        <v/>
      </c>
      <c r="J1382" s="9">
        <f>IF(D1382="Private",F1382,"")</f>
        <v/>
      </c>
    </row>
    <row r="1383">
      <c r="A1383" s="8" t="inlineStr">
        <is>
          <t>Adams State University</t>
        </is>
      </c>
      <c r="B1383" s="8" t="inlineStr">
        <is>
          <t>Alamosa</t>
        </is>
      </c>
      <c r="C1383" s="8" t="inlineStr">
        <is>
          <t>CO</t>
        </is>
      </c>
      <c r="D1383" s="8" t="inlineStr">
        <is>
          <t>Public</t>
        </is>
      </c>
      <c r="E1383" s="9" t="n">
        <v>14305</v>
      </c>
      <c r="F1383" s="9" t="n">
        <v>38434</v>
      </c>
      <c r="G1383" s="8">
        <f>RANK(F1383,$F$5:$F$1561)</f>
        <v/>
      </c>
      <c r="H1383" s="8" t="inlineStr"/>
      <c r="I1383" s="9">
        <f>IF(D1383="Private",E1383,"")</f>
        <v/>
      </c>
      <c r="J1383" s="9">
        <f>IF(D1383="Private",F1383,"")</f>
        <v/>
      </c>
    </row>
    <row r="1384">
      <c r="A1384" s="8" t="inlineStr">
        <is>
          <t>Clarks Summit University</t>
        </is>
      </c>
      <c r="B1384" s="8" t="inlineStr">
        <is>
          <t>Clarks Summit</t>
        </is>
      </c>
      <c r="C1384" s="8" t="inlineStr">
        <is>
          <t>PA</t>
        </is>
      </c>
      <c r="D1384" s="8" t="inlineStr">
        <is>
          <t>Private</t>
        </is>
      </c>
      <c r="E1384" s="9" t="n">
        <v>15633</v>
      </c>
      <c r="F1384" s="9" t="n">
        <v>38264</v>
      </c>
      <c r="G1384" s="8">
        <f>RANK(F1384,$F$5:$F$1561)</f>
        <v/>
      </c>
      <c r="H1384" s="8" t="inlineStr"/>
      <c r="I1384" s="9">
        <f>IF(D1384="Private",E1384,"")</f>
        <v/>
      </c>
      <c r="J1384" s="9">
        <f>IF(D1384="Private",F1384,"")</f>
        <v/>
      </c>
    </row>
    <row r="1385">
      <c r="A1385" s="8" t="inlineStr">
        <is>
          <t>Bethune-Cookman University</t>
        </is>
      </c>
      <c r="B1385" s="8" t="inlineStr">
        <is>
          <t>Daytona Beach</t>
        </is>
      </c>
      <c r="C1385" s="8" t="inlineStr">
        <is>
          <t>FL</t>
        </is>
      </c>
      <c r="D1385" s="8" t="inlineStr">
        <is>
          <t>Private</t>
        </is>
      </c>
      <c r="E1385" s="9" t="n">
        <v>11854</v>
      </c>
      <c r="F1385" s="9" t="n">
        <v>38237</v>
      </c>
      <c r="G1385" s="8">
        <f>RANK(F1385,$F$5:$F$1561)</f>
        <v/>
      </c>
      <c r="H1385" s="8" t="inlineStr"/>
      <c r="I1385" s="9">
        <f>IF(D1385="Private",E1385,"")</f>
        <v/>
      </c>
      <c r="J1385" s="9">
        <f>IF(D1385="Private",F1385,"")</f>
        <v/>
      </c>
    </row>
    <row r="1386">
      <c r="A1386" s="8" t="inlineStr">
        <is>
          <t>West Virginia State University</t>
        </is>
      </c>
      <c r="B1386" s="8" t="inlineStr">
        <is>
          <t>Institute</t>
        </is>
      </c>
      <c r="C1386" s="8" t="inlineStr">
        <is>
          <t>WV</t>
        </is>
      </c>
      <c r="D1386" s="8" t="inlineStr">
        <is>
          <t>Public</t>
        </is>
      </c>
      <c r="E1386" s="9" t="n">
        <v>16261</v>
      </c>
      <c r="F1386" s="9" t="n">
        <v>38235</v>
      </c>
      <c r="G1386" s="8">
        <f>RANK(F1386,$F$5:$F$1561)</f>
        <v/>
      </c>
      <c r="H1386" s="8" t="inlineStr"/>
      <c r="I1386" s="9">
        <f>IF(D1386="Private",E1386,"")</f>
        <v/>
      </c>
      <c r="J1386" s="9">
        <f>IF(D1386="Private",F1386,"")</f>
        <v/>
      </c>
    </row>
    <row r="1387">
      <c r="A1387" s="8" t="inlineStr">
        <is>
          <t>New Mexico State University-Main Campus</t>
        </is>
      </c>
      <c r="B1387" s="8" t="inlineStr">
        <is>
          <t>Las Cruces</t>
        </is>
      </c>
      <c r="C1387" s="8" t="inlineStr">
        <is>
          <t>NM</t>
        </is>
      </c>
      <c r="D1387" s="8" t="inlineStr">
        <is>
          <t>Public</t>
        </is>
      </c>
      <c r="E1387" s="9" t="n">
        <v>9979</v>
      </c>
      <c r="F1387" s="9" t="n">
        <v>38178</v>
      </c>
      <c r="G1387" s="8">
        <f>RANK(F1387,$F$5:$F$1561)</f>
        <v/>
      </c>
      <c r="H1387" s="8" t="inlineStr"/>
      <c r="I1387" s="9">
        <f>IF(D1387="Private",E1387,"")</f>
        <v/>
      </c>
      <c r="J1387" s="9">
        <f>IF(D1387="Private",F1387,"")</f>
        <v/>
      </c>
    </row>
    <row r="1388">
      <c r="A1388" s="8" t="inlineStr">
        <is>
          <t>Saint Johns River State College</t>
        </is>
      </c>
      <c r="B1388" s="8" t="inlineStr">
        <is>
          <t>Palatka</t>
        </is>
      </c>
      <c r="C1388" s="8" t="inlineStr">
        <is>
          <t>FL</t>
        </is>
      </c>
      <c r="D1388" s="8" t="inlineStr">
        <is>
          <t>Public</t>
        </is>
      </c>
      <c r="E1388" s="9" t="n">
        <v>5015</v>
      </c>
      <c r="F1388" s="9" t="n">
        <v>38131</v>
      </c>
      <c r="G1388" s="8">
        <f>RANK(F1388,$F$5:$F$1561)</f>
        <v/>
      </c>
      <c r="H1388" s="8" t="inlineStr"/>
      <c r="I1388" s="9">
        <f>IF(D1388="Private",E1388,"")</f>
        <v/>
      </c>
      <c r="J1388" s="9">
        <f>IF(D1388="Private",F1388,"")</f>
        <v/>
      </c>
    </row>
    <row r="1389">
      <c r="A1389" s="8" t="inlineStr">
        <is>
          <t>Carolina University</t>
        </is>
      </c>
      <c r="B1389" s="8" t="inlineStr">
        <is>
          <t>Winston-Salem</t>
        </is>
      </c>
      <c r="C1389" s="8" t="inlineStr">
        <is>
          <t>NC</t>
        </is>
      </c>
      <c r="D1389" s="8" t="inlineStr">
        <is>
          <t>Private</t>
        </is>
      </c>
      <c r="E1389" s="9" t="n">
        <v>13771</v>
      </c>
      <c r="F1389" s="9" t="n">
        <v>38077</v>
      </c>
      <c r="G1389" s="8">
        <f>RANK(F1389,$F$5:$F$1561)</f>
        <v/>
      </c>
      <c r="H1389" s="8" t="inlineStr"/>
      <c r="I1389" s="9">
        <f>IF(D1389="Private",E1389,"")</f>
        <v/>
      </c>
      <c r="J1389" s="9">
        <f>IF(D1389="Private",F1389,"")</f>
        <v/>
      </c>
    </row>
    <row r="1390">
      <c r="A1390" s="8" t="inlineStr">
        <is>
          <t>Thomas More College of Liberal Arts</t>
        </is>
      </c>
      <c r="B1390" s="8" t="inlineStr">
        <is>
          <t>Merrimack</t>
        </is>
      </c>
      <c r="C1390" s="8" t="inlineStr">
        <is>
          <t>NH</t>
        </is>
      </c>
      <c r="D1390" s="8" t="inlineStr">
        <is>
          <t>Private</t>
        </is>
      </c>
      <c r="E1390" s="9" t="n">
        <v>15746</v>
      </c>
      <c r="F1390" s="9" t="n">
        <v>38054</v>
      </c>
      <c r="G1390" s="8">
        <f>RANK(F1390,$F$5:$F$1561)</f>
        <v/>
      </c>
      <c r="H1390" s="8" t="inlineStr"/>
      <c r="I1390" s="9">
        <f>IF(D1390="Private",E1390,"")</f>
        <v/>
      </c>
      <c r="J1390" s="9">
        <f>IF(D1390="Private",F1390,"")</f>
        <v/>
      </c>
    </row>
    <row r="1391">
      <c r="A1391" s="8" t="inlineStr">
        <is>
          <t>Johnson University</t>
        </is>
      </c>
      <c r="B1391" s="8" t="inlineStr">
        <is>
          <t>Knoxville</t>
        </is>
      </c>
      <c r="C1391" s="8" t="inlineStr">
        <is>
          <t>TN</t>
        </is>
      </c>
      <c r="D1391" s="8" t="inlineStr">
        <is>
          <t>Private</t>
        </is>
      </c>
      <c r="E1391" s="9" t="n">
        <v>19934</v>
      </c>
      <c r="F1391" s="9" t="n">
        <v>38008</v>
      </c>
      <c r="G1391" s="8">
        <f>RANK(F1391,$F$5:$F$1561)</f>
        <v/>
      </c>
      <c r="H1391" s="8" t="inlineStr"/>
      <c r="I1391" s="9">
        <f>IF(D1391="Private",E1391,"")</f>
        <v/>
      </c>
      <c r="J1391" s="9">
        <f>IF(D1391="Private",F1391,"")</f>
        <v/>
      </c>
    </row>
    <row r="1392">
      <c r="A1392" s="8" t="inlineStr">
        <is>
          <t>Unity College</t>
        </is>
      </c>
      <c r="B1392" s="8" t="inlineStr">
        <is>
          <t>New Gloucester</t>
        </is>
      </c>
      <c r="C1392" s="8" t="inlineStr">
        <is>
          <t>ME</t>
        </is>
      </c>
      <c r="D1392" s="8" t="inlineStr">
        <is>
          <t>Private</t>
        </is>
      </c>
      <c r="E1392" s="9" t="n">
        <v>16719</v>
      </c>
      <c r="F1392" s="9" t="n">
        <v>37988</v>
      </c>
      <c r="G1392" s="8">
        <f>RANK(F1392,$F$5:$F$1561)</f>
        <v/>
      </c>
      <c r="H1392" s="8" t="inlineStr"/>
      <c r="I1392" s="9">
        <f>IF(D1392="Private",E1392,"")</f>
        <v/>
      </c>
      <c r="J1392" s="9">
        <f>IF(D1392="Private",F1392,"")</f>
        <v/>
      </c>
    </row>
    <row r="1393">
      <c r="A1393" s="8" t="inlineStr">
        <is>
          <t>Toccoa Falls College</t>
        </is>
      </c>
      <c r="B1393" s="8" t="inlineStr">
        <is>
          <t>Toccoa Falls</t>
        </is>
      </c>
      <c r="C1393" s="8" t="inlineStr">
        <is>
          <t>GA</t>
        </is>
      </c>
      <c r="D1393" s="8" t="inlineStr">
        <is>
          <t>Private</t>
        </is>
      </c>
      <c r="E1393" s="9" t="n">
        <v>20737</v>
      </c>
      <c r="F1393" s="9" t="n">
        <v>37975</v>
      </c>
      <c r="G1393" s="8">
        <f>RANK(F1393,$F$5:$F$1561)</f>
        <v/>
      </c>
      <c r="H1393" s="8" t="inlineStr"/>
      <c r="I1393" s="9">
        <f>IF(D1393="Private",E1393,"")</f>
        <v/>
      </c>
      <c r="J1393" s="9">
        <f>IF(D1393="Private",F1393,"")</f>
        <v/>
      </c>
    </row>
    <row r="1394">
      <c r="A1394" s="8" t="inlineStr">
        <is>
          <t>Grace Christian University</t>
        </is>
      </c>
      <c r="B1394" s="8" t="inlineStr">
        <is>
          <t>Wyoming</t>
        </is>
      </c>
      <c r="C1394" s="8" t="inlineStr">
        <is>
          <t>MI</t>
        </is>
      </c>
      <c r="D1394" s="8" t="inlineStr">
        <is>
          <t>Private</t>
        </is>
      </c>
      <c r="E1394" s="9" t="n">
        <v>13525</v>
      </c>
      <c r="F1394" s="9" t="n">
        <v>37939</v>
      </c>
      <c r="G1394" s="8">
        <f>RANK(F1394,$F$5:$F$1561)</f>
        <v/>
      </c>
      <c r="H1394" s="8" t="inlineStr"/>
      <c r="I1394" s="9">
        <f>IF(D1394="Private",E1394,"")</f>
        <v/>
      </c>
      <c r="J1394" s="9">
        <f>IF(D1394="Private",F1394,"")</f>
        <v/>
      </c>
    </row>
    <row r="1395">
      <c r="A1395" s="8" t="inlineStr">
        <is>
          <t>Wilberforce University</t>
        </is>
      </c>
      <c r="B1395" s="8" t="inlineStr">
        <is>
          <t>Wilberforce</t>
        </is>
      </c>
      <c r="C1395" s="8" t="inlineStr">
        <is>
          <t>OH</t>
        </is>
      </c>
      <c r="D1395" s="8" t="inlineStr">
        <is>
          <t>Private</t>
        </is>
      </c>
      <c r="E1395" s="9" t="n">
        <v>6942</v>
      </c>
      <c r="F1395" s="9" t="n">
        <v>37921</v>
      </c>
      <c r="G1395" s="8">
        <f>RANK(F1395,$F$5:$F$1561)</f>
        <v/>
      </c>
      <c r="H1395" s="8" t="inlineStr"/>
      <c r="I1395" s="9">
        <f>IF(D1395="Private",E1395,"")</f>
        <v/>
      </c>
      <c r="J1395" s="9">
        <f>IF(D1395="Private",F1395,"")</f>
        <v/>
      </c>
    </row>
    <row r="1396">
      <c r="A1396" s="8" t="inlineStr">
        <is>
          <t>Trinity College of Florida</t>
        </is>
      </c>
      <c r="B1396" s="8" t="inlineStr">
        <is>
          <t>Trinity</t>
        </is>
      </c>
      <c r="C1396" s="8" t="inlineStr">
        <is>
          <t>FL</t>
        </is>
      </c>
      <c r="D1396" s="8" t="inlineStr">
        <is>
          <t>Private</t>
        </is>
      </c>
      <c r="E1396" s="9" t="n">
        <v>17497</v>
      </c>
      <c r="F1396" s="9" t="n">
        <v>37862</v>
      </c>
      <c r="G1396" s="8">
        <f>RANK(F1396,$F$5:$F$1561)</f>
        <v/>
      </c>
      <c r="H1396" s="8" t="inlineStr"/>
      <c r="I1396" s="9">
        <f>IF(D1396="Private",E1396,"")</f>
        <v/>
      </c>
      <c r="J1396" s="9">
        <f>IF(D1396="Private",F1396,"")</f>
        <v/>
      </c>
    </row>
    <row r="1397">
      <c r="A1397" s="8" t="inlineStr">
        <is>
          <t>Humphreys University-Stockton and Modesto Campuses</t>
        </is>
      </c>
      <c r="B1397" s="8" t="inlineStr">
        <is>
          <t>Stockton</t>
        </is>
      </c>
      <c r="C1397" s="8" t="inlineStr">
        <is>
          <t>CA</t>
        </is>
      </c>
      <c r="D1397" s="8" t="inlineStr">
        <is>
          <t>Private</t>
        </is>
      </c>
      <c r="E1397" s="9" t="n">
        <v>8502</v>
      </c>
      <c r="F1397" s="9" t="n">
        <v>37815</v>
      </c>
      <c r="G1397" s="8">
        <f>RANK(F1397,$F$5:$F$1561)</f>
        <v/>
      </c>
      <c r="H1397" s="8" t="inlineStr"/>
      <c r="I1397" s="9">
        <f>IF(D1397="Private",E1397,"")</f>
        <v/>
      </c>
      <c r="J1397" s="9">
        <f>IF(D1397="Private",F1397,"")</f>
        <v/>
      </c>
    </row>
    <row r="1398">
      <c r="A1398" s="8" t="inlineStr">
        <is>
          <t>Columbia International University</t>
        </is>
      </c>
      <c r="B1398" s="8" t="inlineStr">
        <is>
          <t>Columbia</t>
        </is>
      </c>
      <c r="C1398" s="8" t="inlineStr">
        <is>
          <t>SC</t>
        </is>
      </c>
      <c r="D1398" s="8" t="inlineStr">
        <is>
          <t>Private</t>
        </is>
      </c>
      <c r="E1398" s="9" t="n">
        <v>20181</v>
      </c>
      <c r="F1398" s="9" t="n">
        <v>37683</v>
      </c>
      <c r="G1398" s="8">
        <f>RANK(F1398,$F$5:$F$1561)</f>
        <v/>
      </c>
      <c r="H1398" s="8" t="inlineStr"/>
      <c r="I1398" s="9">
        <f>IF(D1398="Private",E1398,"")</f>
        <v/>
      </c>
      <c r="J1398" s="9">
        <f>IF(D1398="Private",F1398,"")</f>
        <v/>
      </c>
    </row>
    <row r="1399">
      <c r="A1399" s="8" t="inlineStr">
        <is>
          <t>Wesleyan College</t>
        </is>
      </c>
      <c r="B1399" s="8" t="inlineStr">
        <is>
          <t>Macon</t>
        </is>
      </c>
      <c r="C1399" s="8" t="inlineStr">
        <is>
          <t>GA</t>
        </is>
      </c>
      <c r="D1399" s="8" t="inlineStr">
        <is>
          <t>Private</t>
        </is>
      </c>
      <c r="E1399" s="9" t="n">
        <v>11365</v>
      </c>
      <c r="F1399" s="9" t="n">
        <v>37674</v>
      </c>
      <c r="G1399" s="8">
        <f>RANK(F1399,$F$5:$F$1561)</f>
        <v/>
      </c>
      <c r="H1399" s="8" t="inlineStr"/>
      <c r="I1399" s="9">
        <f>IF(D1399="Private",E1399,"")</f>
        <v/>
      </c>
      <c r="J1399" s="9">
        <f>IF(D1399="Private",F1399,"")</f>
        <v/>
      </c>
    </row>
    <row r="1400">
      <c r="A1400" s="8" t="inlineStr">
        <is>
          <t>Fayetteville State University</t>
        </is>
      </c>
      <c r="B1400" s="8" t="inlineStr">
        <is>
          <t>Fayetteville</t>
        </is>
      </c>
      <c r="C1400" s="8" t="inlineStr">
        <is>
          <t>NC</t>
        </is>
      </c>
      <c r="D1400" s="8" t="inlineStr">
        <is>
          <t>Public</t>
        </is>
      </c>
      <c r="E1400" s="9" t="n">
        <v>6623</v>
      </c>
      <c r="F1400" s="9" t="n">
        <v>37600</v>
      </c>
      <c r="G1400" s="8">
        <f>RANK(F1400,$F$5:$F$1561)</f>
        <v/>
      </c>
      <c r="H1400" s="8" t="inlineStr"/>
      <c r="I1400" s="9">
        <f>IF(D1400="Private",E1400,"")</f>
        <v/>
      </c>
      <c r="J1400" s="9">
        <f>IF(D1400="Private",F1400,"")</f>
        <v/>
      </c>
    </row>
    <row r="1401">
      <c r="A1401" s="8" t="inlineStr">
        <is>
          <t>Prescott College</t>
        </is>
      </c>
      <c r="B1401" s="8" t="inlineStr">
        <is>
          <t>Prescott</t>
        </is>
      </c>
      <c r="C1401" s="8" t="inlineStr">
        <is>
          <t>AZ</t>
        </is>
      </c>
      <c r="D1401" s="8" t="inlineStr">
        <is>
          <t>Private</t>
        </is>
      </c>
      <c r="E1401" s="9" t="n">
        <v>14226</v>
      </c>
      <c r="F1401" s="9" t="n">
        <v>37590</v>
      </c>
      <c r="G1401" s="8">
        <f>RANK(F1401,$F$5:$F$1561)</f>
        <v/>
      </c>
      <c r="H1401" s="8" t="inlineStr"/>
      <c r="I1401" s="9">
        <f>IF(D1401="Private",E1401,"")</f>
        <v/>
      </c>
      <c r="J1401" s="9">
        <f>IF(D1401="Private",F1401,"")</f>
        <v/>
      </c>
    </row>
    <row r="1402">
      <c r="A1402" s="8" t="inlineStr">
        <is>
          <t>Bacone College</t>
        </is>
      </c>
      <c r="B1402" s="8" t="inlineStr">
        <is>
          <t>Muskogee</t>
        </is>
      </c>
      <c r="C1402" s="8" t="inlineStr">
        <is>
          <t>OK</t>
        </is>
      </c>
      <c r="D1402" s="8" t="inlineStr">
        <is>
          <t>Private</t>
        </is>
      </c>
      <c r="E1402" s="9" t="n">
        <v>16035</v>
      </c>
      <c r="F1402" s="9" t="n">
        <v>37408</v>
      </c>
      <c r="G1402" s="8">
        <f>RANK(F1402,$F$5:$F$1561)</f>
        <v/>
      </c>
      <c r="H1402" s="8" t="inlineStr"/>
      <c r="I1402" s="9">
        <f>IF(D1402="Private",E1402,"")</f>
        <v/>
      </c>
      <c r="J1402" s="9">
        <f>IF(D1402="Private",F1402,"")</f>
        <v/>
      </c>
    </row>
    <row r="1403">
      <c r="A1403" s="8" t="inlineStr">
        <is>
          <t>Keiser University-Ft Lauderdale</t>
        </is>
      </c>
      <c r="B1403" s="8" t="inlineStr">
        <is>
          <t>Fort Lauderdale</t>
        </is>
      </c>
      <c r="C1403" s="8" t="inlineStr">
        <is>
          <t>FL</t>
        </is>
      </c>
      <c r="D1403" s="8" t="inlineStr">
        <is>
          <t>Private</t>
        </is>
      </c>
      <c r="E1403" s="9" t="n">
        <v>36354</v>
      </c>
      <c r="F1403" s="9" t="n">
        <v>37335</v>
      </c>
      <c r="G1403" s="8">
        <f>RANK(F1403,$F$5:$F$1561)</f>
        <v/>
      </c>
      <c r="H1403" s="8" t="inlineStr"/>
      <c r="I1403" s="9">
        <f>IF(D1403="Private",E1403,"")</f>
        <v/>
      </c>
      <c r="J1403" s="9">
        <f>IF(D1403="Private",F1403,"")</f>
        <v/>
      </c>
    </row>
    <row r="1404">
      <c r="A1404" s="8" t="inlineStr">
        <is>
          <t>Coker University</t>
        </is>
      </c>
      <c r="B1404" s="8" t="inlineStr">
        <is>
          <t>Hartsville</t>
        </is>
      </c>
      <c r="C1404" s="8" t="inlineStr">
        <is>
          <t>SC</t>
        </is>
      </c>
      <c r="D1404" s="8" t="inlineStr">
        <is>
          <t>Private</t>
        </is>
      </c>
      <c r="E1404" s="9" t="n">
        <v>19890</v>
      </c>
      <c r="F1404" s="9" t="n">
        <v>37246</v>
      </c>
      <c r="G1404" s="8">
        <f>RANK(F1404,$F$5:$F$1561)</f>
        <v/>
      </c>
      <c r="H1404" s="8" t="inlineStr"/>
      <c r="I1404" s="9">
        <f>IF(D1404="Private",E1404,"")</f>
        <v/>
      </c>
      <c r="J1404" s="9">
        <f>IF(D1404="Private",F1404,"")</f>
        <v/>
      </c>
    </row>
    <row r="1405">
      <c r="A1405" s="8" t="inlineStr">
        <is>
          <t>Converse University</t>
        </is>
      </c>
      <c r="B1405" s="8" t="inlineStr">
        <is>
          <t>Spartanburg</t>
        </is>
      </c>
      <c r="C1405" s="8" t="inlineStr">
        <is>
          <t>SC</t>
        </is>
      </c>
      <c r="D1405" s="8" t="inlineStr">
        <is>
          <t>Private</t>
        </is>
      </c>
      <c r="E1405" s="9" t="n">
        <v>17272</v>
      </c>
      <c r="F1405" s="9" t="n">
        <v>37213</v>
      </c>
      <c r="G1405" s="8">
        <f>RANK(F1405,$F$5:$F$1561)</f>
        <v/>
      </c>
      <c r="H1405" s="8" t="inlineStr"/>
      <c r="I1405" s="9">
        <f>IF(D1405="Private",E1405,"")</f>
        <v/>
      </c>
      <c r="J1405" s="9">
        <f>IF(D1405="Private",F1405,"")</f>
        <v/>
      </c>
    </row>
    <row r="1406">
      <c r="A1406" s="8" t="inlineStr">
        <is>
          <t>Chipola College</t>
        </is>
      </c>
      <c r="B1406" s="8" t="inlineStr">
        <is>
          <t>Marianna</t>
        </is>
      </c>
      <c r="C1406" s="8" t="inlineStr">
        <is>
          <t>FL</t>
        </is>
      </c>
      <c r="D1406" s="8" t="inlineStr">
        <is>
          <t>Public</t>
        </is>
      </c>
      <c r="E1406" s="9" t="n">
        <v>2042</v>
      </c>
      <c r="F1406" s="9" t="n">
        <v>37102</v>
      </c>
      <c r="G1406" s="8">
        <f>RANK(F1406,$F$5:$F$1561)</f>
        <v/>
      </c>
      <c r="H1406" s="8" t="inlineStr"/>
      <c r="I1406" s="9">
        <f>IF(D1406="Private",E1406,"")</f>
        <v/>
      </c>
      <c r="J1406" s="9">
        <f>IF(D1406="Private",F1406,"")</f>
        <v/>
      </c>
    </row>
    <row r="1407">
      <c r="A1407" s="8" t="inlineStr">
        <is>
          <t>Gallaudet University</t>
        </is>
      </c>
      <c r="B1407" s="8" t="inlineStr">
        <is>
          <t>Washington</t>
        </is>
      </c>
      <c r="C1407" s="8" t="inlineStr">
        <is>
          <t>DC</t>
        </is>
      </c>
      <c r="D1407" s="8" t="inlineStr">
        <is>
          <t>Private</t>
        </is>
      </c>
      <c r="E1407" s="9" t="n">
        <v>22616</v>
      </c>
      <c r="F1407" s="9" t="n">
        <v>37101</v>
      </c>
      <c r="G1407" s="8">
        <f>RANK(F1407,$F$5:$F$1561)</f>
        <v/>
      </c>
      <c r="H1407" s="8" t="inlineStr"/>
      <c r="I1407" s="9">
        <f>IF(D1407="Private",E1407,"")</f>
        <v/>
      </c>
      <c r="J1407" s="9">
        <f>IF(D1407="Private",F1407,"")</f>
        <v/>
      </c>
    </row>
    <row r="1408">
      <c r="A1408" s="8" t="inlineStr">
        <is>
          <t>Elizabeth City State University</t>
        </is>
      </c>
      <c r="B1408" s="8" t="inlineStr">
        <is>
          <t>Elizabeth City</t>
        </is>
      </c>
      <c r="C1408" s="8" t="inlineStr">
        <is>
          <t>NC</t>
        </is>
      </c>
      <c r="D1408" s="8" t="inlineStr">
        <is>
          <t>Public</t>
        </is>
      </c>
      <c r="E1408" s="9" t="n">
        <v>4060</v>
      </c>
      <c r="F1408" s="9" t="n">
        <v>37070</v>
      </c>
      <c r="G1408" s="8">
        <f>RANK(F1408,$F$5:$F$1561)</f>
        <v/>
      </c>
      <c r="H1408" s="8" t="inlineStr"/>
      <c r="I1408" s="9">
        <f>IF(D1408="Private",E1408,"")</f>
        <v/>
      </c>
      <c r="J1408" s="9">
        <f>IF(D1408="Private",F1408,"")</f>
        <v/>
      </c>
    </row>
    <row r="1409">
      <c r="A1409" s="8" t="inlineStr">
        <is>
          <t>Albany State University</t>
        </is>
      </c>
      <c r="B1409" s="8" t="inlineStr">
        <is>
          <t>Albany</t>
        </is>
      </c>
      <c r="C1409" s="8" t="inlineStr">
        <is>
          <t>GA</t>
        </is>
      </c>
      <c r="D1409" s="8" t="inlineStr">
        <is>
          <t>Public</t>
        </is>
      </c>
      <c r="E1409" s="9" t="n">
        <v>14904</v>
      </c>
      <c r="F1409" s="9" t="n">
        <v>37063</v>
      </c>
      <c r="G1409" s="8">
        <f>RANK(F1409,$F$5:$F$1561)</f>
        <v/>
      </c>
      <c r="H1409" s="8" t="inlineStr"/>
      <c r="I1409" s="9">
        <f>IF(D1409="Private",E1409,"")</f>
        <v/>
      </c>
      <c r="J1409" s="9">
        <f>IF(D1409="Private",F1409,"")</f>
        <v/>
      </c>
    </row>
    <row r="1410">
      <c r="A1410" s="8" t="inlineStr">
        <is>
          <t>Dillard University</t>
        </is>
      </c>
      <c r="B1410" s="8" t="inlineStr">
        <is>
          <t>New Orleans</t>
        </is>
      </c>
      <c r="C1410" s="8" t="inlineStr">
        <is>
          <t>LA</t>
        </is>
      </c>
      <c r="D1410" s="8" t="inlineStr">
        <is>
          <t>Private</t>
        </is>
      </c>
      <c r="E1410" s="9" t="n">
        <v>18901</v>
      </c>
      <c r="F1410" s="9" t="n">
        <v>37037</v>
      </c>
      <c r="G1410" s="8">
        <f>RANK(F1410,$F$5:$F$1561)</f>
        <v/>
      </c>
      <c r="H1410" s="8" t="inlineStr"/>
      <c r="I1410" s="9">
        <f>IF(D1410="Private",E1410,"")</f>
        <v/>
      </c>
      <c r="J1410" s="9">
        <f>IF(D1410="Private",F1410,"")</f>
        <v/>
      </c>
    </row>
    <row r="1411">
      <c r="A1411" s="8" t="inlineStr">
        <is>
          <t>Pasco-Hernando State College</t>
        </is>
      </c>
      <c r="B1411" s="8" t="inlineStr">
        <is>
          <t>New Port Richey</t>
        </is>
      </c>
      <c r="C1411" s="8" t="inlineStr">
        <is>
          <t>FL</t>
        </is>
      </c>
      <c r="D1411" s="8" t="inlineStr">
        <is>
          <t>Public</t>
        </is>
      </c>
      <c r="E1411" s="9" t="n">
        <v>4793</v>
      </c>
      <c r="F1411" s="9" t="n">
        <v>36985</v>
      </c>
      <c r="G1411" s="8">
        <f>RANK(F1411,$F$5:$F$1561)</f>
        <v/>
      </c>
      <c r="H1411" s="8" t="inlineStr"/>
      <c r="I1411" s="9">
        <f>IF(D1411="Private",E1411,"")</f>
        <v/>
      </c>
      <c r="J1411" s="9">
        <f>IF(D1411="Private",F1411,"")</f>
        <v/>
      </c>
    </row>
    <row r="1412">
      <c r="A1412" s="8" t="inlineStr">
        <is>
          <t>Great Basin College</t>
        </is>
      </c>
      <c r="B1412" s="8" t="inlineStr">
        <is>
          <t>Elko</t>
        </is>
      </c>
      <c r="C1412" s="8" t="inlineStr">
        <is>
          <t>NV</t>
        </is>
      </c>
      <c r="D1412" s="8" t="inlineStr">
        <is>
          <t>Public</t>
        </is>
      </c>
      <c r="E1412" s="9" t="n">
        <v>7758</v>
      </c>
      <c r="F1412" s="9" t="n">
        <v>36875</v>
      </c>
      <c r="G1412" s="8">
        <f>RANK(F1412,$F$5:$F$1561)</f>
        <v/>
      </c>
      <c r="H1412" s="8" t="inlineStr"/>
      <c r="I1412" s="9">
        <f>IF(D1412="Private",E1412,"")</f>
        <v/>
      </c>
      <c r="J1412" s="9">
        <f>IF(D1412="Private",F1412,"")</f>
        <v/>
      </c>
    </row>
    <row r="1413">
      <c r="A1413" s="8" t="inlineStr">
        <is>
          <t>Northwest Florida State College</t>
        </is>
      </c>
      <c r="B1413" s="8" t="inlineStr">
        <is>
          <t>Niceville</t>
        </is>
      </c>
      <c r="C1413" s="8" t="inlineStr">
        <is>
          <t>FL</t>
        </is>
      </c>
      <c r="D1413" s="8" t="inlineStr">
        <is>
          <t>Public</t>
        </is>
      </c>
      <c r="E1413" s="9" t="n">
        <v>6464</v>
      </c>
      <c r="F1413" s="9" t="n">
        <v>36862</v>
      </c>
      <c r="G1413" s="8">
        <f>RANK(F1413,$F$5:$F$1561)</f>
        <v/>
      </c>
      <c r="H1413" s="8" t="inlineStr"/>
      <c r="I1413" s="9">
        <f>IF(D1413="Private",E1413,"")</f>
        <v/>
      </c>
      <c r="J1413" s="9">
        <f>IF(D1413="Private",F1413,"")</f>
        <v/>
      </c>
    </row>
    <row r="1414">
      <c r="A1414" s="8" t="inlineStr">
        <is>
          <t>Centralia College</t>
        </is>
      </c>
      <c r="B1414" s="8" t="inlineStr">
        <is>
          <t>Centralia</t>
        </is>
      </c>
      <c r="C1414" s="8" t="inlineStr">
        <is>
          <t>WA</t>
        </is>
      </c>
      <c r="D1414" s="8" t="inlineStr">
        <is>
          <t>Public</t>
        </is>
      </c>
      <c r="E1414" s="9" t="n">
        <v>7261</v>
      </c>
      <c r="F1414" s="9" t="n">
        <v>36819</v>
      </c>
      <c r="G1414" s="8">
        <f>RANK(F1414,$F$5:$F$1561)</f>
        <v/>
      </c>
      <c r="H1414" s="8" t="inlineStr"/>
      <c r="I1414" s="9">
        <f>IF(D1414="Private",E1414,"")</f>
        <v/>
      </c>
      <c r="J1414" s="9">
        <f>IF(D1414="Private",F1414,"")</f>
        <v/>
      </c>
    </row>
    <row r="1415">
      <c r="A1415" s="8" t="inlineStr">
        <is>
          <t>Glenville State University</t>
        </is>
      </c>
      <c r="B1415" s="8" t="inlineStr">
        <is>
          <t>Glenville</t>
        </is>
      </c>
      <c r="C1415" s="8" t="inlineStr">
        <is>
          <t>WV</t>
        </is>
      </c>
      <c r="D1415" s="8" t="inlineStr">
        <is>
          <t>Public</t>
        </is>
      </c>
      <c r="E1415" s="9" t="n">
        <v>15037</v>
      </c>
      <c r="F1415" s="9" t="n">
        <v>36815</v>
      </c>
      <c r="G1415" s="8">
        <f>RANK(F1415,$F$5:$F$1561)</f>
        <v/>
      </c>
      <c r="H1415" s="8" t="inlineStr"/>
      <c r="I1415" s="9">
        <f>IF(D1415="Private",E1415,"")</f>
        <v/>
      </c>
      <c r="J1415" s="9">
        <f>IF(D1415="Private",F1415,"")</f>
        <v/>
      </c>
    </row>
    <row r="1416">
      <c r="A1416" s="8" t="inlineStr">
        <is>
          <t>Kentucky State University</t>
        </is>
      </c>
      <c r="B1416" s="8" t="inlineStr">
        <is>
          <t>Frankfort</t>
        </is>
      </c>
      <c r="C1416" s="8" t="inlineStr">
        <is>
          <t>KY</t>
        </is>
      </c>
      <c r="D1416" s="8" t="inlineStr">
        <is>
          <t>Public</t>
        </is>
      </c>
      <c r="E1416" s="9" t="n">
        <v>7265</v>
      </c>
      <c r="F1416" s="9" t="n">
        <v>36807</v>
      </c>
      <c r="G1416" s="8">
        <f>RANK(F1416,$F$5:$F$1561)</f>
        <v/>
      </c>
      <c r="H1416" s="8" t="inlineStr"/>
      <c r="I1416" s="9">
        <f>IF(D1416="Private",E1416,"")</f>
        <v/>
      </c>
      <c r="J1416" s="9">
        <f>IF(D1416="Private",F1416,"")</f>
        <v/>
      </c>
    </row>
    <row r="1417">
      <c r="A1417" s="8" t="inlineStr">
        <is>
          <t>Chowan University</t>
        </is>
      </c>
      <c r="B1417" s="8" t="inlineStr">
        <is>
          <t>Murfreesboro</t>
        </is>
      </c>
      <c r="C1417" s="8" t="inlineStr">
        <is>
          <t>NC</t>
        </is>
      </c>
      <c r="D1417" s="8" t="inlineStr">
        <is>
          <t>Private</t>
        </is>
      </c>
      <c r="E1417" s="9" t="n">
        <v>16942</v>
      </c>
      <c r="F1417" s="9" t="n">
        <v>36791</v>
      </c>
      <c r="G1417" s="8">
        <f>RANK(F1417,$F$5:$F$1561)</f>
        <v/>
      </c>
      <c r="H1417" s="8" t="inlineStr"/>
      <c r="I1417" s="9">
        <f>IF(D1417="Private",E1417,"")</f>
        <v/>
      </c>
      <c r="J1417" s="9">
        <f>IF(D1417="Private",F1417,"")</f>
        <v/>
      </c>
    </row>
    <row r="1418">
      <c r="A1418" s="8" t="inlineStr">
        <is>
          <t>South Carolina State University</t>
        </is>
      </c>
      <c r="B1418" s="8" t="inlineStr">
        <is>
          <t>Orangeburg</t>
        </is>
      </c>
      <c r="C1418" s="8" t="inlineStr">
        <is>
          <t>SC</t>
        </is>
      </c>
      <c r="D1418" s="8" t="inlineStr">
        <is>
          <t>Public</t>
        </is>
      </c>
      <c r="E1418" s="9" t="n">
        <v>21075</v>
      </c>
      <c r="F1418" s="9" t="n">
        <v>36750</v>
      </c>
      <c r="G1418" s="8">
        <f>RANK(F1418,$F$5:$F$1561)</f>
        <v/>
      </c>
      <c r="H1418" s="8" t="inlineStr"/>
      <c r="I1418" s="9">
        <f>IF(D1418="Private",E1418,"")</f>
        <v/>
      </c>
      <c r="J1418" s="9">
        <f>IF(D1418="Private",F1418,"")</f>
        <v/>
      </c>
    </row>
    <row r="1419">
      <c r="A1419" s="8" t="inlineStr">
        <is>
          <t>Cheyney University of Pennsylvania</t>
        </is>
      </c>
      <c r="B1419" s="8" t="inlineStr">
        <is>
          <t>Cheyney</t>
        </is>
      </c>
      <c r="C1419" s="8" t="inlineStr">
        <is>
          <t>PA</t>
        </is>
      </c>
      <c r="D1419" s="8" t="inlineStr">
        <is>
          <t>Public</t>
        </is>
      </c>
      <c r="E1419" s="9" t="n">
        <v>12892</v>
      </c>
      <c r="F1419" s="9" t="n">
        <v>36691</v>
      </c>
      <c r="G1419" s="8">
        <f>RANK(F1419,$F$5:$F$1561)</f>
        <v/>
      </c>
      <c r="H1419" s="8" t="inlineStr"/>
      <c r="I1419" s="9">
        <f>IF(D1419="Private",E1419,"")</f>
        <v/>
      </c>
      <c r="J1419" s="9">
        <f>IF(D1419="Private",F1419,"")</f>
        <v/>
      </c>
    </row>
    <row r="1420">
      <c r="A1420" s="8" t="inlineStr">
        <is>
          <t>University of Maine at Farmington</t>
        </is>
      </c>
      <c r="B1420" s="8" t="inlineStr">
        <is>
          <t>Farmington</t>
        </is>
      </c>
      <c r="C1420" s="8" t="inlineStr">
        <is>
          <t>ME</t>
        </is>
      </c>
      <c r="D1420" s="8" t="inlineStr">
        <is>
          <t>Public</t>
        </is>
      </c>
      <c r="E1420" s="9" t="n">
        <v>13863</v>
      </c>
      <c r="F1420" s="9" t="n">
        <v>36620</v>
      </c>
      <c r="G1420" s="8">
        <f>RANK(F1420,$F$5:$F$1561)</f>
        <v/>
      </c>
      <c r="H1420" s="8" t="inlineStr"/>
      <c r="I1420" s="9">
        <f>IF(D1420="Private",E1420,"")</f>
        <v/>
      </c>
      <c r="J1420" s="9">
        <f>IF(D1420="Private",F1420,"")</f>
        <v/>
      </c>
    </row>
    <row r="1421">
      <c r="A1421" s="8" t="inlineStr">
        <is>
          <t>Finlandia University</t>
        </is>
      </c>
      <c r="B1421" s="8" t="inlineStr">
        <is>
          <t>Hancock</t>
        </is>
      </c>
      <c r="C1421" s="8" t="inlineStr">
        <is>
          <t>MI</t>
        </is>
      </c>
      <c r="D1421" s="8" t="inlineStr">
        <is>
          <t>Private</t>
        </is>
      </c>
      <c r="E1421" s="9" t="n">
        <v>14416</v>
      </c>
      <c r="F1421" s="9" t="n">
        <v>36586</v>
      </c>
      <c r="G1421" s="8">
        <f>RANK(F1421,$F$5:$F$1561)</f>
        <v/>
      </c>
      <c r="H1421" s="8" t="inlineStr"/>
      <c r="I1421" s="9">
        <f>IF(D1421="Private",E1421,"")</f>
        <v/>
      </c>
      <c r="J1421" s="9">
        <f>IF(D1421="Private",F1421,"")</f>
        <v/>
      </c>
    </row>
    <row r="1422">
      <c r="A1422" s="8" t="inlineStr">
        <is>
          <t>State College of Florida-Manatee-Sarasota</t>
        </is>
      </c>
      <c r="B1422" s="8" t="inlineStr">
        <is>
          <t>Bradenton</t>
        </is>
      </c>
      <c r="C1422" s="8" t="inlineStr">
        <is>
          <t>FL</t>
        </is>
      </c>
      <c r="D1422" s="8" t="inlineStr">
        <is>
          <t>Public</t>
        </is>
      </c>
      <c r="E1422" s="9" t="n">
        <v>11874</v>
      </c>
      <c r="F1422" s="9" t="n">
        <v>36583</v>
      </c>
      <c r="G1422" s="8">
        <f>RANK(F1422,$F$5:$F$1561)</f>
        <v/>
      </c>
      <c r="H1422" s="8" t="inlineStr"/>
      <c r="I1422" s="9">
        <f>IF(D1422="Private",E1422,"")</f>
        <v/>
      </c>
      <c r="J1422" s="9">
        <f>IF(D1422="Private",F1422,"")</f>
        <v/>
      </c>
    </row>
    <row r="1423">
      <c r="A1423" s="8" t="inlineStr">
        <is>
          <t>Bennett College</t>
        </is>
      </c>
      <c r="B1423" s="8" t="inlineStr">
        <is>
          <t>Greensboro</t>
        </is>
      </c>
      <c r="C1423" s="8" t="inlineStr">
        <is>
          <t>NC</t>
        </is>
      </c>
      <c r="D1423" s="8" t="inlineStr">
        <is>
          <t>Private</t>
        </is>
      </c>
      <c r="E1423" s="9" t="n">
        <v>23316</v>
      </c>
      <c r="F1423" s="9" t="n">
        <v>36515</v>
      </c>
      <c r="G1423" s="8">
        <f>RANK(F1423,$F$5:$F$1561)</f>
        <v/>
      </c>
      <c r="H1423" s="8" t="inlineStr"/>
      <c r="I1423" s="9">
        <f>IF(D1423="Private",E1423,"")</f>
        <v/>
      </c>
      <c r="J1423" s="9">
        <f>IF(D1423="Private",F1423,"")</f>
        <v/>
      </c>
    </row>
    <row r="1424">
      <c r="A1424" s="8" t="inlineStr">
        <is>
          <t>Gordon State College</t>
        </is>
      </c>
      <c r="B1424" s="8" t="inlineStr">
        <is>
          <t>Barnesville</t>
        </is>
      </c>
      <c r="C1424" s="8" t="inlineStr">
        <is>
          <t>GA</t>
        </is>
      </c>
      <c r="D1424" s="8" t="inlineStr">
        <is>
          <t>Public</t>
        </is>
      </c>
      <c r="E1424" s="9" t="n">
        <v>8925</v>
      </c>
      <c r="F1424" s="9" t="n">
        <v>36490</v>
      </c>
      <c r="G1424" s="8">
        <f>RANK(F1424,$F$5:$F$1561)</f>
        <v/>
      </c>
      <c r="H1424" s="8" t="inlineStr"/>
      <c r="I1424" s="9">
        <f>IF(D1424="Private",E1424,"")</f>
        <v/>
      </c>
      <c r="J1424" s="9">
        <f>IF(D1424="Private",F1424,"")</f>
        <v/>
      </c>
    </row>
    <row r="1425">
      <c r="A1425" s="8" t="inlineStr">
        <is>
          <t>Western New Mexico University</t>
        </is>
      </c>
      <c r="B1425" s="8" t="inlineStr">
        <is>
          <t>Silver City</t>
        </is>
      </c>
      <c r="C1425" s="8" t="inlineStr">
        <is>
          <t>NM</t>
        </is>
      </c>
      <c r="D1425" s="8" t="inlineStr">
        <is>
          <t>Public</t>
        </is>
      </c>
      <c r="E1425" s="9" t="n">
        <v>14023</v>
      </c>
      <c r="F1425" s="9" t="n">
        <v>36398</v>
      </c>
      <c r="G1425" s="8">
        <f>RANK(F1425,$F$5:$F$1561)</f>
        <v/>
      </c>
      <c r="H1425" s="8" t="inlineStr"/>
      <c r="I1425" s="9">
        <f>IF(D1425="Private",E1425,"")</f>
        <v/>
      </c>
      <c r="J1425" s="9">
        <f>IF(D1425="Private",F1425,"")</f>
        <v/>
      </c>
    </row>
    <row r="1426">
      <c r="A1426" s="8" t="inlineStr">
        <is>
          <t>Fort Valley State University</t>
        </is>
      </c>
      <c r="B1426" s="8" t="inlineStr">
        <is>
          <t>Fort Valley</t>
        </is>
      </c>
      <c r="C1426" s="8" t="inlineStr">
        <is>
          <t>GA</t>
        </is>
      </c>
      <c r="D1426" s="8" t="inlineStr">
        <is>
          <t>Public</t>
        </is>
      </c>
      <c r="E1426" s="9" t="n">
        <v>13320</v>
      </c>
      <c r="F1426" s="9" t="n">
        <v>36389</v>
      </c>
      <c r="G1426" s="8">
        <f>RANK(F1426,$F$5:$F$1561)</f>
        <v/>
      </c>
      <c r="H1426" s="8" t="inlineStr"/>
      <c r="I1426" s="9">
        <f>IF(D1426="Private",E1426,"")</f>
        <v/>
      </c>
      <c r="J1426" s="9">
        <f>IF(D1426="Private",F1426,"")</f>
        <v/>
      </c>
    </row>
    <row r="1427">
      <c r="A1427" s="8" t="inlineStr">
        <is>
          <t>Eastern New Mexico University-Main Campus</t>
        </is>
      </c>
      <c r="B1427" s="8" t="inlineStr">
        <is>
          <t>Portales</t>
        </is>
      </c>
      <c r="C1427" s="8" t="inlineStr">
        <is>
          <t>NM</t>
        </is>
      </c>
      <c r="D1427" s="8" t="inlineStr">
        <is>
          <t>Public</t>
        </is>
      </c>
      <c r="E1427" s="9" t="n">
        <v>4994</v>
      </c>
      <c r="F1427" s="9" t="n">
        <v>36355</v>
      </c>
      <c r="G1427" s="8">
        <f>RANK(F1427,$F$5:$F$1561)</f>
        <v/>
      </c>
      <c r="H1427" s="8" t="inlineStr"/>
      <c r="I1427" s="9">
        <f>IF(D1427="Private",E1427,"")</f>
        <v/>
      </c>
      <c r="J1427" s="9">
        <f>IF(D1427="Private",F1427,"")</f>
        <v/>
      </c>
    </row>
    <row r="1428">
      <c r="A1428" s="8" t="inlineStr">
        <is>
          <t>Lincoln University</t>
        </is>
      </c>
      <c r="B1428" s="8" t="inlineStr">
        <is>
          <t>Jefferson City</t>
        </is>
      </c>
      <c r="C1428" s="8" t="inlineStr">
        <is>
          <t>MO</t>
        </is>
      </c>
      <c r="D1428" s="8" t="inlineStr">
        <is>
          <t>Public</t>
        </is>
      </c>
      <c r="E1428" s="9" t="n">
        <v>10714</v>
      </c>
      <c r="F1428" s="9" t="n">
        <v>36347</v>
      </c>
      <c r="G1428" s="8">
        <f>RANK(F1428,$F$5:$F$1561)</f>
        <v/>
      </c>
      <c r="H1428" s="8" t="inlineStr"/>
      <c r="I1428" s="9">
        <f>IF(D1428="Private",E1428,"")</f>
        <v/>
      </c>
      <c r="J1428" s="9">
        <f>IF(D1428="Private",F1428,"")</f>
        <v/>
      </c>
    </row>
    <row r="1429">
      <c r="A1429" s="8" t="inlineStr">
        <is>
          <t>Eastern Florida State College</t>
        </is>
      </c>
      <c r="B1429" s="8" t="inlineStr">
        <is>
          <t>Melbourne</t>
        </is>
      </c>
      <c r="C1429" s="8" t="inlineStr">
        <is>
          <t>FL</t>
        </is>
      </c>
      <c r="D1429" s="8" t="inlineStr">
        <is>
          <t>Public</t>
        </is>
      </c>
      <c r="E1429" s="9" t="n">
        <v>4668</v>
      </c>
      <c r="F1429" s="9" t="n">
        <v>36306</v>
      </c>
      <c r="G1429" s="8">
        <f>RANK(F1429,$F$5:$F$1561)</f>
        <v/>
      </c>
      <c r="H1429" s="8" t="inlineStr"/>
      <c r="I1429" s="9">
        <f>IF(D1429="Private",E1429,"")</f>
        <v/>
      </c>
      <c r="J1429" s="9">
        <f>IF(D1429="Private",F1429,"")</f>
        <v/>
      </c>
    </row>
    <row r="1430">
      <c r="A1430" s="8" t="inlineStr">
        <is>
          <t>Florida Memorial University</t>
        </is>
      </c>
      <c r="B1430" s="8" t="inlineStr">
        <is>
          <t>Miami Gardens</t>
        </is>
      </c>
      <c r="C1430" s="8" t="inlineStr">
        <is>
          <t>FL</t>
        </is>
      </c>
      <c r="D1430" s="8" t="inlineStr">
        <is>
          <t>Private</t>
        </is>
      </c>
      <c r="E1430" s="9" t="n">
        <v>16861</v>
      </c>
      <c r="F1430" s="9" t="n">
        <v>36297</v>
      </c>
      <c r="G1430" s="8">
        <f>RANK(F1430,$F$5:$F$1561)</f>
        <v/>
      </c>
      <c r="H1430" s="8" t="inlineStr"/>
      <c r="I1430" s="9">
        <f>IF(D1430="Private",E1430,"")</f>
        <v/>
      </c>
      <c r="J1430" s="9">
        <f>IF(D1430="Private",F1430,"")</f>
        <v/>
      </c>
    </row>
    <row r="1431">
      <c r="A1431" s="8" t="inlineStr">
        <is>
          <t>Texas Southern University</t>
        </is>
      </c>
      <c r="B1431" s="8" t="inlineStr">
        <is>
          <t>Houston</t>
        </is>
      </c>
      <c r="C1431" s="8" t="inlineStr">
        <is>
          <t>TX</t>
        </is>
      </c>
      <c r="D1431" s="8" t="inlineStr">
        <is>
          <t>Public</t>
        </is>
      </c>
      <c r="E1431" s="9" t="n">
        <v>18000</v>
      </c>
      <c r="F1431" s="9" t="n">
        <v>36251</v>
      </c>
      <c r="G1431" s="8">
        <f>RANK(F1431,$F$5:$F$1561)</f>
        <v/>
      </c>
      <c r="H1431" s="8" t="inlineStr"/>
      <c r="I1431" s="9">
        <f>IF(D1431="Private",E1431,"")</f>
        <v/>
      </c>
      <c r="J1431" s="9">
        <f>IF(D1431="Private",F1431,"")</f>
        <v/>
      </c>
    </row>
    <row r="1432">
      <c r="A1432" s="8" t="inlineStr">
        <is>
          <t>University of Valley Forge</t>
        </is>
      </c>
      <c r="B1432" s="8" t="inlineStr">
        <is>
          <t>Phoenixville</t>
        </is>
      </c>
      <c r="C1432" s="8" t="inlineStr">
        <is>
          <t>PA</t>
        </is>
      </c>
      <c r="D1432" s="8" t="inlineStr">
        <is>
          <t>Private</t>
        </is>
      </c>
      <c r="E1432" s="9" t="n">
        <v>25013</v>
      </c>
      <c r="F1432" s="9" t="n">
        <v>36232</v>
      </c>
      <c r="G1432" s="8">
        <f>RANK(F1432,$F$5:$F$1561)</f>
        <v/>
      </c>
      <c r="H1432" s="8" t="inlineStr"/>
      <c r="I1432" s="9">
        <f>IF(D1432="Private",E1432,"")</f>
        <v/>
      </c>
      <c r="J1432" s="9">
        <f>IF(D1432="Private",F1432,"")</f>
        <v/>
      </c>
    </row>
    <row r="1433">
      <c r="A1433" s="8" t="inlineStr">
        <is>
          <t>Goodwin University</t>
        </is>
      </c>
      <c r="B1433" s="8" t="inlineStr">
        <is>
          <t>East Hartford</t>
        </is>
      </c>
      <c r="C1433" s="8" t="inlineStr">
        <is>
          <t>CT</t>
        </is>
      </c>
      <c r="D1433" s="8" t="inlineStr">
        <is>
          <t>Private</t>
        </is>
      </c>
      <c r="E1433" s="9" t="n">
        <v>23337</v>
      </c>
      <c r="F1433" s="9" t="n">
        <v>36227</v>
      </c>
      <c r="G1433" s="8">
        <f>RANK(F1433,$F$5:$F$1561)</f>
        <v/>
      </c>
      <c r="H1433" s="8" t="inlineStr"/>
      <c r="I1433" s="9">
        <f>IF(D1433="Private",E1433,"")</f>
        <v/>
      </c>
      <c r="J1433" s="9">
        <f>IF(D1433="Private",F1433,"")</f>
        <v/>
      </c>
    </row>
    <row r="1434">
      <c r="A1434" s="8" t="inlineStr">
        <is>
          <t>Mitchell College</t>
        </is>
      </c>
      <c r="B1434" s="8" t="inlineStr">
        <is>
          <t>New London</t>
        </is>
      </c>
      <c r="C1434" s="8" t="inlineStr">
        <is>
          <t>CT</t>
        </is>
      </c>
      <c r="D1434" s="8" t="inlineStr">
        <is>
          <t>Private</t>
        </is>
      </c>
      <c r="E1434" s="9" t="n">
        <v>25139</v>
      </c>
      <c r="F1434" s="9" t="n">
        <v>36205</v>
      </c>
      <c r="G1434" s="8">
        <f>RANK(F1434,$F$5:$F$1561)</f>
        <v/>
      </c>
      <c r="H1434" s="8" t="inlineStr"/>
      <c r="I1434" s="9">
        <f>IF(D1434="Private",E1434,"")</f>
        <v/>
      </c>
      <c r="J1434" s="9">
        <f>IF(D1434="Private",F1434,"")</f>
        <v/>
      </c>
    </row>
    <row r="1435">
      <c r="A1435" s="8" t="inlineStr">
        <is>
          <t>Jackson State University</t>
        </is>
      </c>
      <c r="B1435" s="8" t="inlineStr">
        <is>
          <t>Jackson</t>
        </is>
      </c>
      <c r="C1435" s="8" t="inlineStr">
        <is>
          <t>MS</t>
        </is>
      </c>
      <c r="D1435" s="8" t="inlineStr">
        <is>
          <t>Public</t>
        </is>
      </c>
      <c r="E1435" s="9" t="n">
        <v>15290</v>
      </c>
      <c r="F1435" s="9" t="n">
        <v>36198</v>
      </c>
      <c r="G1435" s="8">
        <f>RANK(F1435,$F$5:$F$1561)</f>
        <v/>
      </c>
      <c r="H1435" s="8" t="inlineStr"/>
      <c r="I1435" s="9">
        <f>IF(D1435="Private",E1435,"")</f>
        <v/>
      </c>
      <c r="J1435" s="9">
        <f>IF(D1435="Private",F1435,"")</f>
        <v/>
      </c>
    </row>
    <row r="1436">
      <c r="A1436" s="8" t="inlineStr">
        <is>
          <t>Tougaloo College</t>
        </is>
      </c>
      <c r="B1436" s="8" t="inlineStr">
        <is>
          <t>Tougaloo</t>
        </is>
      </c>
      <c r="C1436" s="8" t="inlineStr">
        <is>
          <t>MS</t>
        </is>
      </c>
      <c r="D1436" s="8" t="inlineStr">
        <is>
          <t>Private</t>
        </is>
      </c>
      <c r="E1436" s="9" t="n">
        <v>9359</v>
      </c>
      <c r="F1436" s="9" t="n">
        <v>36069</v>
      </c>
      <c r="G1436" s="8">
        <f>RANK(F1436,$F$5:$F$1561)</f>
        <v/>
      </c>
      <c r="H1436" s="8" t="inlineStr"/>
      <c r="I1436" s="9">
        <f>IF(D1436="Private",E1436,"")</f>
        <v/>
      </c>
      <c r="J1436" s="9">
        <f>IF(D1436="Private",F1436,"")</f>
        <v/>
      </c>
    </row>
    <row r="1437">
      <c r="A1437" s="8" t="inlineStr">
        <is>
          <t>Pensacola State College</t>
        </is>
      </c>
      <c r="B1437" s="8" t="inlineStr">
        <is>
          <t>Pensacola</t>
        </is>
      </c>
      <c r="C1437" s="8" t="inlineStr">
        <is>
          <t>FL</t>
        </is>
      </c>
      <c r="D1437" s="8" t="inlineStr">
        <is>
          <t>Public</t>
        </is>
      </c>
      <c r="E1437" s="9" t="n">
        <v>2918</v>
      </c>
      <c r="F1437" s="9" t="n">
        <v>35945</v>
      </c>
      <c r="G1437" s="8">
        <f>RANK(F1437,$F$5:$F$1561)</f>
        <v/>
      </c>
      <c r="H1437" s="8" t="inlineStr"/>
      <c r="I1437" s="9">
        <f>IF(D1437="Private",E1437,"")</f>
        <v/>
      </c>
      <c r="J1437" s="9">
        <f>IF(D1437="Private",F1437,"")</f>
        <v/>
      </c>
    </row>
    <row r="1438">
      <c r="A1438" s="8" t="inlineStr">
        <is>
          <t>Lindsey Wilson College</t>
        </is>
      </c>
      <c r="B1438" s="8" t="inlineStr">
        <is>
          <t>Columbia</t>
        </is>
      </c>
      <c r="C1438" s="8" t="inlineStr">
        <is>
          <t>KY</t>
        </is>
      </c>
      <c r="D1438" s="8" t="inlineStr">
        <is>
          <t>Private</t>
        </is>
      </c>
      <c r="E1438" s="9" t="n">
        <v>16538</v>
      </c>
      <c r="F1438" s="9" t="n">
        <v>35895</v>
      </c>
      <c r="G1438" s="8">
        <f>RANK(F1438,$F$5:$F$1561)</f>
        <v/>
      </c>
      <c r="H1438" s="8" t="inlineStr"/>
      <c r="I1438" s="9">
        <f>IF(D1438="Private",E1438,"")</f>
        <v/>
      </c>
      <c r="J1438" s="9">
        <f>IF(D1438="Private",F1438,"")</f>
        <v/>
      </c>
    </row>
    <row r="1439">
      <c r="A1439" s="8" t="inlineStr">
        <is>
          <t>South Florida State College</t>
        </is>
      </c>
      <c r="B1439" s="8" t="inlineStr">
        <is>
          <t>Avon Park</t>
        </is>
      </c>
      <c r="C1439" s="8" t="inlineStr">
        <is>
          <t>FL</t>
        </is>
      </c>
      <c r="D1439" s="8" t="inlineStr">
        <is>
          <t>Public</t>
        </is>
      </c>
      <c r="E1439" s="9" t="n">
        <v>3762</v>
      </c>
      <c r="F1439" s="9" t="n">
        <v>35828</v>
      </c>
      <c r="G1439" s="8">
        <f>RANK(F1439,$F$5:$F$1561)</f>
        <v/>
      </c>
      <c r="H1439" s="8" t="inlineStr"/>
      <c r="I1439" s="9">
        <f>IF(D1439="Private",E1439,"")</f>
        <v/>
      </c>
      <c r="J1439" s="9">
        <f>IF(D1439="Private",F1439,"")</f>
        <v/>
      </c>
    </row>
    <row r="1440">
      <c r="A1440" s="8" t="inlineStr">
        <is>
          <t>Welch College</t>
        </is>
      </c>
      <c r="B1440" s="8" t="inlineStr">
        <is>
          <t>Gallatin</t>
        </is>
      </c>
      <c r="C1440" s="8" t="inlineStr">
        <is>
          <t>TN</t>
        </is>
      </c>
      <c r="D1440" s="8" t="inlineStr">
        <is>
          <t>Private</t>
        </is>
      </c>
      <c r="E1440" s="9" t="n">
        <v>18875</v>
      </c>
      <c r="F1440" s="9" t="n">
        <v>35816</v>
      </c>
      <c r="G1440" s="8">
        <f>RANK(F1440,$F$5:$F$1561)</f>
        <v/>
      </c>
      <c r="H1440" s="8" t="inlineStr"/>
      <c r="I1440" s="9">
        <f>IF(D1440="Private",E1440,"")</f>
        <v/>
      </c>
      <c r="J1440" s="9">
        <f>IF(D1440="Private",F1440,"")</f>
        <v/>
      </c>
    </row>
    <row r="1441">
      <c r="A1441" s="8" t="inlineStr">
        <is>
          <t>College of Central Florida</t>
        </is>
      </c>
      <c r="B1441" s="8" t="inlineStr">
        <is>
          <t>Ocala</t>
        </is>
      </c>
      <c r="C1441" s="8" t="inlineStr">
        <is>
          <t>FL</t>
        </is>
      </c>
      <c r="D1441" s="8" t="inlineStr">
        <is>
          <t>Public</t>
        </is>
      </c>
      <c r="E1441" s="9" t="n">
        <v>9634</v>
      </c>
      <c r="F1441" s="9" t="n">
        <v>35808</v>
      </c>
      <c r="G1441" s="8">
        <f>RANK(F1441,$F$5:$F$1561)</f>
        <v/>
      </c>
      <c r="H1441" s="8" t="inlineStr"/>
      <c r="I1441" s="9">
        <f>IF(D1441="Private",E1441,"")</f>
        <v/>
      </c>
      <c r="J1441" s="9">
        <f>IF(D1441="Private",F1441,"")</f>
        <v/>
      </c>
    </row>
    <row r="1442">
      <c r="A1442" s="8" t="inlineStr">
        <is>
          <t>Saint Augustine's University</t>
        </is>
      </c>
      <c r="B1442" s="8" t="inlineStr">
        <is>
          <t>Raleigh</t>
        </is>
      </c>
      <c r="C1442" s="8" t="inlineStr">
        <is>
          <t>NC</t>
        </is>
      </c>
      <c r="D1442" s="8" t="inlineStr">
        <is>
          <t>Private</t>
        </is>
      </c>
      <c r="E1442" s="9" t="n">
        <v>18047</v>
      </c>
      <c r="F1442" s="9" t="n">
        <v>35808</v>
      </c>
      <c r="G1442" s="8">
        <f>RANK(F1442,$F$5:$F$1561)</f>
        <v/>
      </c>
      <c r="H1442" s="8" t="inlineStr"/>
      <c r="I1442" s="9">
        <f>IF(D1442="Private",E1442,"")</f>
        <v/>
      </c>
      <c r="J1442" s="9">
        <f>IF(D1442="Private",F1442,"")</f>
        <v/>
      </c>
    </row>
    <row r="1443">
      <c r="A1443" s="8" t="inlineStr">
        <is>
          <t>Cottey College</t>
        </is>
      </c>
      <c r="B1443" s="8" t="inlineStr">
        <is>
          <t>Nevada</t>
        </is>
      </c>
      <c r="C1443" s="8" t="inlineStr">
        <is>
          <t>MO</t>
        </is>
      </c>
      <c r="D1443" s="8" t="inlineStr">
        <is>
          <t>Private</t>
        </is>
      </c>
      <c r="E1443" s="9" t="n">
        <v>16490</v>
      </c>
      <c r="F1443" s="9" t="n">
        <v>35806</v>
      </c>
      <c r="G1443" s="8">
        <f>RANK(F1443,$F$5:$F$1561)</f>
        <v/>
      </c>
      <c r="H1443" s="8" t="inlineStr"/>
      <c r="I1443" s="9">
        <f>IF(D1443="Private",E1443,"")</f>
        <v/>
      </c>
      <c r="J1443" s="9">
        <f>IF(D1443="Private",F1443,"")</f>
        <v/>
      </c>
    </row>
    <row r="1444">
      <c r="A1444" s="8" t="inlineStr">
        <is>
          <t>Paul Quinn College</t>
        </is>
      </c>
      <c r="B1444" s="8" t="inlineStr">
        <is>
          <t>Dallas</t>
        </is>
      </c>
      <c r="C1444" s="8" t="inlineStr">
        <is>
          <t>TX</t>
        </is>
      </c>
      <c r="D1444" s="8" t="inlineStr">
        <is>
          <t>Private</t>
        </is>
      </c>
      <c r="E1444" s="9" t="n">
        <v>5529</v>
      </c>
      <c r="F1444" s="9" t="n">
        <v>35695</v>
      </c>
      <c r="G1444" s="8">
        <f>RANK(F1444,$F$5:$F$1561)</f>
        <v/>
      </c>
      <c r="H1444" s="8" t="inlineStr"/>
      <c r="I1444" s="9">
        <f>IF(D1444="Private",E1444,"")</f>
        <v/>
      </c>
      <c r="J1444" s="9">
        <f>IF(D1444="Private",F1444,"")</f>
        <v/>
      </c>
    </row>
    <row r="1445">
      <c r="A1445" s="8" t="inlineStr">
        <is>
          <t>Philander Smith College</t>
        </is>
      </c>
      <c r="B1445" s="8" t="inlineStr">
        <is>
          <t>Little Rock</t>
        </is>
      </c>
      <c r="C1445" s="8" t="inlineStr">
        <is>
          <t>AR</t>
        </is>
      </c>
      <c r="D1445" s="8" t="inlineStr">
        <is>
          <t>Private</t>
        </is>
      </c>
      <c r="E1445" s="9" t="n">
        <v>14847</v>
      </c>
      <c r="F1445" s="9" t="n">
        <v>35537</v>
      </c>
      <c r="G1445" s="8">
        <f>RANK(F1445,$F$5:$F$1561)</f>
        <v/>
      </c>
      <c r="H1445" s="8" t="inlineStr"/>
      <c r="I1445" s="9">
        <f>IF(D1445="Private",E1445,"")</f>
        <v/>
      </c>
      <c r="J1445" s="9">
        <f>IF(D1445="Private",F1445,"")</f>
        <v/>
      </c>
    </row>
    <row r="1446">
      <c r="A1446" s="8" t="inlineStr">
        <is>
          <t>Indian River State College</t>
        </is>
      </c>
      <c r="B1446" s="8" t="inlineStr">
        <is>
          <t>Fort Pierce</t>
        </is>
      </c>
      <c r="C1446" s="8" t="inlineStr">
        <is>
          <t>FL</t>
        </is>
      </c>
      <c r="D1446" s="8" t="inlineStr">
        <is>
          <t>Public</t>
        </is>
      </c>
      <c r="E1446" s="9" t="n">
        <v>3966</v>
      </c>
      <c r="F1446" s="9" t="n">
        <v>35482</v>
      </c>
      <c r="G1446" s="8">
        <f>RANK(F1446,$F$5:$F$1561)</f>
        <v/>
      </c>
      <c r="H1446" s="8" t="inlineStr"/>
      <c r="I1446" s="9">
        <f>IF(D1446="Private",E1446,"")</f>
        <v/>
      </c>
      <c r="J1446" s="9">
        <f>IF(D1446="Private",F1446,"")</f>
        <v/>
      </c>
    </row>
    <row r="1447">
      <c r="A1447" s="8" t="inlineStr">
        <is>
          <t>Daytona State College</t>
        </is>
      </c>
      <c r="B1447" s="8" t="inlineStr">
        <is>
          <t>Daytona Beach</t>
        </is>
      </c>
      <c r="C1447" s="8" t="inlineStr">
        <is>
          <t>FL</t>
        </is>
      </c>
      <c r="D1447" s="8" t="inlineStr">
        <is>
          <t>Public</t>
        </is>
      </c>
      <c r="E1447" s="9" t="n">
        <v>8867</v>
      </c>
      <c r="F1447" s="9" t="n">
        <v>35443</v>
      </c>
      <c r="G1447" s="8">
        <f>RANK(F1447,$F$5:$F$1561)</f>
        <v/>
      </c>
      <c r="H1447" s="8" t="inlineStr"/>
      <c r="I1447" s="9">
        <f>IF(D1447="Private",E1447,"")</f>
        <v/>
      </c>
      <c r="J1447" s="9">
        <f>IF(D1447="Private",F1447,"")</f>
        <v/>
      </c>
    </row>
    <row r="1448">
      <c r="A1448" s="8" t="inlineStr">
        <is>
          <t>Claflin University</t>
        </is>
      </c>
      <c r="B1448" s="8" t="inlineStr">
        <is>
          <t>Orangeburg</t>
        </is>
      </c>
      <c r="C1448" s="8" t="inlineStr">
        <is>
          <t>SC</t>
        </is>
      </c>
      <c r="D1448" s="8" t="inlineStr">
        <is>
          <t>Private</t>
        </is>
      </c>
      <c r="E1448" s="9" t="n">
        <v>19308</v>
      </c>
      <c r="F1448" s="9" t="n">
        <v>35399</v>
      </c>
      <c r="G1448" s="8">
        <f>RANK(F1448,$F$5:$F$1561)</f>
        <v/>
      </c>
      <c r="H1448" s="8" t="inlineStr"/>
      <c r="I1448" s="9">
        <f>IF(D1448="Private",E1448,"")</f>
        <v/>
      </c>
      <c r="J1448" s="9">
        <f>IF(D1448="Private",F1448,"")</f>
        <v/>
      </c>
    </row>
    <row r="1449">
      <c r="A1449" s="8" t="inlineStr">
        <is>
          <t>South Georgia State College</t>
        </is>
      </c>
      <c r="B1449" s="8" t="inlineStr">
        <is>
          <t>Douglas</t>
        </is>
      </c>
      <c r="C1449" s="8" t="inlineStr">
        <is>
          <t>GA</t>
        </is>
      </c>
      <c r="D1449" s="8" t="inlineStr">
        <is>
          <t>Public</t>
        </is>
      </c>
      <c r="E1449" s="9" t="n">
        <v>8385</v>
      </c>
      <c r="F1449" s="9" t="n">
        <v>35294</v>
      </c>
      <c r="G1449" s="8">
        <f>RANK(F1449,$F$5:$F$1561)</f>
        <v/>
      </c>
      <c r="H1449" s="8" t="inlineStr"/>
      <c r="I1449" s="9">
        <f>IF(D1449="Private",E1449,"")</f>
        <v/>
      </c>
      <c r="J1449" s="9">
        <f>IF(D1449="Private",F1449,"")</f>
        <v/>
      </c>
    </row>
    <row r="1450">
      <c r="A1450" s="8" t="inlineStr">
        <is>
          <t>Villa Maria College</t>
        </is>
      </c>
      <c r="B1450" s="8" t="inlineStr">
        <is>
          <t>Buffalo</t>
        </is>
      </c>
      <c r="C1450" s="8" t="inlineStr">
        <is>
          <t>NY</t>
        </is>
      </c>
      <c r="D1450" s="8" t="inlineStr">
        <is>
          <t>Private</t>
        </is>
      </c>
      <c r="E1450" s="9" t="n">
        <v>13704</v>
      </c>
      <c r="F1450" s="9" t="n">
        <v>35285</v>
      </c>
      <c r="G1450" s="8">
        <f>RANK(F1450,$F$5:$F$1561)</f>
        <v/>
      </c>
      <c r="H1450" s="8" t="inlineStr"/>
      <c r="I1450" s="9">
        <f>IF(D1450="Private",E1450,"")</f>
        <v/>
      </c>
      <c r="J1450" s="9">
        <f>IF(D1450="Private",F1450,"")</f>
        <v/>
      </c>
    </row>
    <row r="1451">
      <c r="A1451" s="8" t="inlineStr">
        <is>
          <t>College of Coastal Georgia</t>
        </is>
      </c>
      <c r="B1451" s="8" t="inlineStr">
        <is>
          <t>Brunswick</t>
        </is>
      </c>
      <c r="C1451" s="8" t="inlineStr">
        <is>
          <t>GA</t>
        </is>
      </c>
      <c r="D1451" s="8" t="inlineStr">
        <is>
          <t>Public</t>
        </is>
      </c>
      <c r="E1451" s="9" t="n">
        <v>13258</v>
      </c>
      <c r="F1451" s="9" t="n">
        <v>35266</v>
      </c>
      <c r="G1451" s="8">
        <f>RANK(F1451,$F$5:$F$1561)</f>
        <v/>
      </c>
      <c r="H1451" s="8" t="inlineStr"/>
      <c r="I1451" s="9">
        <f>IF(D1451="Private",E1451,"")</f>
        <v/>
      </c>
      <c r="J1451" s="9">
        <f>IF(D1451="Private",F1451,"")</f>
        <v/>
      </c>
    </row>
    <row r="1452">
      <c r="A1452" s="8" t="inlineStr">
        <is>
          <t>University of Arkansas at Monticello</t>
        </is>
      </c>
      <c r="B1452" s="8" t="inlineStr">
        <is>
          <t>Monticello</t>
        </is>
      </c>
      <c r="C1452" s="8" t="inlineStr">
        <is>
          <t>AR</t>
        </is>
      </c>
      <c r="D1452" s="8" t="inlineStr">
        <is>
          <t>Public</t>
        </is>
      </c>
      <c r="E1452" s="9" t="n">
        <v>12907</v>
      </c>
      <c r="F1452" s="9" t="n">
        <v>35216</v>
      </c>
      <c r="G1452" s="8">
        <f>RANK(F1452,$F$5:$F$1561)</f>
        <v/>
      </c>
      <c r="H1452" s="8" t="inlineStr"/>
      <c r="I1452" s="9">
        <f>IF(D1452="Private",E1452,"")</f>
        <v/>
      </c>
      <c r="J1452" s="9">
        <f>IF(D1452="Private",F1452,"")</f>
        <v/>
      </c>
    </row>
    <row r="1453">
      <c r="A1453" s="8" t="inlineStr">
        <is>
          <t>Hobe Sound Bible College</t>
        </is>
      </c>
      <c r="B1453" s="8" t="inlineStr">
        <is>
          <t>Hobe Sound</t>
        </is>
      </c>
      <c r="C1453" s="8" t="inlineStr">
        <is>
          <t>FL</t>
        </is>
      </c>
      <c r="D1453" s="8" t="inlineStr">
        <is>
          <t>Private</t>
        </is>
      </c>
      <c r="E1453" s="9" t="n">
        <v>9773</v>
      </c>
      <c r="F1453" s="9" t="n">
        <v>35106</v>
      </c>
      <c r="G1453" s="8">
        <f>RANK(F1453,$F$5:$F$1561)</f>
        <v/>
      </c>
      <c r="H1453" s="8" t="inlineStr"/>
      <c r="I1453" s="9">
        <f>IF(D1453="Private",E1453,"")</f>
        <v/>
      </c>
      <c r="J1453" s="9">
        <f>IF(D1453="Private",F1453,"")</f>
        <v/>
      </c>
    </row>
    <row r="1454">
      <c r="A1454" s="8" t="inlineStr">
        <is>
          <t>Warren Wilson College</t>
        </is>
      </c>
      <c r="B1454" s="8" t="inlineStr">
        <is>
          <t>Swannanoa</t>
        </is>
      </c>
      <c r="C1454" s="8" t="inlineStr">
        <is>
          <t>NC</t>
        </is>
      </c>
      <c r="D1454" s="8" t="inlineStr">
        <is>
          <t>Private</t>
        </is>
      </c>
      <c r="E1454" s="9" t="n">
        <v>25279</v>
      </c>
      <c r="F1454" s="9" t="n">
        <v>35087</v>
      </c>
      <c r="G1454" s="8">
        <f>RANK(F1454,$F$5:$F$1561)</f>
        <v/>
      </c>
      <c r="H1454" s="8" t="inlineStr"/>
      <c r="I1454" s="9">
        <f>IF(D1454="Private",E1454,"")</f>
        <v/>
      </c>
      <c r="J1454" s="9">
        <f>IF(D1454="Private",F1454,"")</f>
        <v/>
      </c>
    </row>
    <row r="1455">
      <c r="A1455" s="8" t="inlineStr">
        <is>
          <t>Grambling State University</t>
        </is>
      </c>
      <c r="B1455" s="8" t="inlineStr">
        <is>
          <t>Grambling</t>
        </is>
      </c>
      <c r="C1455" s="8" t="inlineStr">
        <is>
          <t>LA</t>
        </is>
      </c>
      <c r="D1455" s="8" t="inlineStr">
        <is>
          <t>Public</t>
        </is>
      </c>
      <c r="E1455" s="9" t="n">
        <v>17157</v>
      </c>
      <c r="F1455" s="9" t="n">
        <v>35049</v>
      </c>
      <c r="G1455" s="8">
        <f>RANK(F1455,$F$5:$F$1561)</f>
        <v/>
      </c>
      <c r="H1455" s="8" t="inlineStr"/>
      <c r="I1455" s="9">
        <f>IF(D1455="Private",E1455,"")</f>
        <v/>
      </c>
      <c r="J1455" s="9">
        <f>IF(D1455="Private",F1455,"")</f>
        <v/>
      </c>
    </row>
    <row r="1456">
      <c r="A1456" s="8" t="inlineStr">
        <is>
          <t>Blue Mountain Christian University</t>
        </is>
      </c>
      <c r="B1456" s="8" t="inlineStr">
        <is>
          <t>Blue Mountain</t>
        </is>
      </c>
      <c r="C1456" s="8" t="inlineStr">
        <is>
          <t>MS</t>
        </is>
      </c>
      <c r="D1456" s="8" t="inlineStr">
        <is>
          <t>Private</t>
        </is>
      </c>
      <c r="E1456" s="9" t="n">
        <v>16056</v>
      </c>
      <c r="F1456" s="9" t="n">
        <v>34994</v>
      </c>
      <c r="G1456" s="8">
        <f>RANK(F1456,$F$5:$F$1561)</f>
        <v/>
      </c>
      <c r="H1456" s="8" t="inlineStr"/>
      <c r="I1456" s="9">
        <f>IF(D1456="Private",E1456,"")</f>
        <v/>
      </c>
      <c r="J1456" s="9">
        <f>IF(D1456="Private",F1456,"")</f>
        <v/>
      </c>
    </row>
    <row r="1457">
      <c r="A1457" s="8" t="inlineStr">
        <is>
          <t>University of Arkansas at Pine Bluff</t>
        </is>
      </c>
      <c r="B1457" s="8" t="inlineStr">
        <is>
          <t>Pine Bluff</t>
        </is>
      </c>
      <c r="C1457" s="8" t="inlineStr">
        <is>
          <t>AR</t>
        </is>
      </c>
      <c r="D1457" s="8" t="inlineStr">
        <is>
          <t>Public</t>
        </is>
      </c>
      <c r="E1457" s="9" t="n">
        <v>10542</v>
      </c>
      <c r="F1457" s="9" t="n">
        <v>34777</v>
      </c>
      <c r="G1457" s="8">
        <f>RANK(F1457,$F$5:$F$1561)</f>
        <v/>
      </c>
      <c r="H1457" s="8" t="inlineStr"/>
      <c r="I1457" s="9">
        <f>IF(D1457="Private",E1457,"")</f>
        <v/>
      </c>
      <c r="J1457" s="9">
        <f>IF(D1457="Private",F1457,"")</f>
        <v/>
      </c>
    </row>
    <row r="1458">
      <c r="A1458" s="8" t="inlineStr">
        <is>
          <t>Southern University at New Orleans</t>
        </is>
      </c>
      <c r="B1458" s="8" t="inlineStr">
        <is>
          <t>New Orleans</t>
        </is>
      </c>
      <c r="C1458" s="8" t="inlineStr">
        <is>
          <t>LA</t>
        </is>
      </c>
      <c r="D1458" s="8" t="inlineStr">
        <is>
          <t>Public</t>
        </is>
      </c>
      <c r="E1458" s="9" t="n">
        <v>14301</v>
      </c>
      <c r="F1458" s="9" t="n">
        <v>34667</v>
      </c>
      <c r="G1458" s="8">
        <f>RANK(F1458,$F$5:$F$1561)</f>
        <v/>
      </c>
      <c r="H1458" s="8" t="inlineStr"/>
      <c r="I1458" s="9">
        <f>IF(D1458="Private",E1458,"")</f>
        <v/>
      </c>
      <c r="J1458" s="9">
        <f>IF(D1458="Private",F1458,"")</f>
        <v/>
      </c>
    </row>
    <row r="1459">
      <c r="A1459" s="8" t="inlineStr">
        <is>
          <t>University of Guam</t>
        </is>
      </c>
      <c r="B1459" s="8" t="inlineStr">
        <is>
          <t>Mangilao</t>
        </is>
      </c>
      <c r="C1459" s="8" t="inlineStr">
        <is>
          <t>GU</t>
        </is>
      </c>
      <c r="D1459" s="8" t="inlineStr">
        <is>
          <t>Public</t>
        </is>
      </c>
      <c r="E1459" s="9" t="n">
        <v>8844</v>
      </c>
      <c r="F1459" s="9" t="n">
        <v>34656</v>
      </c>
      <c r="G1459" s="8">
        <f>RANK(F1459,$F$5:$F$1561)</f>
        <v/>
      </c>
      <c r="H1459" s="8" t="inlineStr"/>
      <c r="I1459" s="9">
        <f>IF(D1459="Private",E1459,"")</f>
        <v/>
      </c>
      <c r="J1459" s="9">
        <f>IF(D1459="Private",F1459,"")</f>
        <v/>
      </c>
    </row>
    <row r="1460">
      <c r="A1460" s="8" t="inlineStr">
        <is>
          <t>Hodges University</t>
        </is>
      </c>
      <c r="B1460" s="8" t="inlineStr">
        <is>
          <t>Fort Myers</t>
        </is>
      </c>
      <c r="C1460" s="8" t="inlineStr">
        <is>
          <t>FL</t>
        </is>
      </c>
      <c r="D1460" s="8" t="inlineStr">
        <is>
          <t>Private</t>
        </is>
      </c>
      <c r="E1460" s="9" t="n">
        <v>19624</v>
      </c>
      <c r="F1460" s="9" t="n">
        <v>34585</v>
      </c>
      <c r="G1460" s="8">
        <f>RANK(F1460,$F$5:$F$1561)</f>
        <v/>
      </c>
      <c r="H1460" s="8" t="inlineStr"/>
      <c r="I1460" s="9">
        <f>IF(D1460="Private",E1460,"")</f>
        <v/>
      </c>
      <c r="J1460" s="9">
        <f>IF(D1460="Private",F1460,"")</f>
        <v/>
      </c>
    </row>
    <row r="1461">
      <c r="A1461" s="8" t="inlineStr">
        <is>
          <t>Alcorn State University</t>
        </is>
      </c>
      <c r="B1461" s="8" t="inlineStr">
        <is>
          <t>Alcorn State</t>
        </is>
      </c>
      <c r="C1461" s="8" t="inlineStr">
        <is>
          <t>MS</t>
        </is>
      </c>
      <c r="D1461" s="8" t="inlineStr">
        <is>
          <t>Public</t>
        </is>
      </c>
      <c r="E1461" s="9" t="n">
        <v>16206</v>
      </c>
      <c r="F1461" s="9" t="n">
        <v>34492</v>
      </c>
      <c r="G1461" s="8">
        <f>RANK(F1461,$F$5:$F$1561)</f>
        <v/>
      </c>
      <c r="H1461" s="8" t="inlineStr"/>
      <c r="I1461" s="9">
        <f>IF(D1461="Private",E1461,"")</f>
        <v/>
      </c>
      <c r="J1461" s="9">
        <f>IF(D1461="Private",F1461,"")</f>
        <v/>
      </c>
    </row>
    <row r="1462">
      <c r="A1462" s="8" t="inlineStr">
        <is>
          <t>Florida Gateway College</t>
        </is>
      </c>
      <c r="B1462" s="8" t="inlineStr">
        <is>
          <t>Lake City</t>
        </is>
      </c>
      <c r="C1462" s="8" t="inlineStr">
        <is>
          <t>FL</t>
        </is>
      </c>
      <c r="D1462" s="8" t="inlineStr">
        <is>
          <t>Public</t>
        </is>
      </c>
      <c r="E1462" s="9" t="n">
        <v>1494</v>
      </c>
      <c r="F1462" s="9" t="n">
        <v>34395</v>
      </c>
      <c r="G1462" s="8">
        <f>RANK(F1462,$F$5:$F$1561)</f>
        <v/>
      </c>
      <c r="H1462" s="8" t="inlineStr"/>
      <c r="I1462" s="9">
        <f>IF(D1462="Private",E1462,"")</f>
        <v/>
      </c>
      <c r="J1462" s="9">
        <f>IF(D1462="Private",F1462,"")</f>
        <v/>
      </c>
    </row>
    <row r="1463">
      <c r="A1463" s="8" t="inlineStr">
        <is>
          <t>Boricua College</t>
        </is>
      </c>
      <c r="B1463" s="8" t="inlineStr">
        <is>
          <t>New York</t>
        </is>
      </c>
      <c r="C1463" s="8" t="inlineStr">
        <is>
          <t>NY</t>
        </is>
      </c>
      <c r="D1463" s="8" t="inlineStr">
        <is>
          <t>Private</t>
        </is>
      </c>
      <c r="E1463" s="9" t="n">
        <v>13499</v>
      </c>
      <c r="F1463" s="9" t="n">
        <v>34334</v>
      </c>
      <c r="G1463" s="8">
        <f>RANK(F1463,$F$5:$F$1561)</f>
        <v/>
      </c>
      <c r="H1463" s="8" t="inlineStr"/>
      <c r="I1463" s="9">
        <f>IF(D1463="Private",E1463,"")</f>
        <v/>
      </c>
      <c r="J1463" s="9">
        <f>IF(D1463="Private",F1463,"")</f>
        <v/>
      </c>
    </row>
    <row r="1464">
      <c r="A1464" s="8" t="inlineStr">
        <is>
          <t>Herzing University-Madison</t>
        </is>
      </c>
      <c r="B1464" s="8" t="inlineStr">
        <is>
          <t>Madison</t>
        </is>
      </c>
      <c r="C1464" s="8" t="inlineStr">
        <is>
          <t>WI</t>
        </is>
      </c>
      <c r="D1464" s="8" t="inlineStr">
        <is>
          <t>Private</t>
        </is>
      </c>
      <c r="E1464" s="9" t="n">
        <v>25849</v>
      </c>
      <c r="F1464" s="9" t="n">
        <v>34238</v>
      </c>
      <c r="G1464" s="8">
        <f>RANK(F1464,$F$5:$F$1561)</f>
        <v/>
      </c>
      <c r="H1464" s="8" t="inlineStr"/>
      <c r="I1464" s="9">
        <f>IF(D1464="Private",E1464,"")</f>
        <v/>
      </c>
      <c r="J1464" s="9">
        <f>IF(D1464="Private",F1464,"")</f>
        <v/>
      </c>
    </row>
    <row r="1465">
      <c r="A1465" s="8" t="inlineStr">
        <is>
          <t>Herzing University-Atlanta</t>
        </is>
      </c>
      <c r="B1465" s="8" t="inlineStr">
        <is>
          <t>Atlanta</t>
        </is>
      </c>
      <c r="C1465" s="8" t="inlineStr">
        <is>
          <t>GA</t>
        </is>
      </c>
      <c r="D1465" s="8" t="inlineStr">
        <is>
          <t>Private</t>
        </is>
      </c>
      <c r="E1465" s="9" t="n">
        <v>23616</v>
      </c>
      <c r="F1465" s="9" t="n">
        <v>34238</v>
      </c>
      <c r="G1465" s="8">
        <f>RANK(F1465,$F$5:$F$1561)</f>
        <v/>
      </c>
      <c r="H1465" s="8" t="inlineStr"/>
      <c r="I1465" s="9">
        <f>IF(D1465="Private",E1465,"")</f>
        <v/>
      </c>
      <c r="J1465" s="9">
        <f>IF(D1465="Private",F1465,"")</f>
        <v/>
      </c>
    </row>
    <row r="1466">
      <c r="A1466" s="8" t="inlineStr">
        <is>
          <t>Herzing University-New Orleans</t>
        </is>
      </c>
      <c r="B1466" s="8" t="inlineStr">
        <is>
          <t>Metairie</t>
        </is>
      </c>
      <c r="C1466" s="8" t="inlineStr">
        <is>
          <t>LA</t>
        </is>
      </c>
      <c r="D1466" s="8" t="inlineStr">
        <is>
          <t>Private</t>
        </is>
      </c>
      <c r="E1466" s="9" t="n">
        <v>24916</v>
      </c>
      <c r="F1466" s="9" t="n">
        <v>34238</v>
      </c>
      <c r="G1466" s="8">
        <f>RANK(F1466,$F$5:$F$1561)</f>
        <v/>
      </c>
      <c r="H1466" s="8" t="inlineStr"/>
      <c r="I1466" s="9">
        <f>IF(D1466="Private",E1466,"")</f>
        <v/>
      </c>
      <c r="J1466" s="9">
        <f>IF(D1466="Private",F1466,"")</f>
        <v/>
      </c>
    </row>
    <row r="1467">
      <c r="A1467" s="8" t="inlineStr">
        <is>
          <t>Herzing University-Akron</t>
        </is>
      </c>
      <c r="B1467" s="8" t="inlineStr">
        <is>
          <t>Akron</t>
        </is>
      </c>
      <c r="C1467" s="8" t="inlineStr">
        <is>
          <t>OH</t>
        </is>
      </c>
      <c r="D1467" s="8" t="inlineStr">
        <is>
          <t>Private</t>
        </is>
      </c>
      <c r="E1467" s="9" t="n">
        <v>24165</v>
      </c>
      <c r="F1467" s="9" t="n">
        <v>34238</v>
      </c>
      <c r="G1467" s="8">
        <f>RANK(F1467,$F$5:$F$1561)</f>
        <v/>
      </c>
      <c r="H1467" s="8" t="inlineStr"/>
      <c r="I1467" s="9">
        <f>IF(D1467="Private",E1467,"")</f>
        <v/>
      </c>
      <c r="J1467" s="9">
        <f>IF(D1467="Private",F1467,"")</f>
        <v/>
      </c>
    </row>
    <row r="1468">
      <c r="A1468" s="8" t="inlineStr">
        <is>
          <t>Stillman College</t>
        </is>
      </c>
      <c r="B1468" s="8" t="inlineStr">
        <is>
          <t>Tuscaloosa</t>
        </is>
      </c>
      <c r="C1468" s="8" t="inlineStr">
        <is>
          <t>AL</t>
        </is>
      </c>
      <c r="D1468" s="8" t="inlineStr">
        <is>
          <t>Private</t>
        </is>
      </c>
      <c r="E1468" s="9" t="n">
        <v>17127</v>
      </c>
      <c r="F1468" s="9" t="n">
        <v>34087</v>
      </c>
      <c r="G1468" s="8">
        <f>RANK(F1468,$F$5:$F$1561)</f>
        <v/>
      </c>
      <c r="H1468" s="8" t="inlineStr"/>
      <c r="I1468" s="9">
        <f>IF(D1468="Private",E1468,"")</f>
        <v/>
      </c>
      <c r="J1468" s="9">
        <f>IF(D1468="Private",F1468,"")</f>
        <v/>
      </c>
    </row>
    <row r="1469">
      <c r="A1469" s="8" t="inlineStr">
        <is>
          <t>Shaw University</t>
        </is>
      </c>
      <c r="B1469" s="8" t="inlineStr">
        <is>
          <t>Raleigh</t>
        </is>
      </c>
      <c r="C1469" s="8" t="inlineStr">
        <is>
          <t>NC</t>
        </is>
      </c>
      <c r="D1469" s="8" t="inlineStr">
        <is>
          <t>Private</t>
        </is>
      </c>
      <c r="E1469" s="9" t="n">
        <v>15543</v>
      </c>
      <c r="F1469" s="9" t="n">
        <v>34084</v>
      </c>
      <c r="G1469" s="8">
        <f>RANK(F1469,$F$5:$F$1561)</f>
        <v/>
      </c>
      <c r="H1469" s="8" t="inlineStr"/>
      <c r="I1469" s="9">
        <f>IF(D1469="Private",E1469,"")</f>
        <v/>
      </c>
      <c r="J1469" s="9">
        <f>IF(D1469="Private",F1469,"")</f>
        <v/>
      </c>
    </row>
    <row r="1470">
      <c r="A1470" s="8" t="inlineStr">
        <is>
          <t>Abraham Baldwin Agricultural College</t>
        </is>
      </c>
      <c r="B1470" s="8" t="inlineStr">
        <is>
          <t>Tifton</t>
        </is>
      </c>
      <c r="C1470" s="8" t="inlineStr">
        <is>
          <t>GA</t>
        </is>
      </c>
      <c r="D1470" s="8" t="inlineStr">
        <is>
          <t>Public</t>
        </is>
      </c>
      <c r="E1470" s="9" t="n">
        <v>7203</v>
      </c>
      <c r="F1470" s="9" t="n">
        <v>34083</v>
      </c>
      <c r="G1470" s="8">
        <f>RANK(F1470,$F$5:$F$1561)</f>
        <v/>
      </c>
      <c r="H1470" s="8" t="inlineStr"/>
      <c r="I1470" s="9">
        <f>IF(D1470="Private",E1470,"")</f>
        <v/>
      </c>
      <c r="J1470" s="9">
        <f>IF(D1470="Private",F1470,"")</f>
        <v/>
      </c>
    </row>
    <row r="1471">
      <c r="A1471" s="8" t="inlineStr">
        <is>
          <t>Mid-Atlantic Christian University</t>
        </is>
      </c>
      <c r="B1471" s="8" t="inlineStr">
        <is>
          <t>Elizabeth City</t>
        </is>
      </c>
      <c r="C1471" s="8" t="inlineStr">
        <is>
          <t>NC</t>
        </is>
      </c>
      <c r="D1471" s="8" t="inlineStr">
        <is>
          <t>Private</t>
        </is>
      </c>
      <c r="E1471" s="9" t="n">
        <v>22645</v>
      </c>
      <c r="F1471" s="9" t="n">
        <v>34058</v>
      </c>
      <c r="G1471" s="8">
        <f>RANK(F1471,$F$5:$F$1561)</f>
        <v/>
      </c>
      <c r="H1471" s="8" t="inlineStr"/>
      <c r="I1471" s="9">
        <f>IF(D1471="Private",E1471,"")</f>
        <v/>
      </c>
      <c r="J1471" s="9">
        <f>IF(D1471="Private",F1471,"")</f>
        <v/>
      </c>
    </row>
    <row r="1472">
      <c r="A1472" s="8" t="inlineStr">
        <is>
          <t>Lincoln College</t>
        </is>
      </c>
      <c r="B1472" s="8" t="inlineStr">
        <is>
          <t>Lincoln</t>
        </is>
      </c>
      <c r="C1472" s="8" t="inlineStr">
        <is>
          <t>IL</t>
        </is>
      </c>
      <c r="D1472" s="8" t="inlineStr">
        <is>
          <t>Private</t>
        </is>
      </c>
      <c r="E1472" s="9" t="n">
        <v>17541</v>
      </c>
      <c r="F1472" s="9" t="n">
        <v>34028</v>
      </c>
      <c r="G1472" s="8">
        <f>RANK(F1472,$F$5:$F$1561)</f>
        <v/>
      </c>
      <c r="H1472" s="8" t="inlineStr"/>
      <c r="I1472" s="9">
        <f>IF(D1472="Private",E1472,"")</f>
        <v/>
      </c>
      <c r="J1472" s="9">
        <f>IF(D1472="Private",F1472,"")</f>
        <v/>
      </c>
    </row>
    <row r="1473">
      <c r="A1473" s="8" t="inlineStr">
        <is>
          <t>Alabama State University</t>
        </is>
      </c>
      <c r="B1473" s="8" t="inlineStr">
        <is>
          <t>Montgomery</t>
        </is>
      </c>
      <c r="C1473" s="8" t="inlineStr">
        <is>
          <t>AL</t>
        </is>
      </c>
      <c r="D1473" s="8" t="inlineStr">
        <is>
          <t>Public</t>
        </is>
      </c>
      <c r="E1473" s="9" t="n">
        <v>13593</v>
      </c>
      <c r="F1473" s="9" t="n">
        <v>34018</v>
      </c>
      <c r="G1473" s="8">
        <f>RANK(F1473,$F$5:$F$1561)</f>
        <v/>
      </c>
      <c r="H1473" s="8" t="inlineStr"/>
      <c r="I1473" s="9">
        <f>IF(D1473="Private",E1473,"")</f>
        <v/>
      </c>
      <c r="J1473" s="9">
        <f>IF(D1473="Private",F1473,"")</f>
        <v/>
      </c>
    </row>
    <row r="1474">
      <c r="A1474" s="8" t="inlineStr">
        <is>
          <t>Langston University</t>
        </is>
      </c>
      <c r="B1474" s="8" t="inlineStr">
        <is>
          <t>Langston</t>
        </is>
      </c>
      <c r="C1474" s="8" t="inlineStr">
        <is>
          <t>OK</t>
        </is>
      </c>
      <c r="D1474" s="8" t="inlineStr">
        <is>
          <t>Public</t>
        </is>
      </c>
      <c r="E1474" s="9" t="n">
        <v>11951</v>
      </c>
      <c r="F1474" s="9" t="n">
        <v>33964</v>
      </c>
      <c r="G1474" s="8">
        <f>RANK(F1474,$F$5:$F$1561)</f>
        <v/>
      </c>
      <c r="H1474" s="8" t="inlineStr"/>
      <c r="I1474" s="9">
        <f>IF(D1474="Private",E1474,"")</f>
        <v/>
      </c>
      <c r="J1474" s="9">
        <f>IF(D1474="Private",F1474,"")</f>
        <v/>
      </c>
    </row>
    <row r="1475">
      <c r="A1475" s="8" t="inlineStr">
        <is>
          <t>Wiley College</t>
        </is>
      </c>
      <c r="B1475" s="8" t="inlineStr">
        <is>
          <t>Marshall</t>
        </is>
      </c>
      <c r="C1475" s="8" t="inlineStr">
        <is>
          <t>TX</t>
        </is>
      </c>
      <c r="D1475" s="8" t="inlineStr">
        <is>
          <t>Private</t>
        </is>
      </c>
      <c r="E1475" s="9" t="n">
        <v>9300</v>
      </c>
      <c r="F1475" s="9" t="n">
        <v>33749</v>
      </c>
      <c r="G1475" s="8">
        <f>RANK(F1475,$F$5:$F$1561)</f>
        <v/>
      </c>
      <c r="H1475" s="8" t="inlineStr"/>
      <c r="I1475" s="9">
        <f>IF(D1475="Private",E1475,"")</f>
        <v/>
      </c>
      <c r="J1475" s="9">
        <f>IF(D1475="Private",F1475,"")</f>
        <v/>
      </c>
    </row>
    <row r="1476">
      <c r="A1476" s="8" t="inlineStr">
        <is>
          <t>Atlanta Metropolitan State College</t>
        </is>
      </c>
      <c r="B1476" s="8" t="inlineStr">
        <is>
          <t>Atlanta</t>
        </is>
      </c>
      <c r="C1476" s="8" t="inlineStr">
        <is>
          <t>GA</t>
        </is>
      </c>
      <c r="D1476" s="8" t="inlineStr">
        <is>
          <t>Public</t>
        </is>
      </c>
      <c r="E1476" s="9" t="n">
        <v>6649</v>
      </c>
      <c r="F1476" s="9" t="n">
        <v>33501</v>
      </c>
      <c r="G1476" s="8">
        <f>RANK(F1476,$F$5:$F$1561)</f>
        <v/>
      </c>
      <c r="H1476" s="8" t="inlineStr"/>
      <c r="I1476" s="9">
        <f>IF(D1476="Private",E1476,"")</f>
        <v/>
      </c>
      <c r="J1476" s="9">
        <f>IF(D1476="Private",F1476,"")</f>
        <v/>
      </c>
    </row>
    <row r="1477">
      <c r="A1477" s="8" t="inlineStr">
        <is>
          <t>Central State University</t>
        </is>
      </c>
      <c r="B1477" s="8" t="inlineStr">
        <is>
          <t>Wilberforce</t>
        </is>
      </c>
      <c r="C1477" s="8" t="inlineStr">
        <is>
          <t>OH</t>
        </is>
      </c>
      <c r="D1477" s="8" t="inlineStr">
        <is>
          <t>Public</t>
        </is>
      </c>
      <c r="E1477" s="9" t="n">
        <v>12617</v>
      </c>
      <c r="F1477" s="9" t="n">
        <v>33476</v>
      </c>
      <c r="G1477" s="8">
        <f>RANK(F1477,$F$5:$F$1561)</f>
        <v/>
      </c>
      <c r="H1477" s="8" t="inlineStr"/>
      <c r="I1477" s="9">
        <f>IF(D1477="Private",E1477,"")</f>
        <v/>
      </c>
      <c r="J1477" s="9">
        <f>IF(D1477="Private",F1477,"")</f>
        <v/>
      </c>
    </row>
    <row r="1478">
      <c r="A1478" s="8" t="inlineStr">
        <is>
          <t>Baker College</t>
        </is>
      </c>
      <c r="B1478" s="8" t="inlineStr">
        <is>
          <t>Owosso</t>
        </is>
      </c>
      <c r="C1478" s="8" t="inlineStr">
        <is>
          <t>MI</t>
        </is>
      </c>
      <c r="D1478" s="8" t="inlineStr">
        <is>
          <t>Private</t>
        </is>
      </c>
      <c r="E1478" s="9" t="n">
        <v>14160</v>
      </c>
      <c r="F1478" s="9" t="n">
        <v>33440</v>
      </c>
      <c r="G1478" s="8">
        <f>RANK(F1478,$F$5:$F$1561)</f>
        <v/>
      </c>
      <c r="H1478" s="8" t="inlineStr"/>
      <c r="I1478" s="9">
        <f>IF(D1478="Private",E1478,"")</f>
        <v/>
      </c>
      <c r="J1478" s="9">
        <f>IF(D1478="Private",F1478,"")</f>
        <v/>
      </c>
    </row>
    <row r="1479">
      <c r="A1479" s="8" t="inlineStr">
        <is>
          <t>Harris-Stowe State University</t>
        </is>
      </c>
      <c r="B1479" s="8" t="inlineStr">
        <is>
          <t>Saint Louis</t>
        </is>
      </c>
      <c r="C1479" s="8" t="inlineStr">
        <is>
          <t>MO</t>
        </is>
      </c>
      <c r="D1479" s="8" t="inlineStr">
        <is>
          <t>Public</t>
        </is>
      </c>
      <c r="E1479" s="9" t="n">
        <v>11570</v>
      </c>
      <c r="F1479" s="9" t="n">
        <v>33234</v>
      </c>
      <c r="G1479" s="8">
        <f>RANK(F1479,$F$5:$F$1561)</f>
        <v/>
      </c>
      <c r="H1479" s="8" t="inlineStr"/>
      <c r="I1479" s="9">
        <f>IF(D1479="Private",E1479,"")</f>
        <v/>
      </c>
      <c r="J1479" s="9">
        <f>IF(D1479="Private",F1479,"")</f>
        <v/>
      </c>
    </row>
    <row r="1480">
      <c r="A1480" s="8" t="inlineStr">
        <is>
          <t>Berklee College of Music</t>
        </is>
      </c>
      <c r="B1480" s="8" t="inlineStr">
        <is>
          <t>Boston</t>
        </is>
      </c>
      <c r="C1480" s="8" t="inlineStr">
        <is>
          <t>MA</t>
        </is>
      </c>
      <c r="D1480" s="8" t="inlineStr">
        <is>
          <t>Private</t>
        </is>
      </c>
      <c r="E1480" s="9" t="n">
        <v>45467</v>
      </c>
      <c r="F1480" s="9" t="n">
        <v>33059</v>
      </c>
      <c r="G1480" s="8">
        <f>RANK(F1480,$F$5:$F$1561)</f>
        <v/>
      </c>
      <c r="H1480" s="8" t="inlineStr"/>
      <c r="I1480" s="9">
        <f>IF(D1480="Private",E1480,"")</f>
        <v/>
      </c>
      <c r="J1480" s="9">
        <f>IF(D1480="Private",F1480,"")</f>
        <v/>
      </c>
    </row>
    <row r="1481">
      <c r="A1481" s="8" t="inlineStr">
        <is>
          <t>Arlington Baptist University</t>
        </is>
      </c>
      <c r="B1481" s="8" t="inlineStr">
        <is>
          <t>Arlington</t>
        </is>
      </c>
      <c r="C1481" s="8" t="inlineStr">
        <is>
          <t>TX</t>
        </is>
      </c>
      <c r="D1481" s="8" t="inlineStr">
        <is>
          <t>Private</t>
        </is>
      </c>
      <c r="E1481" s="9" t="n">
        <v>24513</v>
      </c>
      <c r="F1481" s="9" t="n">
        <v>32900</v>
      </c>
      <c r="G1481" s="8">
        <f>RANK(F1481,$F$5:$F$1561)</f>
        <v/>
      </c>
      <c r="H1481" s="8" t="inlineStr"/>
      <c r="I1481" s="9">
        <f>IF(D1481="Private",E1481,"")</f>
        <v/>
      </c>
      <c r="J1481" s="9">
        <f>IF(D1481="Private",F1481,"")</f>
        <v/>
      </c>
    </row>
    <row r="1482">
      <c r="A1482" s="8" t="inlineStr">
        <is>
          <t>West Virginia University at Parkersburg</t>
        </is>
      </c>
      <c r="B1482" s="8" t="inlineStr">
        <is>
          <t>Parkersburg</t>
        </is>
      </c>
      <c r="C1482" s="8" t="inlineStr">
        <is>
          <t>WV</t>
        </is>
      </c>
      <c r="D1482" s="8" t="inlineStr">
        <is>
          <t>Public</t>
        </is>
      </c>
      <c r="E1482" s="9" t="n">
        <v>8407</v>
      </c>
      <c r="F1482" s="9" t="n">
        <v>32799</v>
      </c>
      <c r="G1482" s="8">
        <f>RANK(F1482,$F$5:$F$1561)</f>
        <v/>
      </c>
      <c r="H1482" s="8" t="inlineStr"/>
      <c r="I1482" s="9">
        <f>IF(D1482="Private",E1482,"")</f>
        <v/>
      </c>
      <c r="J1482" s="9">
        <f>IF(D1482="Private",F1482,"")</f>
        <v/>
      </c>
    </row>
    <row r="1483">
      <c r="A1483" s="8" t="inlineStr">
        <is>
          <t>Baptist University of the Americas</t>
        </is>
      </c>
      <c r="B1483" s="8" t="inlineStr">
        <is>
          <t>San Antonio</t>
        </is>
      </c>
      <c r="C1483" s="8" t="inlineStr">
        <is>
          <t>TX</t>
        </is>
      </c>
      <c r="D1483" s="8" t="inlineStr">
        <is>
          <t>Private</t>
        </is>
      </c>
      <c r="E1483" s="9" t="n">
        <v>7740</v>
      </c>
      <c r="F1483" s="9" t="n">
        <v>32623</v>
      </c>
      <c r="G1483" s="8">
        <f>RANK(F1483,$F$5:$F$1561)</f>
        <v/>
      </c>
      <c r="H1483" s="8" t="inlineStr"/>
      <c r="I1483" s="9">
        <f>IF(D1483="Private",E1483,"")</f>
        <v/>
      </c>
      <c r="J1483" s="9">
        <f>IF(D1483="Private",F1483,"")</f>
        <v/>
      </c>
    </row>
    <row r="1484">
      <c r="A1484" s="8" t="inlineStr">
        <is>
          <t>University of Puerto Rico-Rio Piedras</t>
        </is>
      </c>
      <c r="B1484" s="8" t="inlineStr">
        <is>
          <t>San Juan</t>
        </is>
      </c>
      <c r="C1484" s="8" t="inlineStr">
        <is>
          <t>PR</t>
        </is>
      </c>
      <c r="D1484" s="8" t="inlineStr">
        <is>
          <t>Public</t>
        </is>
      </c>
      <c r="E1484" s="9" t="n">
        <v>8519</v>
      </c>
      <c r="F1484" s="9" t="n">
        <v>32393</v>
      </c>
      <c r="G1484" s="8">
        <f>RANK(F1484,$F$5:$F$1561)</f>
        <v/>
      </c>
      <c r="H1484" s="8" t="inlineStr"/>
      <c r="I1484" s="9">
        <f>IF(D1484="Private",E1484,"")</f>
        <v/>
      </c>
      <c r="J1484" s="9">
        <f>IF(D1484="Private",F1484,"")</f>
        <v/>
      </c>
    </row>
    <row r="1485">
      <c r="A1485" s="8" t="inlineStr">
        <is>
          <t>Paine College</t>
        </is>
      </c>
      <c r="B1485" s="8" t="inlineStr">
        <is>
          <t>Augusta</t>
        </is>
      </c>
      <c r="C1485" s="8" t="inlineStr">
        <is>
          <t>GA</t>
        </is>
      </c>
      <c r="D1485" s="8" t="inlineStr">
        <is>
          <t>Private</t>
        </is>
      </c>
      <c r="E1485" s="9" t="n">
        <v>10454</v>
      </c>
      <c r="F1485" s="9" t="n">
        <v>32374</v>
      </c>
      <c r="G1485" s="8">
        <f>RANK(F1485,$F$5:$F$1561)</f>
        <v/>
      </c>
      <c r="H1485" s="8" t="inlineStr"/>
      <c r="I1485" s="9">
        <f>IF(D1485="Private",E1485,"")</f>
        <v/>
      </c>
      <c r="J1485" s="9">
        <f>IF(D1485="Private",F1485,"")</f>
        <v/>
      </c>
    </row>
    <row r="1486">
      <c r="A1486" s="8" t="inlineStr">
        <is>
          <t>Livingstone College</t>
        </is>
      </c>
      <c r="B1486" s="8" t="inlineStr">
        <is>
          <t>Salisbury</t>
        </is>
      </c>
      <c r="C1486" s="8" t="inlineStr">
        <is>
          <t>NC</t>
        </is>
      </c>
      <c r="D1486" s="8" t="inlineStr">
        <is>
          <t>Private</t>
        </is>
      </c>
      <c r="E1486" s="9" t="n">
        <v>15440</v>
      </c>
      <c r="F1486" s="9" t="n">
        <v>32344</v>
      </c>
      <c r="G1486" s="8">
        <f>RANK(F1486,$F$5:$F$1561)</f>
        <v/>
      </c>
      <c r="H1486" s="8" t="inlineStr"/>
      <c r="I1486" s="9">
        <f>IF(D1486="Private",E1486,"")</f>
        <v/>
      </c>
      <c r="J1486" s="9">
        <f>IF(D1486="Private",F1486,"")</f>
        <v/>
      </c>
    </row>
    <row r="1487">
      <c r="A1487" s="8" t="inlineStr">
        <is>
          <t>St. Augustine College</t>
        </is>
      </c>
      <c r="B1487" s="8" t="inlineStr">
        <is>
          <t>Chicago</t>
        </is>
      </c>
      <c r="C1487" s="8" t="inlineStr">
        <is>
          <t>IL</t>
        </is>
      </c>
      <c r="D1487" s="8" t="inlineStr">
        <is>
          <t>Private</t>
        </is>
      </c>
      <c r="E1487" s="9" t="n">
        <v>15337</v>
      </c>
      <c r="F1487" s="9" t="n">
        <v>32284</v>
      </c>
      <c r="G1487" s="8">
        <f>RANK(F1487,$F$5:$F$1561)</f>
        <v/>
      </c>
      <c r="H1487" s="8" t="inlineStr"/>
      <c r="I1487" s="9">
        <f>IF(D1487="Private",E1487,"")</f>
        <v/>
      </c>
      <c r="J1487" s="9">
        <f>IF(D1487="Private",F1487,"")</f>
        <v/>
      </c>
    </row>
    <row r="1488">
      <c r="A1488" s="8" t="inlineStr">
        <is>
          <t>Kentucky Mountain Bible College</t>
        </is>
      </c>
      <c r="B1488" s="8" t="inlineStr">
        <is>
          <t>Jackson</t>
        </is>
      </c>
      <c r="C1488" s="8" t="inlineStr">
        <is>
          <t>KY</t>
        </is>
      </c>
      <c r="D1488" s="8" t="inlineStr">
        <is>
          <t>Private</t>
        </is>
      </c>
      <c r="E1488" s="9" t="n">
        <v>12460</v>
      </c>
      <c r="F1488" s="9" t="n">
        <v>32244</v>
      </c>
      <c r="G1488" s="8">
        <f>RANK(F1488,$F$5:$F$1561)</f>
        <v/>
      </c>
      <c r="H1488" s="8" t="inlineStr"/>
      <c r="I1488" s="9">
        <f>IF(D1488="Private",E1488,"")</f>
        <v/>
      </c>
      <c r="J1488" s="9">
        <f>IF(D1488="Private",F1488,"")</f>
        <v/>
      </c>
    </row>
    <row r="1489">
      <c r="A1489" s="8" t="inlineStr">
        <is>
          <t>Texas College</t>
        </is>
      </c>
      <c r="B1489" s="8" t="inlineStr">
        <is>
          <t>Tyler</t>
        </is>
      </c>
      <c r="C1489" s="8" t="inlineStr">
        <is>
          <t>TX</t>
        </is>
      </c>
      <c r="D1489" s="8" t="inlineStr">
        <is>
          <t>Private</t>
        </is>
      </c>
      <c r="E1489" s="9" t="n">
        <v>15539</v>
      </c>
      <c r="F1489" s="9" t="n">
        <v>32191</v>
      </c>
      <c r="G1489" s="8">
        <f>RANK(F1489,$F$5:$F$1561)</f>
        <v/>
      </c>
      <c r="H1489" s="8" t="inlineStr"/>
      <c r="I1489" s="9">
        <f>IF(D1489="Private",E1489,"")</f>
        <v/>
      </c>
      <c r="J1489" s="9">
        <f>IF(D1489="Private",F1489,"")</f>
        <v/>
      </c>
    </row>
    <row r="1490">
      <c r="A1490" s="8" t="inlineStr">
        <is>
          <t>College of the Atlantic</t>
        </is>
      </c>
      <c r="B1490" s="8" t="inlineStr">
        <is>
          <t>Bar Harbor</t>
        </is>
      </c>
      <c r="C1490" s="8" t="inlineStr">
        <is>
          <t>ME</t>
        </is>
      </c>
      <c r="D1490" s="8" t="inlineStr">
        <is>
          <t>Private</t>
        </is>
      </c>
      <c r="E1490" s="9" t="n">
        <v>22098</v>
      </c>
      <c r="F1490" s="9" t="n">
        <v>32077</v>
      </c>
      <c r="G1490" s="8">
        <f>RANK(F1490,$F$5:$F$1561)</f>
        <v/>
      </c>
      <c r="H1490" s="8" t="inlineStr"/>
      <c r="I1490" s="9">
        <f>IF(D1490="Private",E1490,"")</f>
        <v/>
      </c>
      <c r="J1490" s="9">
        <f>IF(D1490="Private",F1490,"")</f>
        <v/>
      </c>
    </row>
    <row r="1491">
      <c r="A1491" s="8" t="inlineStr">
        <is>
          <t>Great Lakes Christian College</t>
        </is>
      </c>
      <c r="B1491" s="8" t="inlineStr">
        <is>
          <t>Lansing</t>
        </is>
      </c>
      <c r="C1491" s="8" t="inlineStr">
        <is>
          <t>MI</t>
        </is>
      </c>
      <c r="D1491" s="8" t="inlineStr">
        <is>
          <t>Private</t>
        </is>
      </c>
      <c r="E1491" s="9" t="n">
        <v>17328</v>
      </c>
      <c r="F1491" s="9" t="n">
        <v>31899</v>
      </c>
      <c r="G1491" s="8">
        <f>RANK(F1491,$F$5:$F$1561)</f>
        <v/>
      </c>
      <c r="H1491" s="8" t="inlineStr"/>
      <c r="I1491" s="9">
        <f>IF(D1491="Private",E1491,"")</f>
        <v/>
      </c>
      <c r="J1491" s="9">
        <f>IF(D1491="Private",F1491,"")</f>
        <v/>
      </c>
    </row>
    <row r="1492">
      <c r="A1492" s="8" t="inlineStr">
        <is>
          <t>Benedict College</t>
        </is>
      </c>
      <c r="B1492" s="8" t="inlineStr">
        <is>
          <t>Columbia</t>
        </is>
      </c>
      <c r="C1492" s="8" t="inlineStr">
        <is>
          <t>SC</t>
        </is>
      </c>
      <c r="D1492" s="8" t="inlineStr">
        <is>
          <t>Private</t>
        </is>
      </c>
      <c r="E1492" s="9" t="n">
        <v>12157</v>
      </c>
      <c r="F1492" s="9" t="n">
        <v>31537</v>
      </c>
      <c r="G1492" s="8">
        <f>RANK(F1492,$F$5:$F$1561)</f>
        <v/>
      </c>
      <c r="H1492" s="8" t="inlineStr"/>
      <c r="I1492" s="9">
        <f>IF(D1492="Private",E1492,"")</f>
        <v/>
      </c>
      <c r="J1492" s="9">
        <f>IF(D1492="Private",F1492,"")</f>
        <v/>
      </c>
    </row>
    <row r="1493">
      <c r="A1493" s="8" t="inlineStr">
        <is>
          <t>Edward Waters University</t>
        </is>
      </c>
      <c r="B1493" s="8" t="inlineStr">
        <is>
          <t>Jacksonville</t>
        </is>
      </c>
      <c r="C1493" s="8" t="inlineStr">
        <is>
          <t>FL</t>
        </is>
      </c>
      <c r="D1493" s="8" t="inlineStr">
        <is>
          <t>Private</t>
        </is>
      </c>
      <c r="E1493" s="9" t="n">
        <v>13330</v>
      </c>
      <c r="F1493" s="9" t="n">
        <v>31453</v>
      </c>
      <c r="G1493" s="8">
        <f>RANK(F1493,$F$5:$F$1561)</f>
        <v/>
      </c>
      <c r="H1493" s="8" t="inlineStr"/>
      <c r="I1493" s="9">
        <f>IF(D1493="Private",E1493,"")</f>
        <v/>
      </c>
      <c r="J1493" s="9">
        <f>IF(D1493="Private",F1493,"")</f>
        <v/>
      </c>
    </row>
    <row r="1494">
      <c r="A1494" s="8" t="inlineStr">
        <is>
          <t>City College-Fort Lauderdale</t>
        </is>
      </c>
      <c r="B1494" s="8" t="inlineStr">
        <is>
          <t>Fort Lauderdale</t>
        </is>
      </c>
      <c r="C1494" s="8" t="inlineStr">
        <is>
          <t>FL</t>
        </is>
      </c>
      <c r="D1494" s="8" t="inlineStr">
        <is>
          <t>Private</t>
        </is>
      </c>
      <c r="E1494" s="9" t="n">
        <v>18592</v>
      </c>
      <c r="F1494" s="9" t="n">
        <v>31329</v>
      </c>
      <c r="G1494" s="8">
        <f>RANK(F1494,$F$5:$F$1561)</f>
        <v/>
      </c>
      <c r="H1494" s="8" t="inlineStr"/>
      <c r="I1494" s="9">
        <f>IF(D1494="Private",E1494,"")</f>
        <v/>
      </c>
      <c r="J1494" s="9">
        <f>IF(D1494="Private",F1494,"")</f>
        <v/>
      </c>
    </row>
    <row r="1495">
      <c r="A1495" s="8" t="inlineStr">
        <is>
          <t>City College-Gainesville</t>
        </is>
      </c>
      <c r="B1495" s="8" t="inlineStr">
        <is>
          <t>Gainesville</t>
        </is>
      </c>
      <c r="C1495" s="8" t="inlineStr">
        <is>
          <t>FL</t>
        </is>
      </c>
      <c r="D1495" s="8" t="inlineStr">
        <is>
          <t>Private</t>
        </is>
      </c>
      <c r="E1495" s="9" t="n">
        <v>19533</v>
      </c>
      <c r="F1495" s="9" t="n">
        <v>31329</v>
      </c>
      <c r="G1495" s="8">
        <f>RANK(F1495,$F$5:$F$1561)</f>
        <v/>
      </c>
      <c r="H1495" s="8" t="inlineStr"/>
      <c r="I1495" s="9">
        <f>IF(D1495="Private",E1495,"")</f>
        <v/>
      </c>
      <c r="J1495" s="9">
        <f>IF(D1495="Private",F1495,"")</f>
        <v/>
      </c>
    </row>
    <row r="1496">
      <c r="A1496" s="8" t="inlineStr">
        <is>
          <t>University of Puerto Rico-Bayamon</t>
        </is>
      </c>
      <c r="B1496" s="8" t="inlineStr">
        <is>
          <t>Bayamon</t>
        </is>
      </c>
      <c r="C1496" s="8" t="inlineStr">
        <is>
          <t>PR</t>
        </is>
      </c>
      <c r="D1496" s="8" t="inlineStr">
        <is>
          <t>Public</t>
        </is>
      </c>
      <c r="E1496" s="9" t="n">
        <v>7577</v>
      </c>
      <c r="F1496" s="9" t="n">
        <v>31302</v>
      </c>
      <c r="G1496" s="8">
        <f>RANK(F1496,$F$5:$F$1561)</f>
        <v/>
      </c>
      <c r="H1496" s="8" t="inlineStr"/>
      <c r="I1496" s="9">
        <f>IF(D1496="Private",E1496,"")</f>
        <v/>
      </c>
      <c r="J1496" s="9">
        <f>IF(D1496="Private",F1496,"")</f>
        <v/>
      </c>
    </row>
    <row r="1497">
      <c r="A1497" s="8" t="inlineStr">
        <is>
          <t>Lane College</t>
        </is>
      </c>
      <c r="B1497" s="8" t="inlineStr">
        <is>
          <t>Jackson</t>
        </is>
      </c>
      <c r="C1497" s="8" t="inlineStr">
        <is>
          <t>TN</t>
        </is>
      </c>
      <c r="D1497" s="8" t="inlineStr">
        <is>
          <t>Private</t>
        </is>
      </c>
      <c r="E1497" s="9" t="n">
        <v>14820</v>
      </c>
      <c r="F1497" s="9" t="n">
        <v>31297</v>
      </c>
      <c r="G1497" s="8">
        <f>RANK(F1497,$F$5:$F$1561)</f>
        <v/>
      </c>
      <c r="H1497" s="8" t="inlineStr"/>
      <c r="I1497" s="9">
        <f>IF(D1497="Private",E1497,"")</f>
        <v/>
      </c>
      <c r="J1497" s="9">
        <f>IF(D1497="Private",F1497,"")</f>
        <v/>
      </c>
    </row>
    <row r="1498">
      <c r="A1498" s="8" t="inlineStr">
        <is>
          <t>Le Moyne-Owen College</t>
        </is>
      </c>
      <c r="B1498" s="8" t="inlineStr">
        <is>
          <t>Memphis</t>
        </is>
      </c>
      <c r="C1498" s="8" t="inlineStr">
        <is>
          <t>TN</t>
        </is>
      </c>
      <c r="D1498" s="8" t="inlineStr">
        <is>
          <t>Private</t>
        </is>
      </c>
      <c r="E1498" s="9" t="n">
        <v>8702</v>
      </c>
      <c r="F1498" s="9" t="n">
        <v>31052</v>
      </c>
      <c r="G1498" s="8">
        <f>RANK(F1498,$F$5:$F$1561)</f>
        <v/>
      </c>
      <c r="H1498" s="8" t="inlineStr"/>
      <c r="I1498" s="9">
        <f>IF(D1498="Private",E1498,"")</f>
        <v/>
      </c>
      <c r="J1498" s="9">
        <f>IF(D1498="Private",F1498,"")</f>
        <v/>
      </c>
    </row>
    <row r="1499">
      <c r="A1499" s="8" t="inlineStr">
        <is>
          <t>Oak Hills Christian College</t>
        </is>
      </c>
      <c r="B1499" s="8" t="inlineStr">
        <is>
          <t>Bemidji</t>
        </is>
      </c>
      <c r="C1499" s="8" t="inlineStr">
        <is>
          <t>MN</t>
        </is>
      </c>
      <c r="D1499" s="8" t="inlineStr">
        <is>
          <t>Private</t>
        </is>
      </c>
      <c r="E1499" s="9" t="n">
        <v>20122</v>
      </c>
      <c r="F1499" s="9" t="n">
        <v>31021</v>
      </c>
      <c r="G1499" s="8">
        <f>RANK(F1499,$F$5:$F$1561)</f>
        <v/>
      </c>
      <c r="H1499" s="8" t="inlineStr"/>
      <c r="I1499" s="9">
        <f>IF(D1499="Private",E1499,"")</f>
        <v/>
      </c>
      <c r="J1499" s="9">
        <f>IF(D1499="Private",F1499,"")</f>
        <v/>
      </c>
    </row>
    <row r="1500">
      <c r="A1500" s="8" t="inlineStr">
        <is>
          <t>Donnelly College</t>
        </is>
      </c>
      <c r="B1500" s="8" t="inlineStr">
        <is>
          <t>Kansas City</t>
        </is>
      </c>
      <c r="C1500" s="8" t="inlineStr">
        <is>
          <t>KS</t>
        </is>
      </c>
      <c r="D1500" s="8" t="inlineStr">
        <is>
          <t>Private</t>
        </is>
      </c>
      <c r="E1500" s="9" t="n">
        <v>15585</v>
      </c>
      <c r="F1500" s="9" t="n">
        <v>30864</v>
      </c>
      <c r="G1500" s="8">
        <f>RANK(F1500,$F$5:$F$1561)</f>
        <v/>
      </c>
      <c r="H1500" s="8" t="inlineStr"/>
      <c r="I1500" s="9">
        <f>IF(D1500="Private",E1500,"")</f>
        <v/>
      </c>
      <c r="J1500" s="9">
        <f>IF(D1500="Private",F1500,"")</f>
        <v/>
      </c>
    </row>
    <row r="1501">
      <c r="A1501" s="8" t="inlineStr">
        <is>
          <t>Miles College</t>
        </is>
      </c>
      <c r="B1501" s="8" t="inlineStr">
        <is>
          <t>Fairfield</t>
        </is>
      </c>
      <c r="C1501" s="8" t="inlineStr">
        <is>
          <t>AL</t>
        </is>
      </c>
      <c r="D1501" s="8" t="inlineStr">
        <is>
          <t>Private</t>
        </is>
      </c>
      <c r="E1501" s="9" t="n">
        <v>14880</v>
      </c>
      <c r="F1501" s="9" t="n">
        <v>30847</v>
      </c>
      <c r="G1501" s="8">
        <f>RANK(F1501,$F$5:$F$1561)</f>
        <v/>
      </c>
      <c r="H1501" s="8" t="inlineStr"/>
      <c r="I1501" s="9">
        <f>IF(D1501="Private",E1501,"")</f>
        <v/>
      </c>
      <c r="J1501" s="9">
        <f>IF(D1501="Private",F1501,"")</f>
        <v/>
      </c>
    </row>
    <row r="1502">
      <c r="A1502" s="8" t="inlineStr">
        <is>
          <t>Trinity Baptist College</t>
        </is>
      </c>
      <c r="B1502" s="8" t="inlineStr">
        <is>
          <t>Jacksonville</t>
        </is>
      </c>
      <c r="C1502" s="8" t="inlineStr">
        <is>
          <t>FL</t>
        </is>
      </c>
      <c r="D1502" s="8" t="inlineStr">
        <is>
          <t>Private</t>
        </is>
      </c>
      <c r="E1502" s="9" t="n">
        <v>17464</v>
      </c>
      <c r="F1502" s="9" t="n">
        <v>30455</v>
      </c>
      <c r="G1502" s="8">
        <f>RANK(F1502,$F$5:$F$1561)</f>
        <v/>
      </c>
      <c r="H1502" s="8" t="inlineStr"/>
      <c r="I1502" s="9">
        <f>IF(D1502="Private",E1502,"")</f>
        <v/>
      </c>
      <c r="J1502" s="9">
        <f>IF(D1502="Private",F1502,"")</f>
        <v/>
      </c>
    </row>
    <row r="1503">
      <c r="A1503" s="8" t="inlineStr">
        <is>
          <t>East-West University</t>
        </is>
      </c>
      <c r="B1503" s="8" t="inlineStr">
        <is>
          <t>Chicago</t>
        </is>
      </c>
      <c r="C1503" s="8" t="inlineStr">
        <is>
          <t>IL</t>
        </is>
      </c>
      <c r="D1503" s="8" t="inlineStr">
        <is>
          <t>Private</t>
        </is>
      </c>
      <c r="E1503" s="9" t="n">
        <v>15809</v>
      </c>
      <c r="F1503" s="9" t="n">
        <v>30381</v>
      </c>
      <c r="G1503" s="8">
        <f>RANK(F1503,$F$5:$F$1561)</f>
        <v/>
      </c>
      <c r="H1503" s="8" t="inlineStr"/>
      <c r="I1503" s="9">
        <f>IF(D1503="Private",E1503,"")</f>
        <v/>
      </c>
      <c r="J1503" s="9">
        <f>IF(D1503="Private",F1503,"")</f>
        <v/>
      </c>
    </row>
    <row r="1504">
      <c r="A1504" s="8" t="inlineStr">
        <is>
          <t>Voorhees University</t>
        </is>
      </c>
      <c r="B1504" s="8" t="inlineStr">
        <is>
          <t>Denmark</t>
        </is>
      </c>
      <c r="C1504" s="8" t="inlineStr">
        <is>
          <t>SC</t>
        </is>
      </c>
      <c r="D1504" s="8" t="inlineStr">
        <is>
          <t>Private</t>
        </is>
      </c>
      <c r="E1504" s="9" t="n">
        <v>14083</v>
      </c>
      <c r="F1504" s="9" t="n">
        <v>30334</v>
      </c>
      <c r="G1504" s="8">
        <f>RANK(F1504,$F$5:$F$1561)</f>
        <v/>
      </c>
      <c r="H1504" s="8" t="inlineStr"/>
      <c r="I1504" s="9">
        <f>IF(D1504="Private",E1504,"")</f>
        <v/>
      </c>
      <c r="J1504" s="9">
        <f>IF(D1504="Private",F1504,"")</f>
        <v/>
      </c>
    </row>
    <row r="1505">
      <c r="A1505" s="8" t="inlineStr">
        <is>
          <t>Mississippi Valley State University</t>
        </is>
      </c>
      <c r="B1505" s="8" t="inlineStr">
        <is>
          <t>Itta Bena</t>
        </is>
      </c>
      <c r="C1505" s="8" t="inlineStr">
        <is>
          <t>MS</t>
        </is>
      </c>
      <c r="D1505" s="8" t="inlineStr">
        <is>
          <t>Public</t>
        </is>
      </c>
      <c r="E1505" s="9" t="n">
        <v>10096</v>
      </c>
      <c r="F1505" s="9" t="n">
        <v>30324</v>
      </c>
      <c r="G1505" s="8">
        <f>RANK(F1505,$F$5:$F$1561)</f>
        <v/>
      </c>
      <c r="H1505" s="8" t="inlineStr"/>
      <c r="I1505" s="9">
        <f>IF(D1505="Private",E1505,"")</f>
        <v/>
      </c>
      <c r="J1505" s="9">
        <f>IF(D1505="Private",F1505,"")</f>
        <v/>
      </c>
    </row>
    <row r="1506">
      <c r="A1506" s="8" t="inlineStr">
        <is>
          <t>Beulah Heights University</t>
        </is>
      </c>
      <c r="B1506" s="8" t="inlineStr">
        <is>
          <t>Atlanta</t>
        </is>
      </c>
      <c r="C1506" s="8" t="inlineStr">
        <is>
          <t>GA</t>
        </is>
      </c>
      <c r="D1506" s="8" t="inlineStr">
        <is>
          <t>Private</t>
        </is>
      </c>
      <c r="E1506" s="9" t="n">
        <v>8433</v>
      </c>
      <c r="F1506" s="9" t="n">
        <v>30265</v>
      </c>
      <c r="G1506" s="8">
        <f>RANK(F1506,$F$5:$F$1561)</f>
        <v/>
      </c>
      <c r="H1506" s="8" t="inlineStr"/>
      <c r="I1506" s="9">
        <f>IF(D1506="Private",E1506,"")</f>
        <v/>
      </c>
      <c r="J1506" s="9">
        <f>IF(D1506="Private",F1506,"")</f>
        <v/>
      </c>
    </row>
    <row r="1507">
      <c r="A1507" s="8" t="inlineStr">
        <is>
          <t>Talladega College</t>
        </is>
      </c>
      <c r="B1507" s="8" t="inlineStr">
        <is>
          <t>Talladega</t>
        </is>
      </c>
      <c r="C1507" s="8" t="inlineStr">
        <is>
          <t>AL</t>
        </is>
      </c>
      <c r="D1507" s="8" t="inlineStr">
        <is>
          <t>Private</t>
        </is>
      </c>
      <c r="E1507" s="9" t="n">
        <v>13575</v>
      </c>
      <c r="F1507" s="9" t="n">
        <v>30032</v>
      </c>
      <c r="G1507" s="8">
        <f>RANK(F1507,$F$5:$F$1561)</f>
        <v/>
      </c>
      <c r="H1507" s="8" t="inlineStr"/>
      <c r="I1507" s="9">
        <f>IF(D1507="Private",E1507,"")</f>
        <v/>
      </c>
      <c r="J1507" s="9">
        <f>IF(D1507="Private",F1507,"")</f>
        <v/>
      </c>
    </row>
    <row r="1508">
      <c r="A1508" s="8" t="inlineStr">
        <is>
          <t>Landmark College</t>
        </is>
      </c>
      <c r="B1508" s="8" t="inlineStr">
        <is>
          <t>Putney</t>
        </is>
      </c>
      <c r="C1508" s="8" t="inlineStr">
        <is>
          <t>VT</t>
        </is>
      </c>
      <c r="D1508" s="8" t="inlineStr">
        <is>
          <t>Private</t>
        </is>
      </c>
      <c r="E1508" s="9" t="n">
        <v>50759</v>
      </c>
      <c r="F1508" s="9" t="n">
        <v>29761</v>
      </c>
      <c r="G1508" s="8">
        <f>RANK(F1508,$F$5:$F$1561)</f>
        <v/>
      </c>
      <c r="H1508" s="8" t="inlineStr"/>
      <c r="I1508" s="9">
        <f>IF(D1508="Private",E1508,"")</f>
        <v/>
      </c>
      <c r="J1508" s="9">
        <f>IF(D1508="Private",F1508,"")</f>
        <v/>
      </c>
    </row>
    <row r="1509">
      <c r="A1509" s="8" t="inlineStr">
        <is>
          <t>Rust College</t>
        </is>
      </c>
      <c r="B1509" s="8" t="inlineStr">
        <is>
          <t>Holly Springs</t>
        </is>
      </c>
      <c r="C1509" s="8" t="inlineStr">
        <is>
          <t>MS</t>
        </is>
      </c>
      <c r="D1509" s="8" t="inlineStr">
        <is>
          <t>Private</t>
        </is>
      </c>
      <c r="E1509" s="9" t="n">
        <v>8392</v>
      </c>
      <c r="F1509" s="9" t="n">
        <v>29731</v>
      </c>
      <c r="G1509" s="8">
        <f>RANK(F1509,$F$5:$F$1561)</f>
        <v/>
      </c>
      <c r="H1509" s="8" t="inlineStr"/>
      <c r="I1509" s="9">
        <f>IF(D1509="Private",E1509,"")</f>
        <v/>
      </c>
      <c r="J1509" s="9">
        <f>IF(D1509="Private",F1509,"")</f>
        <v/>
      </c>
    </row>
    <row r="1510">
      <c r="A1510" s="8" t="inlineStr">
        <is>
          <t>Crowley's Ridge College</t>
        </is>
      </c>
      <c r="B1510" s="8" t="inlineStr">
        <is>
          <t>Paragould</t>
        </is>
      </c>
      <c r="C1510" s="8" t="inlineStr">
        <is>
          <t>AR</t>
        </is>
      </c>
      <c r="D1510" s="8" t="inlineStr">
        <is>
          <t>Private</t>
        </is>
      </c>
      <c r="E1510" s="9" t="n">
        <v>15968</v>
      </c>
      <c r="F1510" s="9" t="n">
        <v>29667</v>
      </c>
      <c r="G1510" s="8">
        <f>RANK(F1510,$F$5:$F$1561)</f>
        <v/>
      </c>
      <c r="H1510" s="8" t="inlineStr"/>
      <c r="I1510" s="9">
        <f>IF(D1510="Private",E1510,"")</f>
        <v/>
      </c>
      <c r="J1510" s="9">
        <f>IF(D1510="Private",F1510,"")</f>
        <v/>
      </c>
    </row>
    <row r="1511">
      <c r="A1511" s="8" t="inlineStr">
        <is>
          <t>Jarvis Christian University</t>
        </is>
      </c>
      <c r="B1511" s="8" t="inlineStr">
        <is>
          <t>Hawkins</t>
        </is>
      </c>
      <c r="C1511" s="8" t="inlineStr">
        <is>
          <t>TX</t>
        </is>
      </c>
      <c r="D1511" s="8" t="inlineStr">
        <is>
          <t>Private</t>
        </is>
      </c>
      <c r="E1511" s="9" t="n">
        <v>11550</v>
      </c>
      <c r="F1511" s="9" t="n">
        <v>29601</v>
      </c>
      <c r="G1511" s="8">
        <f>RANK(F1511,$F$5:$F$1561)</f>
        <v/>
      </c>
      <c r="H1511" s="8" t="inlineStr"/>
      <c r="I1511" s="9">
        <f>IF(D1511="Private",E1511,"")</f>
        <v/>
      </c>
      <c r="J1511" s="9">
        <f>IF(D1511="Private",F1511,"")</f>
        <v/>
      </c>
    </row>
    <row r="1512">
      <c r="A1512" s="8" t="inlineStr">
        <is>
          <t>Universidad Adventista de las Antillas</t>
        </is>
      </c>
      <c r="B1512" s="8" t="inlineStr">
        <is>
          <t>Mayaguez</t>
        </is>
      </c>
      <c r="C1512" s="8" t="inlineStr">
        <is>
          <t>PR</t>
        </is>
      </c>
      <c r="D1512" s="8" t="inlineStr">
        <is>
          <t>Private</t>
        </is>
      </c>
      <c r="E1512" s="9" t="n">
        <v>6465</v>
      </c>
      <c r="F1512" s="9" t="n">
        <v>29347</v>
      </c>
      <c r="G1512" s="8">
        <f>RANK(F1512,$F$5:$F$1561)</f>
        <v/>
      </c>
      <c r="H1512" s="8" t="inlineStr"/>
      <c r="I1512" s="9">
        <f>IF(D1512="Private",E1512,"")</f>
        <v/>
      </c>
      <c r="J1512" s="9">
        <f>IF(D1512="Private",F1512,"")</f>
        <v/>
      </c>
    </row>
    <row r="1513">
      <c r="A1513" s="8" t="inlineStr">
        <is>
          <t>Maharishi International University</t>
        </is>
      </c>
      <c r="B1513" s="8" t="inlineStr">
        <is>
          <t>Fairfield</t>
        </is>
      </c>
      <c r="C1513" s="8" t="inlineStr">
        <is>
          <t>IA</t>
        </is>
      </c>
      <c r="D1513" s="8" t="inlineStr">
        <is>
          <t>Private</t>
        </is>
      </c>
      <c r="E1513" s="9" t="n">
        <v>14573</v>
      </c>
      <c r="F1513" s="9" t="n">
        <v>28625</v>
      </c>
      <c r="G1513" s="8">
        <f>RANK(F1513,$F$5:$F$1561)</f>
        <v/>
      </c>
      <c r="H1513" s="8" t="inlineStr"/>
      <c r="I1513" s="9">
        <f>IF(D1513="Private",E1513,"")</f>
        <v/>
      </c>
      <c r="J1513" s="9">
        <f>IF(D1513="Private",F1513,"")</f>
        <v/>
      </c>
    </row>
    <row r="1514">
      <c r="A1514" s="8" t="inlineStr">
        <is>
          <t>Inter American University of Puerto Rico-Metro</t>
        </is>
      </c>
      <c r="B1514" s="8" t="inlineStr">
        <is>
          <t>San Juan</t>
        </is>
      </c>
      <c r="C1514" s="8" t="inlineStr">
        <is>
          <t>PR</t>
        </is>
      </c>
      <c r="D1514" s="8" t="inlineStr">
        <is>
          <t>Private</t>
        </is>
      </c>
      <c r="E1514" s="9" t="n">
        <v>12502</v>
      </c>
      <c r="F1514" s="9" t="n">
        <v>28285</v>
      </c>
      <c r="G1514" s="8">
        <f>RANK(F1514,$F$5:$F$1561)</f>
        <v/>
      </c>
      <c r="H1514" s="8" t="inlineStr"/>
      <c r="I1514" s="9">
        <f>IF(D1514="Private",E1514,"")</f>
        <v/>
      </c>
      <c r="J1514" s="9">
        <f>IF(D1514="Private",F1514,"")</f>
        <v/>
      </c>
    </row>
    <row r="1515">
      <c r="A1515" s="8" t="inlineStr">
        <is>
          <t>Gods Bible School and College</t>
        </is>
      </c>
      <c r="B1515" s="8" t="inlineStr">
        <is>
          <t>Cincinnati</t>
        </is>
      </c>
      <c r="C1515" s="8" t="inlineStr">
        <is>
          <t>OH</t>
        </is>
      </c>
      <c r="D1515" s="8" t="inlineStr">
        <is>
          <t>Private</t>
        </is>
      </c>
      <c r="E1515" s="9" t="n">
        <v>8946</v>
      </c>
      <c r="F1515" s="9" t="n">
        <v>28263</v>
      </c>
      <c r="G1515" s="8">
        <f>RANK(F1515,$F$5:$F$1561)</f>
        <v/>
      </c>
      <c r="H1515" s="8" t="inlineStr"/>
      <c r="I1515" s="9">
        <f>IF(D1515="Private",E1515,"")</f>
        <v/>
      </c>
      <c r="J1515" s="9">
        <f>IF(D1515="Private",F1515,"")</f>
        <v/>
      </c>
    </row>
    <row r="1516">
      <c r="A1516" s="8" t="inlineStr">
        <is>
          <t>Inter American University of Puerto Rico-Bayamon</t>
        </is>
      </c>
      <c r="B1516" s="8" t="inlineStr">
        <is>
          <t>Bayamon</t>
        </is>
      </c>
      <c r="C1516" s="8" t="inlineStr">
        <is>
          <t>PR</t>
        </is>
      </c>
      <c r="D1516" s="8" t="inlineStr">
        <is>
          <t>Private</t>
        </is>
      </c>
      <c r="E1516" s="9" t="n">
        <v>9232</v>
      </c>
      <c r="F1516" s="9" t="n">
        <v>28181</v>
      </c>
      <c r="G1516" s="8">
        <f>RANK(F1516,$F$5:$F$1561)</f>
        <v/>
      </c>
      <c r="H1516" s="8" t="inlineStr"/>
      <c r="I1516" s="9">
        <f>IF(D1516="Private",E1516,"")</f>
        <v/>
      </c>
      <c r="J1516" s="9">
        <f>IF(D1516="Private",F1516,"")</f>
        <v/>
      </c>
    </row>
    <row r="1517">
      <c r="A1517" s="8" t="inlineStr">
        <is>
          <t>Hebrew Theological College</t>
        </is>
      </c>
      <c r="B1517" s="8" t="inlineStr">
        <is>
          <t>Skokie</t>
        </is>
      </c>
      <c r="C1517" s="8" t="inlineStr">
        <is>
          <t>IL</t>
        </is>
      </c>
      <c r="D1517" s="8" t="inlineStr">
        <is>
          <t>Private</t>
        </is>
      </c>
      <c r="E1517" s="9" t="n">
        <v>14041</v>
      </c>
      <c r="F1517" s="9" t="n">
        <v>28130</v>
      </c>
      <c r="G1517" s="8">
        <f>RANK(F1517,$F$5:$F$1561)</f>
        <v/>
      </c>
      <c r="H1517" s="8" t="inlineStr"/>
      <c r="I1517" s="9">
        <f>IF(D1517="Private",E1517,"")</f>
        <v/>
      </c>
      <c r="J1517" s="9">
        <f>IF(D1517="Private",F1517,"")</f>
        <v/>
      </c>
    </row>
    <row r="1518">
      <c r="A1518" s="8" t="inlineStr">
        <is>
          <t>University of Maine at Presque Isle</t>
        </is>
      </c>
      <c r="B1518" s="8" t="inlineStr">
        <is>
          <t>Presque Isle</t>
        </is>
      </c>
      <c r="C1518" s="8" t="inlineStr">
        <is>
          <t>ME</t>
        </is>
      </c>
      <c r="D1518" s="8" t="inlineStr">
        <is>
          <t>Public</t>
        </is>
      </c>
      <c r="E1518" s="9" t="n">
        <v>9266</v>
      </c>
      <c r="F1518" s="9" t="n">
        <v>28114</v>
      </c>
      <c r="G1518" s="8">
        <f>RANK(F1518,$F$5:$F$1561)</f>
        <v/>
      </c>
      <c r="H1518" s="8" t="inlineStr"/>
      <c r="I1518" s="9">
        <f>IF(D1518="Private",E1518,"")</f>
        <v/>
      </c>
      <c r="J1518" s="9">
        <f>IF(D1518="Private",F1518,"")</f>
        <v/>
      </c>
    </row>
    <row r="1519">
      <c r="A1519" s="8" t="inlineStr">
        <is>
          <t>University of Puerto Rico-Carolina</t>
        </is>
      </c>
      <c r="B1519" s="8" t="inlineStr">
        <is>
          <t>Carolina</t>
        </is>
      </c>
      <c r="C1519" s="8" t="inlineStr">
        <is>
          <t>PR</t>
        </is>
      </c>
      <c r="D1519" s="8" t="inlineStr">
        <is>
          <t>Public</t>
        </is>
      </c>
      <c r="E1519" s="9" t="n">
        <v>10890</v>
      </c>
      <c r="F1519" s="9" t="n">
        <v>28013</v>
      </c>
      <c r="G1519" s="8">
        <f>RANK(F1519,$F$5:$F$1561)</f>
        <v/>
      </c>
      <c r="H1519" s="8" t="inlineStr"/>
      <c r="I1519" s="9">
        <f>IF(D1519="Private",E1519,"")</f>
        <v/>
      </c>
      <c r="J1519" s="9">
        <f>IF(D1519="Private",F1519,"")</f>
        <v/>
      </c>
    </row>
    <row r="1520">
      <c r="A1520" s="8" t="inlineStr">
        <is>
          <t>Arkansas Baptist College</t>
        </is>
      </c>
      <c r="B1520" s="8" t="inlineStr">
        <is>
          <t>Little Rock</t>
        </is>
      </c>
      <c r="C1520" s="8" t="inlineStr">
        <is>
          <t>AR</t>
        </is>
      </c>
      <c r="D1520" s="8" t="inlineStr">
        <is>
          <t>Private</t>
        </is>
      </c>
      <c r="E1520" s="9" t="n">
        <v>12951</v>
      </c>
      <c r="F1520" s="9" t="n">
        <v>27908</v>
      </c>
      <c r="G1520" s="8">
        <f>RANK(F1520,$F$5:$F$1561)</f>
        <v/>
      </c>
      <c r="H1520" s="8" t="inlineStr"/>
      <c r="I1520" s="9">
        <f>IF(D1520="Private",E1520,"")</f>
        <v/>
      </c>
      <c r="J1520" s="9">
        <f>IF(D1520="Private",F1520,"")</f>
        <v/>
      </c>
    </row>
    <row r="1521">
      <c r="A1521" s="8" t="inlineStr">
        <is>
          <t>Universidad del Sagrado Corazon</t>
        </is>
      </c>
      <c r="B1521" s="8" t="inlineStr">
        <is>
          <t>Santurce</t>
        </is>
      </c>
      <c r="C1521" s="8" t="inlineStr">
        <is>
          <t>PR</t>
        </is>
      </c>
      <c r="D1521" s="8" t="inlineStr">
        <is>
          <t>Private</t>
        </is>
      </c>
      <c r="E1521" s="9" t="n">
        <v>12301</v>
      </c>
      <c r="F1521" s="9" t="n">
        <v>27904</v>
      </c>
      <c r="G1521" s="8">
        <f>RANK(F1521,$F$5:$F$1561)</f>
        <v/>
      </c>
      <c r="H1521" s="8" t="inlineStr"/>
      <c r="I1521" s="9">
        <f>IF(D1521="Private",E1521,"")</f>
        <v/>
      </c>
      <c r="J1521" s="9">
        <f>IF(D1521="Private",F1521,"")</f>
        <v/>
      </c>
    </row>
    <row r="1522">
      <c r="A1522" s="8" t="inlineStr">
        <is>
          <t>Morris College</t>
        </is>
      </c>
      <c r="B1522" s="8" t="inlineStr">
        <is>
          <t>Sumter</t>
        </is>
      </c>
      <c r="C1522" s="8" t="inlineStr">
        <is>
          <t>SC</t>
        </is>
      </c>
      <c r="D1522" s="8" t="inlineStr">
        <is>
          <t>Private</t>
        </is>
      </c>
      <c r="E1522" s="9" t="n">
        <v>9614</v>
      </c>
      <c r="F1522" s="9" t="n">
        <v>27620</v>
      </c>
      <c r="G1522" s="8">
        <f>RANK(F1522,$F$5:$F$1561)</f>
        <v/>
      </c>
      <c r="H1522" s="8" t="inlineStr"/>
      <c r="I1522" s="9">
        <f>IF(D1522="Private",E1522,"")</f>
        <v/>
      </c>
      <c r="J1522" s="9">
        <f>IF(D1522="Private",F1522,"")</f>
        <v/>
      </c>
    </row>
    <row r="1523">
      <c r="A1523" s="8" t="inlineStr">
        <is>
          <t>Allen University</t>
        </is>
      </c>
      <c r="B1523" s="8" t="inlineStr">
        <is>
          <t>Columbia</t>
        </is>
      </c>
      <c r="C1523" s="8" t="inlineStr">
        <is>
          <t>SC</t>
        </is>
      </c>
      <c r="D1523" s="8" t="inlineStr">
        <is>
          <t>Private</t>
        </is>
      </c>
      <c r="E1523" s="9" t="n">
        <v>13272</v>
      </c>
      <c r="F1523" s="9" t="n">
        <v>27399</v>
      </c>
      <c r="G1523" s="8">
        <f>RANK(F1523,$F$5:$F$1561)</f>
        <v/>
      </c>
      <c r="H1523" s="8" t="inlineStr"/>
      <c r="I1523" s="9">
        <f>IF(D1523="Private",E1523,"")</f>
        <v/>
      </c>
      <c r="J1523" s="9">
        <f>IF(D1523="Private",F1523,"")</f>
        <v/>
      </c>
    </row>
    <row r="1524">
      <c r="A1524" s="8" t="inlineStr">
        <is>
          <t>University of Puerto Rico-Humacao</t>
        </is>
      </c>
      <c r="B1524" s="8" t="inlineStr">
        <is>
          <t>Humacao</t>
        </is>
      </c>
      <c r="C1524" s="8" t="inlineStr">
        <is>
          <t>PR</t>
        </is>
      </c>
      <c r="D1524" s="8" t="inlineStr">
        <is>
          <t>Public</t>
        </is>
      </c>
      <c r="E1524" s="9" t="n">
        <v>12081</v>
      </c>
      <c r="F1524" s="9" t="n">
        <v>27314</v>
      </c>
      <c r="G1524" s="8">
        <f>RANK(F1524,$F$5:$F$1561)</f>
        <v/>
      </c>
      <c r="H1524" s="8" t="inlineStr"/>
      <c r="I1524" s="9">
        <f>IF(D1524="Private",E1524,"")</f>
        <v/>
      </c>
      <c r="J1524" s="9">
        <f>IF(D1524="Private",F1524,"")</f>
        <v/>
      </c>
    </row>
    <row r="1525">
      <c r="A1525" s="8" t="inlineStr">
        <is>
          <t>University of Puerto Rico at Ponce</t>
        </is>
      </c>
      <c r="B1525" s="8" t="inlineStr">
        <is>
          <t>Ponce</t>
        </is>
      </c>
      <c r="C1525" s="8" t="inlineStr">
        <is>
          <t>PR</t>
        </is>
      </c>
      <c r="D1525" s="8" t="inlineStr">
        <is>
          <t>Public</t>
        </is>
      </c>
      <c r="E1525" s="9" t="n">
        <v>4978</v>
      </c>
      <c r="F1525" s="9" t="n">
        <v>27305</v>
      </c>
      <c r="G1525" s="8">
        <f>RANK(F1525,$F$5:$F$1561)</f>
        <v/>
      </c>
      <c r="H1525" s="8" t="inlineStr"/>
      <c r="I1525" s="9">
        <f>IF(D1525="Private",E1525,"")</f>
        <v/>
      </c>
      <c r="J1525" s="9">
        <f>IF(D1525="Private",F1525,"")</f>
        <v/>
      </c>
    </row>
    <row r="1526">
      <c r="A1526" s="8" t="inlineStr">
        <is>
          <t>University of Puerto Rico-Cayey</t>
        </is>
      </c>
      <c r="B1526" s="8" t="inlineStr">
        <is>
          <t>Cayey</t>
        </is>
      </c>
      <c r="C1526" s="8" t="inlineStr">
        <is>
          <t>PR</t>
        </is>
      </c>
      <c r="D1526" s="8" t="inlineStr">
        <is>
          <t>Public</t>
        </is>
      </c>
      <c r="E1526" s="9" t="n">
        <v>9584</v>
      </c>
      <c r="F1526" s="9" t="n">
        <v>27007</v>
      </c>
      <c r="G1526" s="8">
        <f>RANK(F1526,$F$5:$F$1561)</f>
        <v/>
      </c>
      <c r="H1526" s="8" t="inlineStr"/>
      <c r="I1526" s="9">
        <f>IF(D1526="Private",E1526,"")</f>
        <v/>
      </c>
      <c r="J1526" s="9">
        <f>IF(D1526="Private",F1526,"")</f>
        <v/>
      </c>
    </row>
    <row r="1527">
      <c r="A1527" s="8" t="inlineStr">
        <is>
          <t>Colegio Universitario de San Juan</t>
        </is>
      </c>
      <c r="B1527" s="8" t="inlineStr">
        <is>
          <t>San Juan</t>
        </is>
      </c>
      <c r="C1527" s="8" t="inlineStr">
        <is>
          <t>PR</t>
        </is>
      </c>
      <c r="D1527" s="8" t="inlineStr">
        <is>
          <t>Public</t>
        </is>
      </c>
      <c r="E1527" s="9" t="n">
        <v>2068</v>
      </c>
      <c r="F1527" s="9" t="n">
        <v>26829</v>
      </c>
      <c r="G1527" s="8">
        <f>RANK(F1527,$F$5:$F$1561)</f>
        <v/>
      </c>
      <c r="H1527" s="8" t="inlineStr"/>
      <c r="I1527" s="9">
        <f>IF(D1527="Private",E1527,"")</f>
        <v/>
      </c>
      <c r="J1527" s="9">
        <f>IF(D1527="Private",F1527,"")</f>
        <v/>
      </c>
    </row>
    <row r="1528">
      <c r="A1528" s="8" t="inlineStr">
        <is>
          <t>Virginia University of Lynchburg</t>
        </is>
      </c>
      <c r="B1528" s="8" t="inlineStr">
        <is>
          <t>Lynchburg</t>
        </is>
      </c>
      <c r="C1528" s="8" t="inlineStr">
        <is>
          <t>VA</t>
        </is>
      </c>
      <c r="D1528" s="8" t="inlineStr">
        <is>
          <t>Private</t>
        </is>
      </c>
      <c r="E1528" s="9" t="n">
        <v>7691</v>
      </c>
      <c r="F1528" s="9" t="n">
        <v>26407</v>
      </c>
      <c r="G1528" s="8">
        <f>RANK(F1528,$F$5:$F$1561)</f>
        <v/>
      </c>
      <c r="H1528" s="8" t="inlineStr"/>
      <c r="I1528" s="9">
        <f>IF(D1528="Private",E1528,"")</f>
        <v/>
      </c>
      <c r="J1528" s="9">
        <f>IF(D1528="Private",F1528,"")</f>
        <v/>
      </c>
    </row>
    <row r="1529">
      <c r="A1529" s="8" t="inlineStr">
        <is>
          <t>Martin University</t>
        </is>
      </c>
      <c r="B1529" s="8" t="inlineStr">
        <is>
          <t>Indianapolis</t>
        </is>
      </c>
      <c r="C1529" s="8" t="inlineStr">
        <is>
          <t>IN</t>
        </is>
      </c>
      <c r="D1529" s="8" t="inlineStr">
        <is>
          <t>Private</t>
        </is>
      </c>
      <c r="E1529" s="9" t="n">
        <v>15271</v>
      </c>
      <c r="F1529" s="9" t="n">
        <v>25915</v>
      </c>
      <c r="G1529" s="8">
        <f>RANK(F1529,$F$5:$F$1561)</f>
        <v/>
      </c>
      <c r="H1529" s="8" t="inlineStr"/>
      <c r="I1529" s="9">
        <f>IF(D1529="Private",E1529,"")</f>
        <v/>
      </c>
      <c r="J1529" s="9">
        <f>IF(D1529="Private",F1529,"")</f>
        <v/>
      </c>
    </row>
    <row r="1530">
      <c r="A1530" s="8" t="inlineStr">
        <is>
          <t>Clinton College</t>
        </is>
      </c>
      <c r="B1530" s="8" t="inlineStr">
        <is>
          <t>Rock Hill</t>
        </is>
      </c>
      <c r="C1530" s="8" t="inlineStr">
        <is>
          <t>SC</t>
        </is>
      </c>
      <c r="D1530" s="8" t="inlineStr">
        <is>
          <t>Private</t>
        </is>
      </c>
      <c r="E1530" s="9" t="n">
        <v>8070</v>
      </c>
      <c r="F1530" s="9" t="n">
        <v>25833</v>
      </c>
      <c r="G1530" s="8">
        <f>RANK(F1530,$F$5:$F$1561)</f>
        <v/>
      </c>
      <c r="H1530" s="8" t="inlineStr"/>
      <c r="I1530" s="9">
        <f>IF(D1530="Private",E1530,"")</f>
        <v/>
      </c>
      <c r="J1530" s="9">
        <f>IF(D1530="Private",F1530,"")</f>
        <v/>
      </c>
    </row>
    <row r="1531">
      <c r="A1531" s="8" t="inlineStr">
        <is>
          <t>University of Puerto Rico-Arecibo</t>
        </is>
      </c>
      <c r="B1531" s="8" t="inlineStr">
        <is>
          <t>Arecibo</t>
        </is>
      </c>
      <c r="C1531" s="8" t="inlineStr">
        <is>
          <t>PR</t>
        </is>
      </c>
      <c r="D1531" s="8" t="inlineStr">
        <is>
          <t>Public</t>
        </is>
      </c>
      <c r="E1531" s="9" t="n">
        <v>7561</v>
      </c>
      <c r="F1531" s="9" t="n">
        <v>25140</v>
      </c>
      <c r="G1531" s="8">
        <f>RANK(F1531,$F$5:$F$1561)</f>
        <v/>
      </c>
      <c r="H1531" s="8" t="inlineStr"/>
      <c r="I1531" s="9">
        <f>IF(D1531="Private",E1531,"")</f>
        <v/>
      </c>
      <c r="J1531" s="9">
        <f>IF(D1531="Private",F1531,"")</f>
        <v/>
      </c>
    </row>
    <row r="1532">
      <c r="A1532" s="8" t="inlineStr">
        <is>
          <t>Northern Marianas College</t>
        </is>
      </c>
      <c r="B1532" s="8" t="inlineStr">
        <is>
          <t>Saipan</t>
        </is>
      </c>
      <c r="C1532" s="8" t="inlineStr">
        <is>
          <t>MP</t>
        </is>
      </c>
      <c r="D1532" s="8" t="inlineStr">
        <is>
          <t>Public</t>
        </is>
      </c>
      <c r="E1532" s="9" t="n">
        <v>2107</v>
      </c>
      <c r="F1532" s="9" t="n">
        <v>25107</v>
      </c>
      <c r="G1532" s="8">
        <f>RANK(F1532,$F$5:$F$1561)</f>
        <v/>
      </c>
      <c r="H1532" s="8" t="inlineStr"/>
      <c r="I1532" s="9">
        <f>IF(D1532="Private",E1532,"")</f>
        <v/>
      </c>
      <c r="J1532" s="9">
        <f>IF(D1532="Private",F1532,"")</f>
        <v/>
      </c>
    </row>
    <row r="1533">
      <c r="A1533" s="8" t="inlineStr">
        <is>
          <t>Inter American University of Puerto Rico-Guayama</t>
        </is>
      </c>
      <c r="B1533" s="8" t="inlineStr">
        <is>
          <t>Guayama</t>
        </is>
      </c>
      <c r="C1533" s="8" t="inlineStr">
        <is>
          <t>PR</t>
        </is>
      </c>
      <c r="D1533" s="8" t="inlineStr">
        <is>
          <t>Private</t>
        </is>
      </c>
      <c r="E1533" s="9" t="n">
        <v>9237</v>
      </c>
      <c r="F1533" s="9" t="n">
        <v>24488</v>
      </c>
      <c r="G1533" s="8">
        <f>RANK(F1533,$F$5:$F$1561)</f>
        <v/>
      </c>
      <c r="H1533" s="8" t="inlineStr"/>
      <c r="I1533" s="9">
        <f>IF(D1533="Private",E1533,"")</f>
        <v/>
      </c>
      <c r="J1533" s="9">
        <f>IF(D1533="Private",F1533,"")</f>
        <v/>
      </c>
    </row>
    <row r="1534">
      <c r="A1534" s="8" t="inlineStr">
        <is>
          <t>University of Puerto Rico-Aguadilla</t>
        </is>
      </c>
      <c r="B1534" s="8" t="inlineStr">
        <is>
          <t>Aguadilla</t>
        </is>
      </c>
      <c r="C1534" s="8" t="inlineStr">
        <is>
          <t>PR</t>
        </is>
      </c>
      <c r="D1534" s="8" t="inlineStr">
        <is>
          <t>Public</t>
        </is>
      </c>
      <c r="E1534" s="9" t="n">
        <v>2703</v>
      </c>
      <c r="F1534" s="9" t="n">
        <v>24465</v>
      </c>
      <c r="G1534" s="8">
        <f>RANK(F1534,$F$5:$F$1561)</f>
        <v/>
      </c>
      <c r="H1534" s="8" t="inlineStr"/>
      <c r="I1534" s="9">
        <f>IF(D1534="Private",E1534,"")</f>
        <v/>
      </c>
      <c r="J1534" s="9">
        <f>IF(D1534="Private",F1534,"")</f>
        <v/>
      </c>
    </row>
    <row r="1535">
      <c r="A1535" s="8" t="inlineStr">
        <is>
          <t>Beacon College</t>
        </is>
      </c>
      <c r="B1535" s="8" t="inlineStr">
        <is>
          <t>Leesburg</t>
        </is>
      </c>
      <c r="C1535" s="8" t="inlineStr">
        <is>
          <t>FL</t>
        </is>
      </c>
      <c r="D1535" s="8" t="inlineStr">
        <is>
          <t>Private</t>
        </is>
      </c>
      <c r="E1535" s="9" t="n">
        <v>36456</v>
      </c>
      <c r="F1535" s="9" t="n">
        <v>24347</v>
      </c>
      <c r="G1535" s="8">
        <f>RANK(F1535,$F$5:$F$1561)</f>
        <v/>
      </c>
      <c r="H1535" s="8" t="inlineStr"/>
      <c r="I1535" s="9">
        <f>IF(D1535="Private",E1535,"")</f>
        <v/>
      </c>
      <c r="J1535" s="9">
        <f>IF(D1535="Private",F1535,"")</f>
        <v/>
      </c>
    </row>
    <row r="1536">
      <c r="A1536" s="8" t="inlineStr">
        <is>
          <t>Naropa University</t>
        </is>
      </c>
      <c r="B1536" s="8" t="inlineStr">
        <is>
          <t>Boulder</t>
        </is>
      </c>
      <c r="C1536" s="8" t="inlineStr">
        <is>
          <t>CO</t>
        </is>
      </c>
      <c r="D1536" s="8" t="inlineStr">
        <is>
          <t>Private</t>
        </is>
      </c>
      <c r="E1536" s="9" t="n">
        <v>29924</v>
      </c>
      <c r="F1536" s="9" t="n">
        <v>24187</v>
      </c>
      <c r="G1536" s="8">
        <f>RANK(F1536,$F$5:$F$1561)</f>
        <v/>
      </c>
      <c r="H1536" s="8" t="inlineStr"/>
      <c r="I1536" s="9">
        <f>IF(D1536="Private",E1536,"")</f>
        <v/>
      </c>
      <c r="J1536" s="9">
        <f>IF(D1536="Private",F1536,"")</f>
        <v/>
      </c>
    </row>
    <row r="1537">
      <c r="A1537" s="8" t="inlineStr">
        <is>
          <t>Inter American University of Puerto Rico-Ponce</t>
        </is>
      </c>
      <c r="B1537" s="8" t="inlineStr">
        <is>
          <t>Mercedita</t>
        </is>
      </c>
      <c r="C1537" s="8" t="inlineStr">
        <is>
          <t>PR</t>
        </is>
      </c>
      <c r="D1537" s="8" t="inlineStr">
        <is>
          <t>Private</t>
        </is>
      </c>
      <c r="E1537" s="9" t="n">
        <v>8954</v>
      </c>
      <c r="F1537" s="9" t="n">
        <v>24185</v>
      </c>
      <c r="G1537" s="8">
        <f>RANK(F1537,$F$5:$F$1561)</f>
        <v/>
      </c>
      <c r="H1537" s="8" t="inlineStr"/>
      <c r="I1537" s="9">
        <f>IF(D1537="Private",E1537,"")</f>
        <v/>
      </c>
      <c r="J1537" s="9">
        <f>IF(D1537="Private",F1537,"")</f>
        <v/>
      </c>
    </row>
    <row r="1538">
      <c r="A1538" s="8" t="inlineStr">
        <is>
          <t>Universidad Ana G. Mendez-Gurabo Campus</t>
        </is>
      </c>
      <c r="B1538" s="8" t="inlineStr">
        <is>
          <t>Gurabo</t>
        </is>
      </c>
      <c r="C1538" s="8" t="inlineStr">
        <is>
          <t>PR</t>
        </is>
      </c>
      <c r="D1538" s="8" t="inlineStr">
        <is>
          <t>Private</t>
        </is>
      </c>
      <c r="E1538" s="9" t="n">
        <v>6701</v>
      </c>
      <c r="F1538" s="9" t="n">
        <v>24041</v>
      </c>
      <c r="G1538" s="8">
        <f>RANK(F1538,$F$5:$F$1561)</f>
        <v/>
      </c>
      <c r="H1538" s="8" t="inlineStr"/>
      <c r="I1538" s="9">
        <f>IF(D1538="Private",E1538,"")</f>
        <v/>
      </c>
      <c r="J1538" s="9">
        <f>IF(D1538="Private",F1538,"")</f>
        <v/>
      </c>
    </row>
    <row r="1539">
      <c r="A1539" s="8" t="inlineStr">
        <is>
          <t>Inter American University of Puerto Rico-Aguadilla</t>
        </is>
      </c>
      <c r="B1539" s="8" t="inlineStr">
        <is>
          <t>Aguadilla</t>
        </is>
      </c>
      <c r="C1539" s="8" t="inlineStr">
        <is>
          <t>PR</t>
        </is>
      </c>
      <c r="D1539" s="8" t="inlineStr">
        <is>
          <t>Private</t>
        </is>
      </c>
      <c r="E1539" s="9" t="n">
        <v>8422</v>
      </c>
      <c r="F1539" s="9" t="n">
        <v>23125</v>
      </c>
      <c r="G1539" s="8">
        <f>RANK(F1539,$F$5:$F$1561)</f>
        <v/>
      </c>
      <c r="H1539" s="8" t="inlineStr"/>
      <c r="I1539" s="9">
        <f>IF(D1539="Private",E1539,"")</f>
        <v/>
      </c>
      <c r="J1539" s="9">
        <f>IF(D1539="Private",F1539,"")</f>
        <v/>
      </c>
    </row>
    <row r="1540">
      <c r="A1540" s="8" t="inlineStr">
        <is>
          <t>Inter American University of Puerto Rico-San German</t>
        </is>
      </c>
      <c r="B1540" s="8" t="inlineStr">
        <is>
          <t>San German</t>
        </is>
      </c>
      <c r="C1540" s="8" t="inlineStr">
        <is>
          <t>PR</t>
        </is>
      </c>
      <c r="D1540" s="8" t="inlineStr">
        <is>
          <t>Private</t>
        </is>
      </c>
      <c r="E1540" s="9" t="n">
        <v>9612</v>
      </c>
      <c r="F1540" s="9" t="n">
        <v>22851</v>
      </c>
      <c r="G1540" s="8">
        <f>RANK(F1540,$F$5:$F$1561)</f>
        <v/>
      </c>
      <c r="H1540" s="8" t="inlineStr"/>
      <c r="I1540" s="9">
        <f>IF(D1540="Private",E1540,"")</f>
        <v/>
      </c>
      <c r="J1540" s="9">
        <f>IF(D1540="Private",F1540,"")</f>
        <v/>
      </c>
    </row>
    <row r="1541">
      <c r="A1541" s="8" t="inlineStr">
        <is>
          <t>Inter American University of Puerto Rico-Arecibo</t>
        </is>
      </c>
      <c r="B1541" s="8" t="inlineStr">
        <is>
          <t>Arecibo</t>
        </is>
      </c>
      <c r="C1541" s="8" t="inlineStr">
        <is>
          <t>PR</t>
        </is>
      </c>
      <c r="D1541" s="8" t="inlineStr">
        <is>
          <t>Private</t>
        </is>
      </c>
      <c r="E1541" s="9" t="n">
        <v>9130</v>
      </c>
      <c r="F1541" s="9" t="n">
        <v>22843</v>
      </c>
      <c r="G1541" s="8">
        <f>RANK(F1541,$F$5:$F$1561)</f>
        <v/>
      </c>
      <c r="H1541" s="8" t="inlineStr"/>
      <c r="I1541" s="9">
        <f>IF(D1541="Private",E1541,"")</f>
        <v/>
      </c>
      <c r="J1541" s="9">
        <f>IF(D1541="Private",F1541,"")</f>
        <v/>
      </c>
    </row>
    <row r="1542">
      <c r="A1542" s="8" t="inlineStr">
        <is>
          <t>Atlantic University College</t>
        </is>
      </c>
      <c r="B1542" s="8" t="inlineStr">
        <is>
          <t>Guaynabo</t>
        </is>
      </c>
      <c r="C1542" s="8" t="inlineStr">
        <is>
          <t>PR</t>
        </is>
      </c>
      <c r="D1542" s="8" t="inlineStr">
        <is>
          <t>Private</t>
        </is>
      </c>
      <c r="E1542" s="9" t="n">
        <v>2855</v>
      </c>
      <c r="F1542" s="9" t="n">
        <v>22842</v>
      </c>
      <c r="G1542" s="8">
        <f>RANK(F1542,$F$5:$F$1561)</f>
        <v/>
      </c>
      <c r="H1542" s="8" t="inlineStr"/>
      <c r="I1542" s="9">
        <f>IF(D1542="Private",E1542,"")</f>
        <v/>
      </c>
      <c r="J1542" s="9">
        <f>IF(D1542="Private",F1542,"")</f>
        <v/>
      </c>
    </row>
    <row r="1543">
      <c r="A1543" s="8" t="inlineStr">
        <is>
          <t>Pontifical Catholic University of Puerto Rico-Arecibo</t>
        </is>
      </c>
      <c r="B1543" s="8" t="inlineStr">
        <is>
          <t>Arecibo</t>
        </is>
      </c>
      <c r="C1543" s="8" t="inlineStr">
        <is>
          <t>PR</t>
        </is>
      </c>
      <c r="D1543" s="8" t="inlineStr">
        <is>
          <t>Private</t>
        </is>
      </c>
      <c r="E1543" s="9" t="n">
        <v>9200</v>
      </c>
      <c r="F1543" s="9" t="n">
        <v>22797</v>
      </c>
      <c r="G1543" s="8">
        <f>RANK(F1543,$F$5:$F$1561)</f>
        <v/>
      </c>
      <c r="H1543" s="8" t="inlineStr"/>
      <c r="I1543" s="9">
        <f>IF(D1543="Private",E1543,"")</f>
        <v/>
      </c>
      <c r="J1543" s="9">
        <f>IF(D1543="Private",F1543,"")</f>
        <v/>
      </c>
    </row>
    <row r="1544">
      <c r="A1544" s="8" t="inlineStr">
        <is>
          <t>Pontifical Catholic University of Puerto Rico-Ponce</t>
        </is>
      </c>
      <c r="B1544" s="8" t="inlineStr">
        <is>
          <t>Ponce</t>
        </is>
      </c>
      <c r="C1544" s="8" t="inlineStr">
        <is>
          <t>PR</t>
        </is>
      </c>
      <c r="D1544" s="8" t="inlineStr">
        <is>
          <t>Private</t>
        </is>
      </c>
      <c r="E1544" s="9" t="n">
        <v>9550</v>
      </c>
      <c r="F1544" s="9" t="n">
        <v>22797</v>
      </c>
      <c r="G1544" s="8">
        <f>RANK(F1544,$F$5:$F$1561)</f>
        <v/>
      </c>
      <c r="H1544" s="8" t="inlineStr"/>
      <c r="I1544" s="9">
        <f>IF(D1544="Private",E1544,"")</f>
        <v/>
      </c>
      <c r="J1544" s="9">
        <f>IF(D1544="Private",F1544,"")</f>
        <v/>
      </c>
    </row>
    <row r="1545">
      <c r="A1545" s="8" t="inlineStr">
        <is>
          <t>Pontifical Catholic University of Puerto Rico-Mayaguez</t>
        </is>
      </c>
      <c r="B1545" s="8" t="inlineStr">
        <is>
          <t>Mayaguez</t>
        </is>
      </c>
      <c r="C1545" s="8" t="inlineStr">
        <is>
          <t>PR</t>
        </is>
      </c>
      <c r="D1545" s="8" t="inlineStr">
        <is>
          <t>Private</t>
        </is>
      </c>
      <c r="E1545" s="9" t="n">
        <v>8322</v>
      </c>
      <c r="F1545" s="9" t="n">
        <v>22797</v>
      </c>
      <c r="G1545" s="8">
        <f>RANK(F1545,$F$5:$F$1561)</f>
        <v/>
      </c>
      <c r="H1545" s="8" t="inlineStr"/>
      <c r="I1545" s="9">
        <f>IF(D1545="Private",E1545,"")</f>
        <v/>
      </c>
      <c r="J1545" s="9">
        <f>IF(D1545="Private",F1545,"")</f>
        <v/>
      </c>
    </row>
    <row r="1546">
      <c r="A1546" s="8" t="inlineStr">
        <is>
          <t>Inter American University of Puerto Rico-Barranquitas</t>
        </is>
      </c>
      <c r="B1546" s="8" t="inlineStr">
        <is>
          <t>Barranquitas</t>
        </is>
      </c>
      <c r="C1546" s="8" t="inlineStr">
        <is>
          <t>PR</t>
        </is>
      </c>
      <c r="D1546" s="8" t="inlineStr">
        <is>
          <t>Private</t>
        </is>
      </c>
      <c r="E1546" s="9" t="n">
        <v>7830</v>
      </c>
      <c r="F1546" s="9" t="n">
        <v>22539</v>
      </c>
      <c r="G1546" s="8">
        <f>RANK(F1546,$F$5:$F$1561)</f>
        <v/>
      </c>
      <c r="H1546" s="8" t="inlineStr"/>
      <c r="I1546" s="9">
        <f>IF(D1546="Private",E1546,"")</f>
        <v/>
      </c>
      <c r="J1546" s="9">
        <f>IF(D1546="Private",F1546,"")</f>
        <v/>
      </c>
    </row>
    <row r="1547">
      <c r="A1547" s="8" t="inlineStr">
        <is>
          <t>Universidad Ana G. Mendez-Carolina Campus</t>
        </is>
      </c>
      <c r="B1547" s="8" t="inlineStr">
        <is>
          <t>Carolina</t>
        </is>
      </c>
      <c r="C1547" s="8" t="inlineStr">
        <is>
          <t>PR</t>
        </is>
      </c>
      <c r="D1547" s="8" t="inlineStr">
        <is>
          <t>Private</t>
        </is>
      </c>
      <c r="E1547" s="9" t="n">
        <v>6626</v>
      </c>
      <c r="F1547" s="9" t="n">
        <v>22516</v>
      </c>
      <c r="G1547" s="8">
        <f>RANK(F1547,$F$5:$F$1561)</f>
        <v/>
      </c>
      <c r="H1547" s="8" t="inlineStr"/>
      <c r="I1547" s="9">
        <f>IF(D1547="Private",E1547,"")</f>
        <v/>
      </c>
      <c r="J1547" s="9">
        <f>IF(D1547="Private",F1547,"")</f>
        <v/>
      </c>
    </row>
    <row r="1548">
      <c r="A1548" s="8" t="inlineStr">
        <is>
          <t>Universidad Ana G. Mendez-Cupey Campus</t>
        </is>
      </c>
      <c r="B1548" s="8" t="inlineStr">
        <is>
          <t>San Juan</t>
        </is>
      </c>
      <c r="C1548" s="8" t="inlineStr">
        <is>
          <t>PR</t>
        </is>
      </c>
      <c r="D1548" s="8" t="inlineStr">
        <is>
          <t>Private</t>
        </is>
      </c>
      <c r="E1548" s="9" t="n">
        <v>6734</v>
      </c>
      <c r="F1548" s="9" t="n">
        <v>22394</v>
      </c>
      <c r="G1548" s="8">
        <f>RANK(F1548,$F$5:$F$1561)</f>
        <v/>
      </c>
      <c r="H1548" s="8" t="inlineStr"/>
      <c r="I1548" s="9">
        <f>IF(D1548="Private",E1548,"")</f>
        <v/>
      </c>
      <c r="J1548" s="9">
        <f>IF(D1548="Private",F1548,"")</f>
        <v/>
      </c>
    </row>
    <row r="1549">
      <c r="A1549" s="8" t="inlineStr">
        <is>
          <t>Universidad Central de Bayamon</t>
        </is>
      </c>
      <c r="B1549" s="8" t="inlineStr">
        <is>
          <t>BayamÃ³n</t>
        </is>
      </c>
      <c r="C1549" s="8" t="inlineStr">
        <is>
          <t>PR</t>
        </is>
      </c>
      <c r="D1549" s="8" t="inlineStr">
        <is>
          <t>Private</t>
        </is>
      </c>
      <c r="E1549" s="9" t="n">
        <v>3965</v>
      </c>
      <c r="F1549" s="9" t="n">
        <v>22263</v>
      </c>
      <c r="G1549" s="8">
        <f>RANK(F1549,$F$5:$F$1561)</f>
        <v/>
      </c>
      <c r="H1549" s="8" t="inlineStr"/>
      <c r="I1549" s="9">
        <f>IF(D1549="Private",E1549,"")</f>
        <v/>
      </c>
      <c r="J1549" s="9">
        <f>IF(D1549="Private",F1549,"")</f>
        <v/>
      </c>
    </row>
    <row r="1550">
      <c r="A1550" s="8" t="inlineStr">
        <is>
          <t>Caribbean University-Ponce</t>
        </is>
      </c>
      <c r="B1550" s="8" t="inlineStr">
        <is>
          <t>Ponce</t>
        </is>
      </c>
      <c r="C1550" s="8" t="inlineStr">
        <is>
          <t>PR</t>
        </is>
      </c>
      <c r="D1550" s="8" t="inlineStr">
        <is>
          <t>Private</t>
        </is>
      </c>
      <c r="E1550" s="9" t="n">
        <v>4671</v>
      </c>
      <c r="F1550" s="9" t="n">
        <v>21885</v>
      </c>
      <c r="G1550" s="8">
        <f>RANK(F1550,$F$5:$F$1561)</f>
        <v/>
      </c>
      <c r="H1550" s="8" t="inlineStr"/>
      <c r="I1550" s="9">
        <f>IF(D1550="Private",E1550,"")</f>
        <v/>
      </c>
      <c r="J1550" s="9">
        <f>IF(D1550="Private",F1550,"")</f>
        <v/>
      </c>
    </row>
    <row r="1551">
      <c r="A1551" s="8" t="inlineStr">
        <is>
          <t>Caribbean University-Carolina</t>
        </is>
      </c>
      <c r="B1551" s="8" t="inlineStr">
        <is>
          <t>Carolina</t>
        </is>
      </c>
      <c r="C1551" s="8" t="inlineStr">
        <is>
          <t>PR</t>
        </is>
      </c>
      <c r="D1551" s="8" t="inlineStr">
        <is>
          <t>Private</t>
        </is>
      </c>
      <c r="E1551" s="9" t="n">
        <v>2649</v>
      </c>
      <c r="F1551" s="9" t="n">
        <v>21885</v>
      </c>
      <c r="G1551" s="8">
        <f>RANK(F1551,$F$5:$F$1561)</f>
        <v/>
      </c>
      <c r="H1551" s="8" t="inlineStr"/>
      <c r="I1551" s="9">
        <f>IF(D1551="Private",E1551,"")</f>
        <v/>
      </c>
      <c r="J1551" s="9">
        <f>IF(D1551="Private",F1551,"")</f>
        <v/>
      </c>
    </row>
    <row r="1552">
      <c r="A1552" s="8" t="inlineStr">
        <is>
          <t>Caribbean University-Vega Baja</t>
        </is>
      </c>
      <c r="B1552" s="8" t="inlineStr">
        <is>
          <t>Vega Baja</t>
        </is>
      </c>
      <c r="C1552" s="8" t="inlineStr">
        <is>
          <t>PR</t>
        </is>
      </c>
      <c r="D1552" s="8" t="inlineStr">
        <is>
          <t>Private</t>
        </is>
      </c>
      <c r="E1552" s="9" t="n">
        <v>2285</v>
      </c>
      <c r="F1552" s="9" t="n">
        <v>21885</v>
      </c>
      <c r="G1552" s="8">
        <f>RANK(F1552,$F$5:$F$1561)</f>
        <v/>
      </c>
      <c r="H1552" s="8" t="inlineStr"/>
      <c r="I1552" s="9">
        <f>IF(D1552="Private",E1552,"")</f>
        <v/>
      </c>
      <c r="J1552" s="9">
        <f>IF(D1552="Private",F1552,"")</f>
        <v/>
      </c>
    </row>
    <row r="1553">
      <c r="A1553" s="8" t="inlineStr">
        <is>
          <t>Caribbean University-Bayamon</t>
        </is>
      </c>
      <c r="B1553" s="8" t="inlineStr">
        <is>
          <t>Bayamon</t>
        </is>
      </c>
      <c r="C1553" s="8" t="inlineStr">
        <is>
          <t>PR</t>
        </is>
      </c>
      <c r="D1553" s="8" t="inlineStr">
        <is>
          <t>Private</t>
        </is>
      </c>
      <c r="E1553" s="9" t="n">
        <v>4846</v>
      </c>
      <c r="F1553" s="9" t="n">
        <v>21885</v>
      </c>
      <c r="G1553" s="8">
        <f>RANK(F1553,$F$5:$F$1561)</f>
        <v/>
      </c>
      <c r="H1553" s="8" t="inlineStr"/>
      <c r="I1553" s="9">
        <f>IF(D1553="Private",E1553,"")</f>
        <v/>
      </c>
      <c r="J1553" s="9">
        <f>IF(D1553="Private",F1553,"")</f>
        <v/>
      </c>
    </row>
    <row r="1554">
      <c r="A1554" s="8" t="inlineStr">
        <is>
          <t>University of Puerto Rico-Utuado</t>
        </is>
      </c>
      <c r="B1554" s="8" t="inlineStr">
        <is>
          <t>Utuado</t>
        </is>
      </c>
      <c r="C1554" s="8" t="inlineStr">
        <is>
          <t>PR</t>
        </is>
      </c>
      <c r="D1554" s="8" t="inlineStr">
        <is>
          <t>Public</t>
        </is>
      </c>
      <c r="E1554" s="9" t="n">
        <v>12455</v>
      </c>
      <c r="F1554" s="9" t="n">
        <v>21778</v>
      </c>
      <c r="G1554" s="8">
        <f>RANK(F1554,$F$5:$F$1561)</f>
        <v/>
      </c>
      <c r="H1554" s="8" t="inlineStr"/>
      <c r="I1554" s="9">
        <f>IF(D1554="Private",E1554,"")</f>
        <v/>
      </c>
      <c r="J1554" s="9">
        <f>IF(D1554="Private",F1554,"")</f>
        <v/>
      </c>
    </row>
    <row r="1555">
      <c r="A1555" s="8" t="inlineStr">
        <is>
          <t>American University of Puerto Rico</t>
        </is>
      </c>
      <c r="B1555" s="8" t="inlineStr">
        <is>
          <t>Manati</t>
        </is>
      </c>
      <c r="C1555" s="8" t="inlineStr">
        <is>
          <t>PR</t>
        </is>
      </c>
      <c r="D1555" s="8" t="inlineStr">
        <is>
          <t>Private</t>
        </is>
      </c>
      <c r="E1555" s="9" t="n">
        <v>10858</v>
      </c>
      <c r="F1555" s="9" t="n">
        <v>21114</v>
      </c>
      <c r="G1555" s="8">
        <f>RANK(F1555,$F$5:$F$1561)</f>
        <v/>
      </c>
      <c r="H1555" s="8" t="inlineStr"/>
      <c r="I1555" s="9">
        <f>IF(D1555="Private",E1555,"")</f>
        <v/>
      </c>
      <c r="J1555" s="9">
        <f>IF(D1555="Private",F1555,"")</f>
        <v/>
      </c>
    </row>
    <row r="1556">
      <c r="A1556" s="8" t="inlineStr">
        <is>
          <t>American University of Puerto Rico</t>
        </is>
      </c>
      <c r="B1556" s="8" t="inlineStr">
        <is>
          <t>Bayamon</t>
        </is>
      </c>
      <c r="C1556" s="8" t="inlineStr">
        <is>
          <t>PR</t>
        </is>
      </c>
      <c r="D1556" s="8" t="inlineStr">
        <is>
          <t>Private</t>
        </is>
      </c>
      <c r="E1556" s="9" t="n">
        <v>11232</v>
      </c>
      <c r="F1556" s="9" t="n">
        <v>21114</v>
      </c>
      <c r="G1556" s="8">
        <f>RANK(F1556,$F$5:$F$1561)</f>
        <v/>
      </c>
      <c r="H1556" s="8" t="inlineStr"/>
      <c r="I1556" s="9">
        <f>IF(D1556="Private",E1556,"")</f>
        <v/>
      </c>
      <c r="J1556" s="9">
        <f>IF(D1556="Private",F1556,"")</f>
        <v/>
      </c>
    </row>
    <row r="1557">
      <c r="A1557" s="8" t="inlineStr">
        <is>
          <t>EDP University of Puerto Rico Inc-San Juan</t>
        </is>
      </c>
      <c r="B1557" s="8" t="inlineStr">
        <is>
          <t>San Juan</t>
        </is>
      </c>
      <c r="C1557" s="8" t="inlineStr">
        <is>
          <t>PR</t>
        </is>
      </c>
      <c r="D1557" s="8" t="inlineStr">
        <is>
          <t>Private</t>
        </is>
      </c>
      <c r="E1557" s="9" t="n">
        <v>6168</v>
      </c>
      <c r="F1557" s="9" t="n">
        <v>21063</v>
      </c>
      <c r="G1557" s="8">
        <f>RANK(F1557,$F$5:$F$1561)</f>
        <v/>
      </c>
      <c r="H1557" s="8" t="inlineStr"/>
      <c r="I1557" s="9">
        <f>IF(D1557="Private",E1557,"")</f>
        <v/>
      </c>
      <c r="J1557" s="9">
        <f>IF(D1557="Private",F1557,"")</f>
        <v/>
      </c>
    </row>
    <row r="1558">
      <c r="A1558" s="8" t="inlineStr">
        <is>
          <t>Inter American University of Puerto Rico-Fajardo</t>
        </is>
      </c>
      <c r="B1558" s="8" t="inlineStr">
        <is>
          <t>Fajardo</t>
        </is>
      </c>
      <c r="C1558" s="8" t="inlineStr">
        <is>
          <t>PR</t>
        </is>
      </c>
      <c r="D1558" s="8" t="inlineStr">
        <is>
          <t>Private</t>
        </is>
      </c>
      <c r="E1558" s="9" t="n">
        <v>8773</v>
      </c>
      <c r="F1558" s="9" t="n">
        <v>20402</v>
      </c>
      <c r="G1558" s="8">
        <f>RANK(F1558,$F$5:$F$1561)</f>
        <v/>
      </c>
      <c r="H1558" s="8" t="inlineStr"/>
      <c r="I1558" s="9">
        <f>IF(D1558="Private",E1558,"")</f>
        <v/>
      </c>
      <c r="J1558" s="9">
        <f>IF(D1558="Private",F1558,"")</f>
        <v/>
      </c>
    </row>
    <row r="1559">
      <c r="A1559" s="8" t="inlineStr">
        <is>
          <t>Humacao Community College</t>
        </is>
      </c>
      <c r="B1559" s="8" t="inlineStr">
        <is>
          <t>Humacao</t>
        </is>
      </c>
      <c r="C1559" s="8" t="inlineStr">
        <is>
          <t>PR</t>
        </is>
      </c>
      <c r="D1559" s="8" t="inlineStr">
        <is>
          <t>Private</t>
        </is>
      </c>
      <c r="E1559" s="9" t="n">
        <v>2963</v>
      </c>
      <c r="F1559" s="9" t="n">
        <v>19424</v>
      </c>
      <c r="G1559" s="8">
        <f>RANK(F1559,$F$5:$F$1561)</f>
        <v/>
      </c>
      <c r="H1559" s="8" t="inlineStr"/>
      <c r="I1559" s="9">
        <f>IF(D1559="Private",E1559,"")</f>
        <v/>
      </c>
      <c r="J1559" s="9">
        <f>IF(D1559="Private",F1559,"")</f>
        <v/>
      </c>
    </row>
    <row r="1560">
      <c r="A1560" s="8" t="inlineStr">
        <is>
          <t>Southeastern Baptist College</t>
        </is>
      </c>
      <c r="B1560" s="8" t="inlineStr">
        <is>
          <t>Laurel</t>
        </is>
      </c>
      <c r="C1560" s="8" t="inlineStr">
        <is>
          <t>MS</t>
        </is>
      </c>
      <c r="D1560" s="8" t="inlineStr">
        <is>
          <t>Private</t>
        </is>
      </c>
      <c r="E1560" s="9" t="n">
        <v>6774</v>
      </c>
      <c r="F1560" s="9" t="n">
        <v>19174</v>
      </c>
      <c r="G1560" s="8">
        <f>RANK(F1560,$F$5:$F$1561)</f>
        <v/>
      </c>
      <c r="H1560" s="8" t="inlineStr"/>
      <c r="I1560" s="9">
        <f>IF(D1560="Private",E1560,"")</f>
        <v/>
      </c>
      <c r="J1560" s="9">
        <f>IF(D1560="Private",F1560,"")</f>
        <v/>
      </c>
    </row>
    <row r="1561">
      <c r="A1561" s="8" t="inlineStr">
        <is>
          <t>Dewey University-Carolina</t>
        </is>
      </c>
      <c r="B1561" s="8" t="inlineStr">
        <is>
          <t>Carolina</t>
        </is>
      </c>
      <c r="C1561" s="8" t="inlineStr">
        <is>
          <t>PR</t>
        </is>
      </c>
      <c r="D1561" s="8" t="inlineStr">
        <is>
          <t>Private</t>
        </is>
      </c>
      <c r="E1561" s="9" t="n">
        <v>4263</v>
      </c>
      <c r="F1561" s="9" t="n">
        <v>18791</v>
      </c>
      <c r="G1561" s="8">
        <f>RANK(F1561,$F$5:$F$1561)</f>
        <v/>
      </c>
      <c r="H1561" s="8" t="inlineStr"/>
      <c r="I1561" s="9">
        <f>IF(D1561="Private",E1561,"")</f>
        <v/>
      </c>
      <c r="J1561" s="9">
        <f>IF(D1561="Private",F1561,"")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10" customWidth="1" min="2" max="2"/>
    <col width="10" customWidth="1" min="3" max="3"/>
    <col width="18" customWidth="1" min="4" max="4"/>
    <col width="22" customWidth="1" min="5" max="5"/>
    <col width="22" customWidth="1" min="6" max="6"/>
    <col width="34" customWidth="1" min="7" max="7"/>
  </cols>
  <sheetData>
    <row r="1">
      <c r="A1" s="1" t="inlineStr">
        <is>
          <t>Slide 2: '_____ are realistic and aware of the financial challenges confronting my institution'</t>
        </is>
      </c>
    </row>
    <row r="2">
      <c r="A2" s="2" t="inlineStr">
        <is>
          <t>Percent of business officers answering 4 or 5 on a five-point scale. Values as printed on the original slide.</t>
        </is>
      </c>
    </row>
    <row r="4">
      <c r="A4" s="5" t="inlineStr">
        <is>
          <t>Survey year</t>
        </is>
      </c>
      <c r="B4" s="5" t="inlineStr">
        <is>
          <t>Faculty</t>
        </is>
      </c>
      <c r="C4" s="5" t="inlineStr">
        <is>
          <t>Trustees</t>
        </is>
      </c>
      <c r="D4" s="5" t="inlineStr">
        <is>
          <t>Sr. Administrators</t>
        </is>
      </c>
      <c r="E4" s="5" t="inlineStr">
        <is>
          <t>Gap: Trustees minus Faculty (pts)</t>
        </is>
      </c>
      <c r="F4" s="5" t="inlineStr">
        <is>
          <t>Gap: Sr. Admin minus Faculty (pts)</t>
        </is>
      </c>
      <c r="G4" s="5" t="inlineStr">
        <is>
          <t>On slide?</t>
        </is>
      </c>
    </row>
    <row r="5">
      <c r="A5" s="10" t="n">
        <v>2014</v>
      </c>
      <c r="B5" s="18" t="n">
        <v>0.22</v>
      </c>
      <c r="C5" s="18" t="n">
        <v>0.67</v>
      </c>
      <c r="D5" s="18" t="n">
        <v>0.75</v>
      </c>
      <c r="E5" s="19">
        <f>(C5-B5)*100</f>
        <v/>
      </c>
      <c r="F5" s="19">
        <f>(D5-B5)*100</f>
        <v/>
      </c>
      <c r="G5" s="10" t="inlineStr">
        <is>
          <t>Removed per request</t>
        </is>
      </c>
    </row>
    <row r="6">
      <c r="A6" s="10" t="n">
        <v>2015</v>
      </c>
      <c r="B6" s="18" t="n">
        <v>0.33</v>
      </c>
      <c r="C6" s="18" t="n">
        <v>0.79</v>
      </c>
      <c r="D6" s="18" t="n">
        <v>0.88</v>
      </c>
      <c r="E6" s="19">
        <f>(C6-B6)*100</f>
        <v/>
      </c>
      <c r="F6" s="19">
        <f>(D6-B6)*100</f>
        <v/>
      </c>
      <c r="G6" s="10" t="inlineStr">
        <is>
          <t>Yes</t>
        </is>
      </c>
    </row>
    <row r="7">
      <c r="A7" s="10" t="n">
        <v>2016</v>
      </c>
      <c r="B7" s="18" t="n">
        <v>0.27</v>
      </c>
      <c r="C7" s="18" t="n">
        <v>0.74</v>
      </c>
      <c r="D7" s="18" t="n">
        <v>0.86</v>
      </c>
      <c r="E7" s="19">
        <f>(C7-B7)*100</f>
        <v/>
      </c>
      <c r="F7" s="19">
        <f>(D7-B7)*100</f>
        <v/>
      </c>
      <c r="G7" s="10" t="inlineStr">
        <is>
          <t>Yes</t>
        </is>
      </c>
    </row>
    <row r="8">
      <c r="A8" s="10" t="n">
        <v>2017</v>
      </c>
      <c r="B8" s="18" t="n">
        <v>0.32</v>
      </c>
      <c r="C8" s="18" t="n">
        <v>0.77</v>
      </c>
      <c r="D8" s="18" t="n">
        <v>0.85</v>
      </c>
      <c r="E8" s="19">
        <f>(C8-B8)*100</f>
        <v/>
      </c>
      <c r="F8" s="19">
        <f>(D8-B8)*100</f>
        <v/>
      </c>
      <c r="G8" s="10" t="inlineStr">
        <is>
          <t>Yes</t>
        </is>
      </c>
    </row>
    <row r="9">
      <c r="A9" s="10" t="n">
        <v>2018</v>
      </c>
      <c r="B9" s="18" t="n">
        <v>0.44</v>
      </c>
      <c r="C9" s="18" t="n">
        <v>0.78</v>
      </c>
      <c r="D9" s="18" t="n">
        <v>0.8</v>
      </c>
      <c r="E9" s="19">
        <f>(C9-B9)*100</f>
        <v/>
      </c>
      <c r="F9" s="19">
        <f>(D9-B9)*100</f>
        <v/>
      </c>
      <c r="G9" s="10" t="inlineStr">
        <is>
          <t>Yes</t>
        </is>
      </c>
    </row>
    <row r="10">
      <c r="A10" s="10" t="n">
        <v>2019</v>
      </c>
      <c r="B10" s="18" t="n">
        <v>0.32</v>
      </c>
      <c r="C10" s="18" t="n">
        <v>0.78</v>
      </c>
      <c r="D10" s="18" t="n">
        <v>0.9</v>
      </c>
      <c r="E10" s="19">
        <f>(C10-B10)*100</f>
        <v/>
      </c>
      <c r="F10" s="19">
        <f>(D10-B10)*100</f>
        <v/>
      </c>
      <c r="G10" s="10" t="inlineStr">
        <is>
          <t>Yes</t>
        </is>
      </c>
    </row>
    <row r="11">
      <c r="A11" s="10" t="n">
        <v>2020</v>
      </c>
      <c r="B11" s="18" t="n">
        <v>0.31</v>
      </c>
      <c r="C11" s="18" t="n">
        <v>0.87</v>
      </c>
      <c r="D11" s="18" t="n">
        <v>0.93</v>
      </c>
      <c r="E11" s="19">
        <f>(C11-B11)*100</f>
        <v/>
      </c>
      <c r="F11" s="19">
        <f>(D11-B11)*100</f>
        <v/>
      </c>
      <c r="G11" s="10" t="inlineStr">
        <is>
          <t>Yes</t>
        </is>
      </c>
    </row>
    <row r="12">
      <c r="A12" s="10" t="n">
        <v>2021</v>
      </c>
      <c r="B12" s="18" t="n">
        <v>0.5</v>
      </c>
      <c r="C12" s="18" t="n">
        <v>0.85</v>
      </c>
      <c r="D12" s="18" t="n">
        <v>0.9</v>
      </c>
      <c r="E12" s="19">
        <f>(C12-B12)*100</f>
        <v/>
      </c>
      <c r="F12" s="19">
        <f>(D12-B12)*100</f>
        <v/>
      </c>
      <c r="G12" s="10" t="inlineStr">
        <is>
          <t>Yes</t>
        </is>
      </c>
    </row>
    <row r="13">
      <c r="A13" s="10" t="n">
        <v>2022</v>
      </c>
      <c r="B13" s="18" t="n">
        <v>0.28</v>
      </c>
      <c r="C13" s="18" t="n">
        <v>0.91</v>
      </c>
      <c r="D13" s="18" t="n">
        <v>0.91</v>
      </c>
      <c r="E13" s="19">
        <f>(C13-B13)*100</f>
        <v/>
      </c>
      <c r="F13" s="19">
        <f>(D13-B13)*100</f>
        <v/>
      </c>
      <c r="G13" s="10" t="inlineStr">
        <is>
          <t>Yes</t>
        </is>
      </c>
    </row>
    <row r="14">
      <c r="A14" s="10" t="n">
        <v>2023</v>
      </c>
      <c r="B14" s="18" t="n">
        <v>0.45</v>
      </c>
      <c r="C14" s="18" t="n">
        <v>0.86</v>
      </c>
      <c r="D14" s="18" t="n">
        <v>0.91</v>
      </c>
      <c r="E14" s="19">
        <f>(C14-B14)*100</f>
        <v/>
      </c>
      <c r="F14" s="19">
        <f>(D14-B14)*100</f>
        <v/>
      </c>
      <c r="G14" s="10" t="inlineStr">
        <is>
          <t>Yes</t>
        </is>
      </c>
    </row>
    <row r="15">
      <c r="A15" s="10" t="n">
        <v>2024</v>
      </c>
      <c r="B15" s="18" t="n">
        <v>0.44</v>
      </c>
      <c r="C15" s="18" t="n">
        <v>0.91</v>
      </c>
      <c r="D15" s="18" t="n">
        <v>0.95</v>
      </c>
      <c r="E15" s="19">
        <f>(C15-B15)*100</f>
        <v/>
      </c>
      <c r="F15" s="19">
        <f>(D15-B15)*100</f>
        <v/>
      </c>
      <c r="G15" s="10" t="inlineStr">
        <is>
          <t>Yes</t>
        </is>
      </c>
    </row>
    <row r="16">
      <c r="A16" s="10" t="n">
        <v>2025</v>
      </c>
      <c r="G16" s="20" t="inlineStr">
        <is>
          <t>Not yet sourced (see Data_needed)</t>
        </is>
      </c>
    </row>
    <row r="17">
      <c r="A17" s="10" t="n">
        <v>2026</v>
      </c>
      <c r="G17" s="20" t="inlineStr">
        <is>
          <t>Newer edition exists (July 2026); not yet sourced</t>
        </is>
      </c>
    </row>
    <row r="19">
      <c r="A19" s="3" t="inlineStr">
        <is>
          <t>Averages 2015-2024</t>
        </is>
      </c>
      <c r="B19" s="21">
        <f>AVERAGE(B6:B15)</f>
        <v/>
      </c>
      <c r="C19" s="21">
        <f>AVERAGE(C6:C15)</f>
        <v/>
      </c>
      <c r="D19" s="21">
        <f>AVERAGE(D6:D15)</f>
        <v/>
      </c>
      <c r="E19" s="22">
        <f>AVERAGE(E6:E15)</f>
        <v/>
      </c>
      <c r="F19" s="22">
        <f>AVERAGE(F6:F15)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cols>
    <col width="16" customWidth="1" min="1" max="1"/>
    <col width="16" customWidth="1" min="2" max="2"/>
    <col width="18" customWidth="1" min="3" max="3"/>
    <col width="10" customWidth="1" min="4" max="4"/>
    <col width="14" customWidth="1" min="5" max="5"/>
    <col width="14" customWidth="1" min="6" max="6"/>
    <col width="14" customWidth="1" min="7" max="7"/>
    <col width="16" customWidth="1" min="8" max="8"/>
    <col width="22" customWidth="1" min="9" max="9"/>
    <col width="14" customWidth="1" min="10" max="10"/>
    <col width="16" customWidth="1" min="11" max="11"/>
    <col width="16" customWidth="1" min="12" max="12"/>
    <col width="12" customWidth="1" min="13" max="13"/>
    <col width="12" customWidth="1" min="14" max="14"/>
    <col width="14" customWidth="1" min="15" max="15"/>
  </cols>
  <sheetData>
    <row r="1">
      <c r="A1" s="1" t="inlineStr">
        <is>
          <t>Slide 3: FY23 salaries &amp; wages per student (inputs from the original chart's embedded workbook)</t>
        </is>
      </c>
    </row>
    <row r="2">
      <c r="A2" s="2" t="inlineStr">
        <is>
          <t>Derived columns are formulas. FY22 columns are from the same embedded workbook and are used only for the consistency check.</t>
        </is>
      </c>
    </row>
    <row r="4">
      <c r="A4" s="5" t="inlineStr">
        <is>
          <t>Institution</t>
        </is>
      </c>
      <c r="B4" s="5" t="inlineStr">
        <is>
          <t>S&amp;W ($)</t>
        </is>
      </c>
      <c r="C4" s="5" t="inlineStr">
        <is>
          <t>Core operating expenses ($)</t>
        </is>
      </c>
      <c r="D4" s="5" t="inlineStr">
        <is>
          <t>Students</t>
        </is>
      </c>
      <c r="E4" s="5" t="inlineStr">
        <is>
          <t>S&amp;W per student</t>
        </is>
      </c>
      <c r="F4" s="5" t="inlineStr">
        <is>
          <t>Opex per student (x)</t>
        </is>
      </c>
      <c r="G4" s="5" t="inlineStr">
        <is>
          <t>S&amp;W share of opex (y)</t>
        </is>
      </c>
      <c r="H4" s="5" t="inlineStr">
        <is>
          <t>Check: x*y - S&amp;W/student</t>
        </is>
      </c>
      <c r="I4" s="5" t="inlineStr">
        <is>
          <t>Label on original slide (S&amp;W/student)</t>
        </is>
      </c>
      <c r="J4" s="5" t="inlineStr">
        <is>
          <t>Health care system included?</t>
        </is>
      </c>
      <c r="K4" s="5" t="inlineStr">
        <is>
          <t>FY22 S&amp;W ($)</t>
        </is>
      </c>
      <c r="L4" s="5" t="inlineStr">
        <is>
          <t>FY22 core opex ($)</t>
        </is>
      </c>
      <c r="M4" s="5" t="inlineStr">
        <is>
          <t>S&amp;W growth FY22-23</t>
        </is>
      </c>
      <c r="N4" s="5" t="inlineStr">
        <is>
          <t>Opex growth FY22-23</t>
        </is>
      </c>
      <c r="O4" s="5" t="inlineStr">
        <is>
          <t>S&amp;W share change (pts)</t>
        </is>
      </c>
    </row>
    <row r="5">
      <c r="A5" s="10" t="inlineStr">
        <is>
          <t>Rice</t>
        </is>
      </c>
      <c r="B5" s="23" t="n">
        <v>421781000</v>
      </c>
      <c r="C5" s="23" t="n">
        <v>959377000</v>
      </c>
      <c r="D5" s="23" t="n">
        <v>8285</v>
      </c>
      <c r="E5" s="24">
        <f>B5/D5</f>
        <v/>
      </c>
      <c r="F5" s="24">
        <f>C5/D5</f>
        <v/>
      </c>
      <c r="G5" s="25">
        <f>B5/C5</f>
        <v/>
      </c>
      <c r="H5" s="26">
        <f>F5*G5-E5</f>
        <v/>
      </c>
      <c r="I5" s="10" t="inlineStr">
        <is>
          <t>$51K</t>
        </is>
      </c>
      <c r="J5" s="10" t="inlineStr">
        <is>
          <t>No</t>
        </is>
      </c>
      <c r="K5" s="23" t="n">
        <v>373708000</v>
      </c>
      <c r="L5" s="23" t="n">
        <v>709233000</v>
      </c>
      <c r="M5" s="25">
        <f>B5/K5-1</f>
        <v/>
      </c>
      <c r="N5" s="25">
        <f>C5/L5-1</f>
        <v/>
      </c>
      <c r="O5" s="27">
        <f>(B5/C5-K5/L5)*100</f>
        <v/>
      </c>
    </row>
    <row r="6">
      <c r="A6" s="10" t="inlineStr">
        <is>
          <t>Vanderbilt</t>
        </is>
      </c>
      <c r="B6" s="23" t="n">
        <v>699234000</v>
      </c>
      <c r="C6" s="23" t="n">
        <v>1615854000</v>
      </c>
      <c r="D6" s="23" t="n">
        <v>13710</v>
      </c>
      <c r="E6" s="24">
        <f>B6/D6</f>
        <v/>
      </c>
      <c r="F6" s="24">
        <f>C6/D6</f>
        <v/>
      </c>
      <c r="G6" s="25">
        <f>B6/C6</f>
        <v/>
      </c>
      <c r="H6" s="26">
        <f>F6*G6-E6</f>
        <v/>
      </c>
      <c r="I6" s="10" t="inlineStr">
        <is>
          <t>$51K</t>
        </is>
      </c>
      <c r="J6" s="10" t="inlineStr">
        <is>
          <t>No</t>
        </is>
      </c>
      <c r="K6" s="23" t="n">
        <v>643643000</v>
      </c>
      <c r="L6" s="23" t="n">
        <v>1333104000</v>
      </c>
      <c r="M6" s="25">
        <f>B6/K6-1</f>
        <v/>
      </c>
      <c r="N6" s="25">
        <f>C6/L6-1</f>
        <v/>
      </c>
      <c r="O6" s="27">
        <f>(B6/C6-K6/L6)*100</f>
        <v/>
      </c>
    </row>
    <row r="7">
      <c r="A7" s="10" t="inlineStr">
        <is>
          <t>Northwestern</t>
        </is>
      </c>
      <c r="B7" s="23" t="n">
        <v>1219645336</v>
      </c>
      <c r="C7" s="23" t="n">
        <v>3038060000</v>
      </c>
      <c r="D7" s="23" t="n">
        <v>23000</v>
      </c>
      <c r="E7" s="24">
        <f>B7/D7</f>
        <v/>
      </c>
      <c r="F7" s="24">
        <f>C7/D7</f>
        <v/>
      </c>
      <c r="G7" s="25">
        <f>B7/C7</f>
        <v/>
      </c>
      <c r="H7" s="26">
        <f>F7*G7-E7</f>
        <v/>
      </c>
      <c r="I7" s="10" t="inlineStr">
        <is>
          <t>$53K</t>
        </is>
      </c>
      <c r="J7" s="10" t="inlineStr">
        <is>
          <t>No</t>
        </is>
      </c>
      <c r="K7" s="23" t="n">
        <v>1075509344</v>
      </c>
      <c r="L7" s="23" t="n">
        <v>2194507000</v>
      </c>
      <c r="M7" s="25">
        <f>B7/K7-1</f>
        <v/>
      </c>
      <c r="N7" s="25">
        <f>C7/L7-1</f>
        <v/>
      </c>
      <c r="O7" s="27">
        <f>(B7/C7-K7/L7)*100</f>
        <v/>
      </c>
    </row>
    <row r="8">
      <c r="A8" s="10" t="inlineStr">
        <is>
          <t>Princeton</t>
        </is>
      </c>
      <c r="B8" s="23" t="n">
        <v>969089000</v>
      </c>
      <c r="C8" s="23" t="n">
        <v>2263259000</v>
      </c>
      <c r="D8" s="23" t="n">
        <v>8778</v>
      </c>
      <c r="E8" s="24">
        <f>B8/D8</f>
        <v/>
      </c>
      <c r="F8" s="24">
        <f>C8/D8</f>
        <v/>
      </c>
      <c r="G8" s="25">
        <f>B8/C8</f>
        <v/>
      </c>
      <c r="H8" s="26">
        <f>F8*G8-E8</f>
        <v/>
      </c>
      <c r="I8" s="10" t="inlineStr">
        <is>
          <t>$110K</t>
        </is>
      </c>
      <c r="J8" s="10" t="inlineStr">
        <is>
          <t>No</t>
        </is>
      </c>
      <c r="K8" s="23" t="n">
        <v>863632000</v>
      </c>
      <c r="L8" s="23" t="n">
        <v>1689776000</v>
      </c>
      <c r="M8" s="25">
        <f>B8/K8-1</f>
        <v/>
      </c>
      <c r="N8" s="25">
        <f>C8/L8-1</f>
        <v/>
      </c>
      <c r="O8" s="27">
        <f>(B8/C8-K8/L8)*100</f>
        <v/>
      </c>
    </row>
    <row r="9">
      <c r="A9" s="10" t="inlineStr">
        <is>
          <t>Harvard</t>
        </is>
      </c>
      <c r="B9" s="23" t="n">
        <v>2421076000</v>
      </c>
      <c r="C9" s="23" t="n">
        <v>5911797000</v>
      </c>
      <c r="D9" s="23" t="n">
        <v>21400</v>
      </c>
      <c r="E9" s="24">
        <f>B9/D9</f>
        <v/>
      </c>
      <c r="F9" s="24">
        <f>C9/D9</f>
        <v/>
      </c>
      <c r="G9" s="25">
        <f>B9/C9</f>
        <v/>
      </c>
      <c r="H9" s="26">
        <f>F9*G9-E9</f>
        <v/>
      </c>
      <c r="I9" s="10" t="inlineStr">
        <is>
          <t>$113K</t>
        </is>
      </c>
      <c r="J9" s="10" t="inlineStr">
        <is>
          <t>No</t>
        </is>
      </c>
      <c r="K9" s="23" t="n">
        <v>2206342000</v>
      </c>
      <c r="L9" s="23" t="n">
        <v>4813739000</v>
      </c>
      <c r="M9" s="25">
        <f>B9/K9-1</f>
        <v/>
      </c>
      <c r="N9" s="25">
        <f>C9/L9-1</f>
        <v/>
      </c>
      <c r="O9" s="27">
        <f>(B9/C9-K9/L9)*100</f>
        <v/>
      </c>
    </row>
    <row r="10">
      <c r="A10" s="10" t="inlineStr">
        <is>
          <t>Yale</t>
        </is>
      </c>
      <c r="B10" s="23" t="n">
        <v>2328136000</v>
      </c>
      <c r="C10" s="23" t="n">
        <v>4936268000</v>
      </c>
      <c r="D10" s="23" t="n">
        <v>14751</v>
      </c>
      <c r="E10" s="24">
        <f>B10/D10</f>
        <v/>
      </c>
      <c r="F10" s="24">
        <f>C10/D10</f>
        <v/>
      </c>
      <c r="G10" s="25">
        <f>B10/C10</f>
        <v/>
      </c>
      <c r="H10" s="26">
        <f>F10*G10-E10</f>
        <v/>
      </c>
      <c r="I10" s="10" t="inlineStr">
        <is>
          <t>$158K</t>
        </is>
      </c>
      <c r="J10" s="10" t="inlineStr">
        <is>
          <t>No</t>
        </is>
      </c>
      <c r="K10" s="23" t="n">
        <v>2114898000</v>
      </c>
      <c r="L10" s="23" t="n">
        <v>4132505000</v>
      </c>
      <c r="M10" s="25">
        <f>B10/K10-1</f>
        <v/>
      </c>
      <c r="N10" s="25">
        <f>C10/L10-1</f>
        <v/>
      </c>
      <c r="O10" s="27">
        <f>(B10/C10-K10/L10)*100</f>
        <v/>
      </c>
    </row>
    <row r="11">
      <c r="A11" s="10" t="inlineStr">
        <is>
          <t>Chicago</t>
        </is>
      </c>
      <c r="B11" s="23" t="n">
        <v>3033100000</v>
      </c>
      <c r="C11" s="23" t="n">
        <v>6779655000</v>
      </c>
      <c r="D11" s="23" t="n">
        <v>18058</v>
      </c>
      <c r="E11" s="24">
        <f>B11/D11</f>
        <v/>
      </c>
      <c r="F11" s="24">
        <f>C11/D11</f>
        <v/>
      </c>
      <c r="G11" s="25">
        <f>B11/C11</f>
        <v/>
      </c>
      <c r="H11" s="26">
        <f>F11*G11-E11</f>
        <v/>
      </c>
      <c r="I11" s="10" t="inlineStr">
        <is>
          <t>$168K</t>
        </is>
      </c>
      <c r="J11" s="10" t="inlineStr">
        <is>
          <t>Yes</t>
        </is>
      </c>
      <c r="K11" s="23" t="n">
        <v>2600334000</v>
      </c>
      <c r="L11" s="23" t="n">
        <v>5138058000</v>
      </c>
      <c r="M11" s="25">
        <f>B11/K11-1</f>
        <v/>
      </c>
      <c r="N11" s="25">
        <f>C11/L11-1</f>
        <v/>
      </c>
      <c r="O11" s="27">
        <f>(B11/C11-K11/L11)*100</f>
        <v/>
      </c>
    </row>
    <row r="12">
      <c r="A12" s="10" t="inlineStr">
        <is>
          <t>Duke</t>
        </is>
      </c>
      <c r="B12" s="23" t="n">
        <v>3676675000</v>
      </c>
      <c r="C12" s="23" t="n">
        <v>8431382000</v>
      </c>
      <c r="D12" s="23" t="n">
        <v>18009</v>
      </c>
      <c r="E12" s="24">
        <f>B12/D12</f>
        <v/>
      </c>
      <c r="F12" s="24">
        <f>C12/D12</f>
        <v/>
      </c>
      <c r="G12" s="25">
        <f>B12/C12</f>
        <v/>
      </c>
      <c r="H12" s="26">
        <f>F12*G12-E12</f>
        <v/>
      </c>
      <c r="I12" s="10" t="inlineStr">
        <is>
          <t>$204K</t>
        </is>
      </c>
      <c r="J12" s="10" t="inlineStr">
        <is>
          <t>Yes</t>
        </is>
      </c>
      <c r="K12" s="23" t="n">
        <v>3323321000</v>
      </c>
      <c r="L12" s="23" t="n">
        <v>7127127000</v>
      </c>
      <c r="M12" s="25">
        <f>B12/K12-1</f>
        <v/>
      </c>
      <c r="N12" s="25">
        <f>C12/L12-1</f>
        <v/>
      </c>
      <c r="O12" s="27">
        <f>(B12/C12-K12/L12)*100</f>
        <v/>
      </c>
    </row>
    <row r="13">
      <c r="A13" s="10" t="inlineStr">
        <is>
          <t>Emory</t>
        </is>
      </c>
      <c r="B13" s="23" t="n">
        <v>4313737000</v>
      </c>
      <c r="C13" s="23" t="n">
        <v>8570621000</v>
      </c>
      <c r="D13" s="23" t="n">
        <v>16000</v>
      </c>
      <c r="E13" s="24">
        <f>B13/D13</f>
        <v/>
      </c>
      <c r="F13" s="24">
        <f>C13/D13</f>
        <v/>
      </c>
      <c r="G13" s="25">
        <f>B13/C13</f>
        <v/>
      </c>
      <c r="H13" s="26">
        <f>F13*G13-E13</f>
        <v/>
      </c>
      <c r="I13" s="10" t="inlineStr">
        <is>
          <t>$269 (K missing)</t>
        </is>
      </c>
      <c r="J13" s="10" t="inlineStr">
        <is>
          <t>Yes</t>
        </is>
      </c>
      <c r="K13" s="23" t="n">
        <v>3601666000</v>
      </c>
      <c r="L13" s="23" t="n">
        <v>6777032000</v>
      </c>
      <c r="M13" s="25">
        <f>B13/K13-1</f>
        <v/>
      </c>
      <c r="N13" s="25">
        <f>C13/L13-1</f>
        <v/>
      </c>
      <c r="O13" s="27">
        <f>(B13/C13-K13/L13)*100</f>
        <v/>
      </c>
    </row>
    <row r="14">
      <c r="A14" s="10" t="inlineStr">
        <is>
          <t>Penn</t>
        </is>
      </c>
      <c r="B14" s="23" t="n">
        <v>5636695792</v>
      </c>
      <c r="C14" s="23" t="n">
        <v>13857148000</v>
      </c>
      <c r="D14" s="23" t="n">
        <v>23374</v>
      </c>
      <c r="E14" s="24">
        <f>B14/D14</f>
        <v/>
      </c>
      <c r="F14" s="24">
        <f>C14/D14</f>
        <v/>
      </c>
      <c r="G14" s="25">
        <f>B14/C14</f>
        <v/>
      </c>
      <c r="H14" s="26">
        <f>F14*G14-E14</f>
        <v/>
      </c>
      <c r="I14" s="10" t="inlineStr">
        <is>
          <t>$241K</t>
        </is>
      </c>
      <c r="J14" s="10" t="inlineStr">
        <is>
          <t>Yes</t>
        </is>
      </c>
      <c r="K14" s="23" t="n">
        <v>5248360208</v>
      </c>
      <c r="L14" s="23" t="n">
        <v>12017181000</v>
      </c>
      <c r="M14" s="25">
        <f>B14/K14-1</f>
        <v/>
      </c>
      <c r="N14" s="25">
        <f>C14/L14-1</f>
        <v/>
      </c>
      <c r="O14" s="27">
        <f>(B14/C14-K14/L14)*100</f>
        <v/>
      </c>
    </row>
    <row r="15">
      <c r="A15" s="10" t="inlineStr">
        <is>
          <t>Stanford</t>
        </is>
      </c>
      <c r="B15" s="23" t="n">
        <v>7106067696</v>
      </c>
      <c r="C15" s="23" t="n">
        <v>16053362000</v>
      </c>
      <c r="D15" s="23" t="n">
        <v>17529</v>
      </c>
      <c r="E15" s="24">
        <f>B15/D15</f>
        <v/>
      </c>
      <c r="F15" s="24">
        <f>C15/D15</f>
        <v/>
      </c>
      <c r="G15" s="25">
        <f>B15/C15</f>
        <v/>
      </c>
      <c r="H15" s="26">
        <f>F15*G15-E15</f>
        <v/>
      </c>
      <c r="I15" s="10" t="inlineStr">
        <is>
          <t>$405K</t>
        </is>
      </c>
      <c r="J15" s="10" t="inlineStr">
        <is>
          <t>Yes</t>
        </is>
      </c>
      <c r="K15" s="23" t="n">
        <v>6466000632</v>
      </c>
      <c r="L15" s="23" t="n">
        <v>13459407000</v>
      </c>
      <c r="M15" s="25">
        <f>B15/K15-1</f>
        <v/>
      </c>
      <c r="N15" s="25">
        <f>C15/L15-1</f>
        <v/>
      </c>
      <c r="O15" s="27">
        <f>(B15/C15-K15/L15)*100</f>
        <v/>
      </c>
    </row>
    <row r="17">
      <c r="A17" s="3" t="inlineStr">
        <is>
          <t>Median</t>
        </is>
      </c>
      <c r="M17" s="28">
        <f>MEDIAN(M5:M15)</f>
        <v/>
      </c>
      <c r="N17" s="28">
        <f>MEDIAN(N5:N15)</f>
        <v/>
      </c>
      <c r="O17" s="22">
        <f>MEDIAN(O5:O15)</f>
        <v/>
      </c>
    </row>
    <row r="18">
      <c r="A18" s="3" t="inlineStr">
        <is>
          <t>Max / min S&amp;W per student</t>
        </is>
      </c>
      <c r="E18" s="29">
        <f>MAX(E5:E15)/MIN(E5:E15)</f>
        <v/>
      </c>
    </row>
    <row r="19">
      <c r="A19" s="3" t="inlineStr">
        <is>
          <t>Institutions with S&amp;W share falling FY22-23</t>
        </is>
      </c>
      <c r="E19" s="3">
        <f>COUNTIF(O5:O15,"&lt;0")&amp;" of "&amp;COUNT(O5:O15)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5" customWidth="1" min="1" max="1"/>
    <col width="7" customWidth="1" min="2" max="2"/>
    <col width="70" customWidth="1" min="3" max="3"/>
    <col width="90" customWidth="1" min="4" max="4"/>
    <col width="12" customWidth="1" min="5" max="5"/>
  </cols>
  <sheetData>
    <row r="1">
      <c r="A1" s="1" t="inlineStr">
        <is>
          <t>Checks run on the original numbers, and disconnects found</t>
        </is>
      </c>
    </row>
    <row r="3">
      <c r="A3" s="5" t="inlineStr">
        <is>
          <t>#</t>
        </is>
      </c>
      <c r="B3" s="5" t="inlineStr">
        <is>
          <t>Slide</t>
        </is>
      </c>
      <c r="C3" s="5" t="inlineStr">
        <is>
          <t>Check / observation</t>
        </is>
      </c>
      <c r="D3" s="5" t="inlineStr">
        <is>
          <t>Result</t>
        </is>
      </c>
      <c r="E3" s="5" t="inlineStr">
        <is>
          <t>Status</t>
        </is>
      </c>
    </row>
    <row r="4">
      <c r="A4" s="4" t="n">
        <v>1</v>
      </c>
      <c r="B4" s="4" t="inlineStr">
        <is>
          <t>1</t>
        </is>
      </c>
      <c r="C4" s="4" t="inlineStr">
        <is>
          <t>587 public + 970 private = 1,557 institutions</t>
        </is>
      </c>
      <c r="D4" s="4" t="inlineStr">
        <is>
          <t>Confirmed from the embedded data (see S1_Scorecard summary).</t>
        </is>
      </c>
      <c r="E4" s="30" t="inlineStr">
        <is>
          <t>Pass</t>
        </is>
      </c>
    </row>
    <row r="5">
      <c r="A5" s="4" t="n">
        <v>2</v>
      </c>
      <c r="B5" s="4" t="inlineStr">
        <is>
          <t>1</t>
        </is>
      </c>
      <c r="C5" s="4" t="inlineStr">
        <is>
          <t>Vanderbilt ranks 53rd of 1,557 by median earnings (title)</t>
        </is>
      </c>
      <c r="D5" s="4" t="inlineStr">
        <is>
          <t>Confirmed; no ties at $84,415.</t>
        </is>
      </c>
      <c r="E5" s="30" t="inlineStr">
        <is>
          <t>Pass</t>
        </is>
      </c>
    </row>
    <row r="6">
      <c r="A6" s="4" t="n">
        <v>3</v>
      </c>
      <c r="B6" s="4" t="inlineStr">
        <is>
          <t>1</t>
        </is>
      </c>
      <c r="C6" s="4" t="inlineStr">
        <is>
          <t>Plotted 'private college trendline' = OLS fit on private institutions only</t>
        </is>
      </c>
      <c r="D6" s="4" t="inlineStr">
        <is>
          <t>Reproduced: slope 1.035, intercept $29,753, r = 0.49, R-squared = 0.24. Weak fit: 'better deal / worse deal' is directional only.</t>
        </is>
      </c>
      <c r="E6" s="30" t="inlineStr">
        <is>
          <t>Pass / caveat</t>
        </is>
      </c>
    </row>
    <row r="7">
      <c r="A7" s="4" t="n">
        <v>4</v>
      </c>
      <c r="B7" s="4" t="inlineStr">
        <is>
          <t>1</t>
        </is>
      </c>
      <c r="C7" s="4" t="inlineStr">
        <is>
          <t>Northeastern position (Oct 2023 vintage)</t>
        </is>
      </c>
      <c r="D7" s="4" t="inlineStr">
        <is>
          <t>Rank 38 of 1,557 (34 of 970 private); earnings $88,842 at net price $34,255; about $23.6K above the private trendline. BU rank 75; MIT rank 2.</t>
        </is>
      </c>
      <c r="E7" s="30" t="inlineStr">
        <is>
          <t>Info</t>
        </is>
      </c>
    </row>
    <row r="8">
      <c r="A8" s="4" t="n">
        <v>5</v>
      </c>
      <c r="B8" s="4" t="inlineStr">
        <is>
          <t>1</t>
        </is>
      </c>
      <c r="C8" s="4" t="inlineStr">
        <is>
          <t>Title/axis say '10 years after graduation'; footnote 1 says '10th year after enrollment'</t>
        </is>
      </c>
      <c r="D8" s="4" t="inlineStr">
        <is>
          <t>Field MD_EARN_WNE_P10 is measured from enrollment. Slide now says 'after entry'. For 4-year graduates that is about 6 years after graduation; for co-op/5-year programs about 5.</t>
        </is>
      </c>
      <c r="E8" s="30" t="inlineStr">
        <is>
          <t>Fixed</t>
        </is>
      </c>
    </row>
    <row r="9">
      <c r="A9" s="4" t="n">
        <v>6</v>
      </c>
      <c r="B9" s="4" t="inlineStr">
        <is>
          <t>1</t>
        </is>
      </c>
      <c r="C9" s="4" t="inlineStr">
        <is>
          <t>Price and earnings are on different bases</t>
        </is>
      </c>
      <c r="D9" s="4" t="inlineStr">
        <is>
          <t>Net price is a recent-year figure for Title IV aided students; earnings are for aided students who enrolled about a decade earlier and are working, not enrolled. Excludes students who go on to graduate school, so schools that feed graduate programs are understated.</t>
        </is>
      </c>
      <c r="E9" s="30" t="inlineStr">
        <is>
          <t>Caveat</t>
        </is>
      </c>
    </row>
    <row r="10">
      <c r="A10" s="4" t="n">
        <v>7</v>
      </c>
      <c r="B10" s="4" t="inlineStr">
        <is>
          <t>1</t>
        </is>
      </c>
      <c r="C10" s="4" t="inlineStr">
        <is>
          <t>Institutions no longer separate</t>
        </is>
      </c>
      <c r="D10" s="4" t="inlineStr">
        <is>
          <t>University of the Sciences merged into Saint Joseph's in 2022 but is still in the Oct 2023 file. 'Mills College at Northeastern University' (CA) is a separate row; the highlight uses Northeastern University (Boston, MA).</t>
        </is>
      </c>
      <c r="E10" s="31" t="inlineStr">
        <is>
          <t>Open (refresh)</t>
        </is>
      </c>
    </row>
    <row r="11">
      <c r="A11" s="4" t="n">
        <v>8</v>
      </c>
      <c r="B11" s="4" t="inlineStr">
        <is>
          <t>1</t>
        </is>
      </c>
      <c r="C11" s="4" t="inlineStr">
        <is>
          <t>MIT net price $5,084 is the lowest in the file by a wide margin</t>
        </is>
      </c>
      <c r="D11" s="4" t="inlineStr">
        <is>
          <t>Value is as published in that release; spot-check on the refreshed file before showing MIT as a benchmark.</t>
        </is>
      </c>
      <c r="E11" s="31" t="inlineStr">
        <is>
          <t>Open (refresh)</t>
        </is>
      </c>
    </row>
    <row r="12">
      <c r="A12" s="4" t="n">
        <v>9</v>
      </c>
      <c r="B12" s="4" t="inlineStr">
        <is>
          <t>1</t>
        </is>
      </c>
      <c r="C12" s="4" t="inlineStr">
        <is>
          <t>Vanderbilt-internal speaker notes ('VU Factbook Master Slide', preparer name)</t>
        </is>
      </c>
      <c r="D12" s="4" t="inlineStr">
        <is>
          <t>Not carried into the new deck.</t>
        </is>
      </c>
      <c r="E12" s="30" t="inlineStr">
        <is>
          <t>Fixed</t>
        </is>
      </c>
    </row>
    <row r="13">
      <c r="A13" s="4" t="n">
        <v>10</v>
      </c>
      <c r="B13" s="4" t="inlineStr">
        <is>
          <t>2</t>
        </is>
      </c>
      <c r="C13" s="4" t="inlineStr">
        <is>
          <t>Values read from the original slide (30 points, 2015-2024)</t>
        </is>
      </c>
      <c r="D13" s="4" t="inlineStr">
        <is>
          <t>See S2_Survey. Dot positions on the original were hand-placed shapes; fitted to their labels they are off by 1.2 points on average, 3.6 at most, so no reading changes.</t>
        </is>
      </c>
      <c r="E13" s="30" t="inlineStr">
        <is>
          <t>Pass</t>
        </is>
      </c>
    </row>
    <row r="14">
      <c r="A14" s="4" t="n">
        <v>11</v>
      </c>
      <c r="B14" s="4" t="inlineStr">
        <is>
          <t>2</t>
        </is>
      </c>
      <c r="C14" s="4" t="inlineStr">
        <is>
          <t>Faculty vs Trustees gap over time</t>
        </is>
      </c>
      <c r="D14" s="4" t="inlineStr">
        <is>
          <t>46 pts in 2015 (33% vs 79%), 47 pts in 2024 (44% vs 91%): persistent, not widening. Faculty vs Sr. Admin: 55 pts in 2015 to 51 pts in 2024. Since 2015: Faculty +11 pts (33% to 44%), Trustees +12 (79% to 91%), Sr. Administrators +7 (88% to 95%).</t>
        </is>
      </c>
      <c r="E14" s="30" t="inlineStr">
        <is>
          <t>Info</t>
        </is>
      </c>
    </row>
    <row r="15">
      <c r="A15" s="4" t="n">
        <v>12</v>
      </c>
      <c r="B15" s="4" t="inlineStr">
        <is>
          <t>2</t>
        </is>
      </c>
      <c r="C15" s="4" t="inlineStr">
        <is>
          <t>Who is being asked</t>
        </is>
      </c>
      <c r="D15" s="4" t="inlineStr">
        <is>
          <t>Respondents are business officers rating other groups (and Sr. Administrators includes their own peers). Slide now says so. It is not faculty's own view of the finances.</t>
        </is>
      </c>
      <c r="E15" s="30" t="inlineStr">
        <is>
          <t>Fixed</t>
        </is>
      </c>
    </row>
    <row r="16">
      <c r="A16" s="4" t="n">
        <v>13</v>
      </c>
      <c r="B16" s="4" t="inlineStr">
        <is>
          <t>2</t>
        </is>
      </c>
      <c r="C16" s="4" t="inlineStr">
        <is>
          <t>Source line said 2013-2024 and a note covered 2013 trustees</t>
        </is>
      </c>
      <c r="D16" s="4" t="inlineStr">
        <is>
          <t>Both refer to years no longer shown; updated to 2015-2024 and note replaced.</t>
        </is>
      </c>
      <c r="E16" s="30" t="inlineStr">
        <is>
          <t>Fixed</t>
        </is>
      </c>
    </row>
    <row r="17">
      <c r="A17" s="4" t="n">
        <v>14</v>
      </c>
      <c r="B17" s="4" t="inlineStr">
        <is>
          <t>2</t>
        </is>
      </c>
      <c r="C17" s="4" t="inlineStr">
        <is>
          <t>2025 and 2026 editions</t>
        </is>
      </c>
      <c r="D17" s="4" t="inlineStr">
        <is>
          <t>Inside Higher Ed published the 2025 survey (July 17, 2025) and a 2026 edition (July 15, 2026). Both reports are titled 'Chief Business Officers'. The search summaries reachable from the working session did not show this item, so whether it was asked is unconfirmed. No values were plotted for either year.</t>
        </is>
      </c>
      <c r="E17" s="31" t="inlineStr">
        <is>
          <t>Open</t>
        </is>
      </c>
    </row>
    <row r="18">
      <c r="A18" s="4" t="n">
        <v>15</v>
      </c>
      <c r="B18" s="4" t="inlineStr">
        <is>
          <t>3</t>
        </is>
      </c>
      <c r="C18" s="4" t="inlineStr">
        <is>
          <t>Identity: S&amp;W per student = x * y for every institution</t>
        </is>
      </c>
      <c r="D18" s="4" t="inlineStr">
        <is>
          <t>Column H of S3_FY23 is zero for all 11 rows; each point sits on its iso-line.</t>
        </is>
      </c>
      <c r="E18" s="30" t="inlineStr">
        <is>
          <t>Pass</t>
        </is>
      </c>
    </row>
    <row r="19">
      <c r="A19" s="4" t="n">
        <v>16</v>
      </c>
      <c r="B19" s="4" t="inlineStr">
        <is>
          <t>3</t>
        </is>
      </c>
      <c r="C19" s="4" t="inlineStr">
        <is>
          <t>Stanford x-value $915,817 exceeds the original axis maximum $900,000</t>
        </is>
      </c>
      <c r="D19" s="4" t="inlineStr">
        <is>
          <t>Original plotted no institution data at all (only 8 iso-lines); logos were hand-placed pictures, so positions were not data-driven. Rebuilt with real points on a $0-$1,000K axis.</t>
        </is>
      </c>
      <c r="E19" s="30" t="inlineStr">
        <is>
          <t>Fixed</t>
        </is>
      </c>
    </row>
    <row r="20">
      <c r="A20" s="4" t="n">
        <v>17</v>
      </c>
      <c r="B20" s="4" t="inlineStr">
        <is>
          <t>3</t>
        </is>
      </c>
      <c r="C20" s="4" t="inlineStr">
        <is>
          <t>Label typos on the original</t>
        </is>
      </c>
      <c r="D20" s="4" t="inlineStr">
        <is>
          <t>Iso-line labels '$160', '$200', '$240', '$280', '$320' had no K; Emory '$269' (should round to $270K) and '16,00'.</t>
        </is>
      </c>
      <c r="E20" s="30" t="inlineStr">
        <is>
          <t>Fixed</t>
        </is>
      </c>
    </row>
    <row r="21">
      <c r="A21" s="4" t="n">
        <v>18</v>
      </c>
      <c r="B21" s="4" t="inlineStr">
        <is>
          <t>3</t>
        </is>
      </c>
      <c r="C21" s="4" t="inlineStr">
        <is>
          <t>Student counts</t>
        </is>
      </c>
      <c r="D21" s="4" t="inlineStr">
        <is>
          <t>Emory (16,000) and Northwestern (23,000) are round numbers, so estimates; others look exact. The refresh should use one IPEDS fall-enrollment definition for all schools.</t>
        </is>
      </c>
      <c r="E21" s="31" t="inlineStr">
        <is>
          <t>Open (refresh)</t>
        </is>
      </c>
    </row>
    <row r="22">
      <c r="A22" s="4" t="n">
        <v>19</v>
      </c>
      <c r="B22" s="4" t="inlineStr">
        <is>
          <t>3</t>
        </is>
      </c>
      <c r="C22" s="4" t="inlineStr">
        <is>
          <t>FY22 to FY23 consistency (triangulation)</t>
        </is>
      </c>
      <c r="D22" s="4" t="inlineStr">
        <is>
          <t>Core operating expenses rose 15-38% (median 23%) at all 11 schools while S&amp;W rose 7-20% (median 11%); S&amp;W share fell at all 11 (median -4.9 pts). That points to a definitional break between the FY22 and FY23 columns, not an economic change. FY23 vs FY25 must be rebuilt on one definition from source filings, not extended from this sheet.</t>
        </is>
      </c>
      <c r="E22" s="31" t="inlineStr">
        <is>
          <t>Finding</t>
        </is>
      </c>
    </row>
    <row r="23">
      <c r="A23" s="4" t="n">
        <v>20</v>
      </c>
      <c r="B23" s="4" t="inlineStr">
        <is>
          <t>3</t>
        </is>
      </c>
      <c r="C23" s="4" t="inlineStr">
        <is>
          <t>Copy-forward in older years</t>
        </is>
      </c>
      <c r="D23" s="4" t="inlineStr">
        <is>
          <t>Identical S&amp;W or opex in consecutive years for several schools (e.g., Chicago, Duke, Harvard FY18=FY19; Emory, Northwestern, Rice S&amp;W FY21=FY22). Not displayed on the slide but shows the sheet was hand-assembled.</t>
        </is>
      </c>
      <c r="E23" s="31" t="inlineStr">
        <is>
          <t>Finding</t>
        </is>
      </c>
    </row>
    <row r="24">
      <c r="A24" s="4" t="n">
        <v>21</v>
      </c>
      <c r="B24" s="4" t="inlineStr">
        <is>
          <t>3</t>
        </is>
      </c>
      <c r="C24" s="4" t="inlineStr">
        <is>
          <t>Comparability of 'S&amp;W per student'</t>
        </is>
      </c>
      <c r="D24" s="4" t="inlineStr">
        <is>
          <t>Health systems (Chicago, Emory, Penn, Duke, Stanford) inflate it and are footnoted. Stanford also includes SLAC; MIT includes Lincoln Laboratory, which has S&amp;W and no students. Add a footnote or a no-health/no-FFRDC view when MIT is added. Total headcount (undergraduate + graduate + professional) also mixes very different cost structures.</t>
        </is>
      </c>
      <c r="E24" s="31" t="inlineStr">
        <is>
          <t>Open (refresh)</t>
        </is>
      </c>
    </row>
    <row r="25">
      <c r="A25" s="4" t="n">
        <v>22</v>
      </c>
      <c r="B25" s="4" t="inlineStr">
        <is>
          <t>3</t>
        </is>
      </c>
      <c r="C25" s="4" t="inlineStr">
        <is>
          <t>'More cost-efficient than our peers' claim</t>
        </is>
      </c>
      <c r="D25" s="4" t="inlineStr">
        <is>
          <t>S&amp;W per student measures intensity, not efficiency; it cannot support an efficiency claim on its own. Title reworded to a descriptive statement until Northeastern, BU and MIT are added.</t>
        </is>
      </c>
      <c r="E25" s="31" t="inlineStr">
        <is>
          <t>Finding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7" customWidth="1" min="1" max="1"/>
    <col width="62" customWidth="1" min="2" max="2"/>
    <col width="62" customWidth="1" min="3" max="3"/>
    <col width="44" customWidth="1" min="4" max="4"/>
    <col width="12" customWidth="1" min="5" max="5"/>
  </cols>
  <sheetData>
    <row r="1">
      <c r="A1" s="1" t="inlineStr">
        <is>
          <t>What is needed to finish the update</t>
        </is>
      </c>
    </row>
    <row r="2">
      <c r="A2" s="2" t="inlineStr">
        <is>
          <t>Blocked hosts were denied by the working session's network policy. Alternatively the files can be uploaded to the session.</t>
        </is>
      </c>
    </row>
    <row r="4">
      <c r="A4" s="5" t="inlineStr">
        <is>
          <t>Slide</t>
        </is>
      </c>
      <c r="B4" s="5" t="inlineStr">
        <is>
          <t>Item</t>
        </is>
      </c>
      <c r="C4" s="5" t="inlineStr">
        <is>
          <t>Source</t>
        </is>
      </c>
      <c r="D4" s="5" t="inlineStr">
        <is>
          <t>Host (blocked)</t>
        </is>
      </c>
      <c r="E4" s="5" t="inlineStr">
        <is>
          <t>Status</t>
        </is>
      </c>
    </row>
    <row r="5">
      <c r="A5" s="4" t="inlineStr">
        <is>
          <t>1</t>
        </is>
      </c>
      <c r="B5" s="4" t="inlineStr">
        <is>
          <t>Latest College Scorecard institution-level file (Most Recent Cohorts - Institution) and data dictionary; confirm earnings cohort year</t>
        </is>
      </c>
      <c r="C5" s="4" t="inlineStr">
        <is>
          <t>collegescorecard.ed.gov/data</t>
        </is>
      </c>
      <c r="D5" s="4" t="inlineStr">
        <is>
          <t>collegescorecard.ed.gov, ed-public-download.scorecard.network</t>
        </is>
      </c>
      <c r="E5" s="31" t="inlineStr">
        <is>
          <t>Blocked</t>
        </is>
      </c>
    </row>
    <row r="6">
      <c r="A6" s="4" t="inlineStr">
        <is>
          <t>1</t>
        </is>
      </c>
      <c r="B6" s="4" t="inlineStr">
        <is>
          <t>IPEDS institutional characteristics for the same UNITIDs (control, Carnegie CCBASIC / CCUGPROF filters)</t>
        </is>
      </c>
      <c r="C6" s="4" t="inlineStr">
        <is>
          <t>nces.ed.gov/ipeds/datacenter</t>
        </is>
      </c>
      <c r="D6" s="4" t="inlineStr">
        <is>
          <t>nces.ed.gov</t>
        </is>
      </c>
      <c r="E6" s="31" t="inlineStr">
        <is>
          <t>Blocked</t>
        </is>
      </c>
    </row>
    <row r="7">
      <c r="A7" s="4" t="inlineStr">
        <is>
          <t>2</t>
        </is>
      </c>
      <c r="B7" s="4" t="inlineStr">
        <is>
          <t>Inside Higher Ed 2025 survey report (July 2025) and 2026 report (July 2026): confirm the 'realistic and aware' item and read faculty / trustee / Sr. Admin values</t>
        </is>
      </c>
      <c r="C7" s="4" t="inlineStr">
        <is>
          <t>insidehighered.com/reports</t>
        </is>
      </c>
      <c r="D7" s="4" t="inlineStr">
        <is>
          <t>www.insidehighered.com</t>
        </is>
      </c>
      <c r="E7" s="31" t="inlineStr">
        <is>
          <t>Blocked</t>
        </is>
      </c>
    </row>
    <row r="8">
      <c r="A8" s="4" t="inlineStr">
        <is>
          <t>3</t>
        </is>
      </c>
      <c r="B8" s="4" t="inlineStr">
        <is>
          <t>FY25 audited financial statements for Rice, Vanderbilt, Northwestern, Princeton, Harvard, Yale, Chicago, Duke, Emory, Penn, Stanford, Northeastern, BU, MIT (S&amp;W, total operating expenses, depreciation, amortization, interest)</t>
        </is>
      </c>
      <c r="C8" s="4" t="inlineStr">
        <is>
          <t>Each university's finance / controller site</t>
        </is>
      </c>
      <c r="D8" s="4" t="inlineStr">
        <is>
          <t>e.g. bu.edu, web.mit.edu (vpf), finance.northeastern.edu, finance.harvard.edu, ...</t>
        </is>
      </c>
      <c r="E8" s="31" t="inlineStr">
        <is>
          <t>Blocked</t>
        </is>
      </c>
    </row>
    <row r="9">
      <c r="A9" s="4" t="inlineStr">
        <is>
          <t>3</t>
        </is>
      </c>
      <c r="B9" s="4" t="inlineStr">
        <is>
          <t>IPEDS fall enrollment (EF2024) for the same 14 institutions</t>
        </is>
      </c>
      <c r="C9" s="4" t="inlineStr">
        <is>
          <t>nces.ed.gov/ipeds/datacenter</t>
        </is>
      </c>
      <c r="D9" s="4" t="inlineStr">
        <is>
          <t>nces.ed.gov</t>
        </is>
      </c>
      <c r="E9" s="31" t="inlineStr">
        <is>
          <t>Blocked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2026-09-29T21:46:03Z</dcterms:created>
  <dcterms:modified xmlns:dcterms="http://purl.org/dc/terms/" xmlns:xsi="http://www.w3.org/2001/XMLSchema-instance" xsi:type="dcterms:W3CDTF">2026-09-29T21:46:04Z</dcterms:modified>
</cp:coreProperties>
</file>